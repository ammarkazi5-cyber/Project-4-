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/>
  <mc:AlternateContent xmlns:mc="http://schemas.openxmlformats.org/markup-compatibility/2006">
    <mc:Choice Requires="x15">
      <x15ac:absPath xmlns:x15ac="http://schemas.microsoft.com/office/spreadsheetml/2010/11/ac" url="C:\Users\DELL\Desktop\Ammar Assignment\project 3\porject 4\"/>
    </mc:Choice>
  </mc:AlternateContent>
  <xr:revisionPtr revIDLastSave="0" documentId="13_ncr:20001_{C4E4D8A2-E596-4202-A2C1-354703E96FB3}" xr6:coauthVersionLast="47" xr6:coauthVersionMax="47" xr10:uidLastSave="{00000000-0000-0000-0000-000000000000}"/>
  <bookViews>
    <workbookView xWindow="-120" yWindow="-120" windowWidth="29040" windowHeight="15840" tabRatio="949" xr2:uid="{00000000-000D-0000-FFFF-FFFF00000000}"/>
  </bookViews>
  <sheets>
    <sheet name="Dashboard" sheetId="1" r:id="rId1"/>
    <sheet name="Data_Dictionary" sheetId="2" r:id="rId2"/>
    <sheet name="Clean_AR_Data" sheetId="3" r:id="rId3"/>
    <sheet name="Clean_Expenses" sheetId="4" r:id="rId4"/>
    <sheet name="Budgets" sheetId="5" r:id="rId5"/>
    <sheet name="Customer_Master" sheetId="6" r:id="rId6"/>
    <sheet name="Revenue_Collections" sheetId="7" r:id="rId7"/>
    <sheet name="AR_Ageing" sheetId="8" r:id="rId8"/>
    <sheet name="Customer_Risk" sheetId="9" r:id="rId9"/>
    <sheet name="Budget_vs_Actual" sheetId="10" r:id="rId10"/>
    <sheet name="Expense_Anomaly" sheetId="11" r:id="rId11"/>
    <sheet name="Cash_Flow" sheetId="12" r:id="rId12"/>
    <sheet name="Cash_Forecast" sheetId="13" r:id="rId13"/>
    <sheet name="KPI_Summary" sheetId="14" r:id="rId14"/>
    <sheet name="Expense_Analysis" sheetId="15" r:id="rId15"/>
    <sheet name="Dashboard_Lists" sheetId="16" state="hidden" r:id="rId16"/>
  </sheets>
  <definedNames>
    <definedName name="Dashboard_Categories">Dashboard_Lists!$C$2:$C$11</definedName>
    <definedName name="Dashboard_Departments">Dashboard_Lists!$B$2:$B$9</definedName>
    <definedName name="Dashboard_Months">Dashboard_Lists!$A$2:$A$26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1" l="1" a="1"/>
  <c r="A16" i="15"/>
  <c r="B16" i="15" s="1"/>
  <c r="A15" i="15"/>
  <c r="B15" i="15" s="1"/>
  <c r="A14" i="15"/>
  <c r="B14" i="15" s="1"/>
  <c r="F13" i="15"/>
  <c r="A13" i="15"/>
  <c r="B13" i="15" s="1"/>
  <c r="F12" i="15"/>
  <c r="A12" i="15"/>
  <c r="B12" i="15" s="1"/>
  <c r="J11" i="15"/>
  <c r="F11" i="15"/>
  <c r="A11" i="15"/>
  <c r="B11" i="15" s="1"/>
  <c r="J10" i="15"/>
  <c r="F10" i="15"/>
  <c r="A10" i="15"/>
  <c r="B10" i="15" s="1"/>
  <c r="J9" i="15"/>
  <c r="F9" i="15"/>
  <c r="A9" i="15"/>
  <c r="B9" i="15" s="1"/>
  <c r="J8" i="15"/>
  <c r="F8" i="15"/>
  <c r="A8" i="15"/>
  <c r="B8" i="15" s="1"/>
  <c r="J7" i="15"/>
  <c r="F7" i="15"/>
  <c r="A7" i="15"/>
  <c r="B7" i="15" s="1"/>
  <c r="J6" i="15"/>
  <c r="F6" i="15"/>
  <c r="A6" i="15"/>
  <c r="B6" i="15" s="1"/>
  <c r="J5" i="15"/>
  <c r="K5" i="15" s="1"/>
  <c r="F5" i="15"/>
  <c r="G5" i="15" s="1"/>
  <c r="C5" i="15"/>
  <c r="A5" i="15"/>
  <c r="B5" i="15" s="1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F3" i="12"/>
  <c r="F2" i="12"/>
  <c r="H2" i="12" s="1"/>
  <c r="G3" i="12" s="1"/>
  <c r="H3" i="12" s="1"/>
  <c r="G4" i="12" s="1"/>
  <c r="H4" i="12" s="1"/>
  <c r="G5" i="12" s="1"/>
  <c r="H5" i="12" s="1"/>
  <c r="G6" i="12" s="1"/>
  <c r="H6" i="12" s="1"/>
  <c r="G7" i="12" s="1"/>
  <c r="H7" i="12" s="1"/>
  <c r="G8" i="12" s="1"/>
  <c r="H8" i="12" s="1"/>
  <c r="G9" i="12" s="1"/>
  <c r="H9" i="12" s="1"/>
  <c r="G10" i="12" s="1"/>
  <c r="H10" i="12" s="1"/>
  <c r="G11" i="12" s="1"/>
  <c r="H11" i="12" s="1"/>
  <c r="G12" i="12" s="1"/>
  <c r="H12" i="12" s="1"/>
  <c r="G13" i="12" s="1"/>
  <c r="H13" i="12" s="1"/>
  <c r="G14" i="12" s="1"/>
  <c r="H14" i="12" s="1"/>
  <c r="G15" i="12" s="1"/>
  <c r="H15" i="12" s="1"/>
  <c r="G16" i="12" s="1"/>
  <c r="H16" i="12" s="1"/>
  <c r="G17" i="12" s="1"/>
  <c r="H17" i="12" s="1"/>
  <c r="G18" i="12" s="1"/>
  <c r="H18" i="12" s="1"/>
  <c r="G19" i="12" s="1"/>
  <c r="H19" i="12" s="1"/>
  <c r="G20" i="12" s="1"/>
  <c r="H20" i="12" s="1"/>
  <c r="G21" i="12" s="1"/>
  <c r="H21" i="12" s="1"/>
  <c r="G22" i="12" s="1"/>
  <c r="H22" i="12" s="1"/>
  <c r="G23" i="12" s="1"/>
  <c r="H23" i="12" s="1"/>
  <c r="G24" i="12" s="1"/>
  <c r="H24" i="12" s="1"/>
  <c r="G25" i="12" s="1"/>
  <c r="H25" i="12" s="1"/>
  <c r="F1513" i="10"/>
  <c r="G1513" i="10" s="1"/>
  <c r="H1513" i="10" s="1"/>
  <c r="F1512" i="10"/>
  <c r="G1512" i="10" s="1"/>
  <c r="H1512" i="10" s="1"/>
  <c r="F1511" i="10"/>
  <c r="G1511" i="10" s="1"/>
  <c r="H1511" i="10" s="1"/>
  <c r="F1510" i="10"/>
  <c r="G1510" i="10" s="1"/>
  <c r="H1510" i="10" s="1"/>
  <c r="F1509" i="10"/>
  <c r="G1509" i="10" s="1"/>
  <c r="H1509" i="10" s="1"/>
  <c r="F1508" i="10"/>
  <c r="G1508" i="10" s="1"/>
  <c r="H1508" i="10" s="1"/>
  <c r="F1507" i="10"/>
  <c r="G1507" i="10" s="1"/>
  <c r="H1507" i="10" s="1"/>
  <c r="F1506" i="10"/>
  <c r="G1506" i="10" s="1"/>
  <c r="H1506" i="10" s="1"/>
  <c r="F1505" i="10"/>
  <c r="G1505" i="10" s="1"/>
  <c r="H1505" i="10" s="1"/>
  <c r="F1504" i="10"/>
  <c r="G1504" i="10" s="1"/>
  <c r="H1504" i="10" s="1"/>
  <c r="F1503" i="10"/>
  <c r="G1503" i="10" s="1"/>
  <c r="H1503" i="10" s="1"/>
  <c r="F1502" i="10"/>
  <c r="G1502" i="10" s="1"/>
  <c r="H1502" i="10" s="1"/>
  <c r="F1501" i="10"/>
  <c r="G1501" i="10" s="1"/>
  <c r="H1501" i="10" s="1"/>
  <c r="F1500" i="10"/>
  <c r="G1500" i="10" s="1"/>
  <c r="H1500" i="10" s="1"/>
  <c r="F1499" i="10"/>
  <c r="G1499" i="10" s="1"/>
  <c r="H1499" i="10" s="1"/>
  <c r="F1498" i="10"/>
  <c r="G1498" i="10" s="1"/>
  <c r="H1498" i="10" s="1"/>
  <c r="F1497" i="10"/>
  <c r="G1497" i="10" s="1"/>
  <c r="H1497" i="10" s="1"/>
  <c r="F1496" i="10"/>
  <c r="G1496" i="10" s="1"/>
  <c r="H1496" i="10" s="1"/>
  <c r="F1495" i="10"/>
  <c r="G1495" i="10" s="1"/>
  <c r="H1495" i="10" s="1"/>
  <c r="F1494" i="10"/>
  <c r="G1494" i="10" s="1"/>
  <c r="H1494" i="10" s="1"/>
  <c r="F1493" i="10"/>
  <c r="G1493" i="10" s="1"/>
  <c r="H1493" i="10" s="1"/>
  <c r="F1492" i="10"/>
  <c r="G1492" i="10" s="1"/>
  <c r="H1492" i="10" s="1"/>
  <c r="F1491" i="10"/>
  <c r="G1491" i="10" s="1"/>
  <c r="H1491" i="10" s="1"/>
  <c r="F1490" i="10"/>
  <c r="G1490" i="10" s="1"/>
  <c r="H1490" i="10" s="1"/>
  <c r="F1489" i="10"/>
  <c r="G1489" i="10" s="1"/>
  <c r="H1489" i="10" s="1"/>
  <c r="F1488" i="10"/>
  <c r="G1488" i="10" s="1"/>
  <c r="H1488" i="10" s="1"/>
  <c r="F1487" i="10"/>
  <c r="G1487" i="10" s="1"/>
  <c r="H1487" i="10" s="1"/>
  <c r="F1486" i="10"/>
  <c r="G1486" i="10" s="1"/>
  <c r="H1486" i="10" s="1"/>
  <c r="F1485" i="10"/>
  <c r="G1485" i="10" s="1"/>
  <c r="H1485" i="10" s="1"/>
  <c r="F1484" i="10"/>
  <c r="G1484" i="10" s="1"/>
  <c r="H1484" i="10" s="1"/>
  <c r="F1483" i="10"/>
  <c r="G1483" i="10" s="1"/>
  <c r="H1483" i="10" s="1"/>
  <c r="F1482" i="10"/>
  <c r="G1482" i="10" s="1"/>
  <c r="H1482" i="10" s="1"/>
  <c r="F1481" i="10"/>
  <c r="G1481" i="10" s="1"/>
  <c r="H1481" i="10" s="1"/>
  <c r="F1480" i="10"/>
  <c r="G1480" i="10" s="1"/>
  <c r="H1480" i="10" s="1"/>
  <c r="F1479" i="10"/>
  <c r="G1479" i="10" s="1"/>
  <c r="H1479" i="10" s="1"/>
  <c r="F1478" i="10"/>
  <c r="G1478" i="10" s="1"/>
  <c r="H1478" i="10" s="1"/>
  <c r="F1477" i="10"/>
  <c r="G1477" i="10" s="1"/>
  <c r="H1477" i="10" s="1"/>
  <c r="F1476" i="10"/>
  <c r="G1476" i="10" s="1"/>
  <c r="H1476" i="10" s="1"/>
  <c r="F1475" i="10"/>
  <c r="G1475" i="10" s="1"/>
  <c r="H1475" i="10" s="1"/>
  <c r="F1474" i="10"/>
  <c r="G1474" i="10" s="1"/>
  <c r="H1474" i="10" s="1"/>
  <c r="F1473" i="10"/>
  <c r="G1473" i="10" s="1"/>
  <c r="H1473" i="10" s="1"/>
  <c r="F1472" i="10"/>
  <c r="G1472" i="10" s="1"/>
  <c r="H1472" i="10" s="1"/>
  <c r="F1471" i="10"/>
  <c r="G1471" i="10" s="1"/>
  <c r="H1471" i="10" s="1"/>
  <c r="F1470" i="10"/>
  <c r="G1470" i="10" s="1"/>
  <c r="H1470" i="10" s="1"/>
  <c r="F1469" i="10"/>
  <c r="G1469" i="10" s="1"/>
  <c r="H1469" i="10" s="1"/>
  <c r="F1468" i="10"/>
  <c r="G1468" i="10" s="1"/>
  <c r="H1468" i="10" s="1"/>
  <c r="F1467" i="10"/>
  <c r="G1467" i="10" s="1"/>
  <c r="H1467" i="10" s="1"/>
  <c r="F1466" i="10"/>
  <c r="G1466" i="10" s="1"/>
  <c r="H1466" i="10" s="1"/>
  <c r="F1465" i="10"/>
  <c r="G1465" i="10" s="1"/>
  <c r="H1465" i="10" s="1"/>
  <c r="F1464" i="10"/>
  <c r="G1464" i="10" s="1"/>
  <c r="H1464" i="10" s="1"/>
  <c r="F1463" i="10"/>
  <c r="G1463" i="10" s="1"/>
  <c r="H1463" i="10" s="1"/>
  <c r="F1462" i="10"/>
  <c r="G1462" i="10" s="1"/>
  <c r="H1462" i="10" s="1"/>
  <c r="F1461" i="10"/>
  <c r="G1461" i="10" s="1"/>
  <c r="H1461" i="10" s="1"/>
  <c r="F1460" i="10"/>
  <c r="G1460" i="10" s="1"/>
  <c r="H1460" i="10" s="1"/>
  <c r="F1459" i="10"/>
  <c r="G1459" i="10" s="1"/>
  <c r="H1459" i="10" s="1"/>
  <c r="F1458" i="10"/>
  <c r="G1458" i="10" s="1"/>
  <c r="H1458" i="10" s="1"/>
  <c r="F1457" i="10"/>
  <c r="G1457" i="10" s="1"/>
  <c r="H1457" i="10" s="1"/>
  <c r="F1456" i="10"/>
  <c r="G1456" i="10" s="1"/>
  <c r="H1456" i="10" s="1"/>
  <c r="F1455" i="10"/>
  <c r="G1455" i="10" s="1"/>
  <c r="H1455" i="10" s="1"/>
  <c r="F1454" i="10"/>
  <c r="G1454" i="10" s="1"/>
  <c r="H1454" i="10" s="1"/>
  <c r="F1453" i="10"/>
  <c r="G1453" i="10" s="1"/>
  <c r="H1453" i="10" s="1"/>
  <c r="F1452" i="10"/>
  <c r="G1452" i="10" s="1"/>
  <c r="H1452" i="10" s="1"/>
  <c r="F1451" i="10"/>
  <c r="G1451" i="10" s="1"/>
  <c r="H1451" i="10" s="1"/>
  <c r="F1450" i="10"/>
  <c r="G1450" i="10" s="1"/>
  <c r="H1450" i="10" s="1"/>
  <c r="F1449" i="10"/>
  <c r="G1449" i="10" s="1"/>
  <c r="H1449" i="10" s="1"/>
  <c r="F1448" i="10"/>
  <c r="G1448" i="10" s="1"/>
  <c r="H1448" i="10" s="1"/>
  <c r="F1447" i="10"/>
  <c r="G1447" i="10" s="1"/>
  <c r="H1447" i="10" s="1"/>
  <c r="F1446" i="10"/>
  <c r="G1446" i="10" s="1"/>
  <c r="H1446" i="10" s="1"/>
  <c r="F1445" i="10"/>
  <c r="G1445" i="10" s="1"/>
  <c r="H1445" i="10" s="1"/>
  <c r="F1444" i="10"/>
  <c r="G1444" i="10" s="1"/>
  <c r="H1444" i="10" s="1"/>
  <c r="F1443" i="10"/>
  <c r="G1443" i="10" s="1"/>
  <c r="H1443" i="10" s="1"/>
  <c r="F1442" i="10"/>
  <c r="G1442" i="10" s="1"/>
  <c r="H1442" i="10" s="1"/>
  <c r="F1441" i="10"/>
  <c r="G1441" i="10" s="1"/>
  <c r="H1441" i="10" s="1"/>
  <c r="F1440" i="10"/>
  <c r="G1440" i="10" s="1"/>
  <c r="H1440" i="10" s="1"/>
  <c r="F1439" i="10"/>
  <c r="G1439" i="10" s="1"/>
  <c r="H1439" i="10" s="1"/>
  <c r="F1438" i="10"/>
  <c r="G1438" i="10" s="1"/>
  <c r="H1438" i="10" s="1"/>
  <c r="F1437" i="10"/>
  <c r="G1437" i="10" s="1"/>
  <c r="H1437" i="10" s="1"/>
  <c r="F1436" i="10"/>
  <c r="G1436" i="10" s="1"/>
  <c r="H1436" i="10" s="1"/>
  <c r="F1435" i="10"/>
  <c r="G1435" i="10" s="1"/>
  <c r="H1435" i="10" s="1"/>
  <c r="F1434" i="10"/>
  <c r="G1434" i="10" s="1"/>
  <c r="H1434" i="10" s="1"/>
  <c r="F1433" i="10"/>
  <c r="G1433" i="10" s="1"/>
  <c r="H1433" i="10" s="1"/>
  <c r="F1432" i="10"/>
  <c r="G1432" i="10" s="1"/>
  <c r="H1432" i="10" s="1"/>
  <c r="F1431" i="10"/>
  <c r="G1431" i="10" s="1"/>
  <c r="H1431" i="10" s="1"/>
  <c r="F1430" i="10"/>
  <c r="G1430" i="10" s="1"/>
  <c r="H1430" i="10" s="1"/>
  <c r="F1429" i="10"/>
  <c r="G1429" i="10" s="1"/>
  <c r="H1429" i="10" s="1"/>
  <c r="F1428" i="10"/>
  <c r="G1428" i="10" s="1"/>
  <c r="H1428" i="10" s="1"/>
  <c r="F1427" i="10"/>
  <c r="G1427" i="10" s="1"/>
  <c r="H1427" i="10" s="1"/>
  <c r="F1426" i="10"/>
  <c r="G1426" i="10" s="1"/>
  <c r="H1426" i="10" s="1"/>
  <c r="F1425" i="10"/>
  <c r="G1425" i="10" s="1"/>
  <c r="H1425" i="10" s="1"/>
  <c r="F1424" i="10"/>
  <c r="G1424" i="10" s="1"/>
  <c r="H1424" i="10" s="1"/>
  <c r="F1423" i="10"/>
  <c r="G1423" i="10" s="1"/>
  <c r="H1423" i="10" s="1"/>
  <c r="F1422" i="10"/>
  <c r="G1422" i="10" s="1"/>
  <c r="H1422" i="10" s="1"/>
  <c r="F1421" i="10"/>
  <c r="G1421" i="10" s="1"/>
  <c r="H1421" i="10" s="1"/>
  <c r="F1420" i="10"/>
  <c r="G1420" i="10" s="1"/>
  <c r="H1420" i="10" s="1"/>
  <c r="F1419" i="10"/>
  <c r="G1419" i="10" s="1"/>
  <c r="H1419" i="10" s="1"/>
  <c r="F1418" i="10"/>
  <c r="G1418" i="10" s="1"/>
  <c r="H1418" i="10" s="1"/>
  <c r="F1417" i="10"/>
  <c r="G1417" i="10" s="1"/>
  <c r="H1417" i="10" s="1"/>
  <c r="F1416" i="10"/>
  <c r="G1416" i="10" s="1"/>
  <c r="H1416" i="10" s="1"/>
  <c r="F1415" i="10"/>
  <c r="G1415" i="10" s="1"/>
  <c r="H1415" i="10" s="1"/>
  <c r="F1414" i="10"/>
  <c r="G1414" i="10" s="1"/>
  <c r="H1414" i="10" s="1"/>
  <c r="F1413" i="10"/>
  <c r="G1413" i="10" s="1"/>
  <c r="H1413" i="10" s="1"/>
  <c r="F1412" i="10"/>
  <c r="G1412" i="10" s="1"/>
  <c r="H1412" i="10" s="1"/>
  <c r="F1411" i="10"/>
  <c r="G1411" i="10" s="1"/>
  <c r="H1411" i="10" s="1"/>
  <c r="F1410" i="10"/>
  <c r="G1410" i="10" s="1"/>
  <c r="H1410" i="10" s="1"/>
  <c r="F1409" i="10"/>
  <c r="G1409" i="10" s="1"/>
  <c r="H1409" i="10" s="1"/>
  <c r="F1408" i="10"/>
  <c r="G1408" i="10" s="1"/>
  <c r="H1408" i="10" s="1"/>
  <c r="F1407" i="10"/>
  <c r="G1407" i="10" s="1"/>
  <c r="H1407" i="10" s="1"/>
  <c r="F1406" i="10"/>
  <c r="G1406" i="10" s="1"/>
  <c r="H1406" i="10" s="1"/>
  <c r="F1405" i="10"/>
  <c r="G1405" i="10" s="1"/>
  <c r="H1405" i="10" s="1"/>
  <c r="F1404" i="10"/>
  <c r="G1404" i="10" s="1"/>
  <c r="H1404" i="10" s="1"/>
  <c r="F1403" i="10"/>
  <c r="G1403" i="10" s="1"/>
  <c r="H1403" i="10" s="1"/>
  <c r="F1402" i="10"/>
  <c r="G1402" i="10" s="1"/>
  <c r="H1402" i="10" s="1"/>
  <c r="F1401" i="10"/>
  <c r="G1401" i="10" s="1"/>
  <c r="H1401" i="10" s="1"/>
  <c r="F1400" i="10"/>
  <c r="G1400" i="10" s="1"/>
  <c r="H1400" i="10" s="1"/>
  <c r="F1399" i="10"/>
  <c r="G1399" i="10" s="1"/>
  <c r="H1399" i="10" s="1"/>
  <c r="F1398" i="10"/>
  <c r="G1398" i="10" s="1"/>
  <c r="H1398" i="10" s="1"/>
  <c r="F1397" i="10"/>
  <c r="G1397" i="10" s="1"/>
  <c r="H1397" i="10" s="1"/>
  <c r="F1396" i="10"/>
  <c r="G1396" i="10" s="1"/>
  <c r="H1396" i="10" s="1"/>
  <c r="F1395" i="10"/>
  <c r="G1395" i="10" s="1"/>
  <c r="H1395" i="10" s="1"/>
  <c r="F1394" i="10"/>
  <c r="G1394" i="10" s="1"/>
  <c r="H1394" i="10" s="1"/>
  <c r="F1393" i="10"/>
  <c r="G1393" i="10" s="1"/>
  <c r="H1393" i="10" s="1"/>
  <c r="F1392" i="10"/>
  <c r="G1392" i="10" s="1"/>
  <c r="H1392" i="10" s="1"/>
  <c r="F1391" i="10"/>
  <c r="G1391" i="10" s="1"/>
  <c r="H1391" i="10" s="1"/>
  <c r="F1390" i="10"/>
  <c r="G1390" i="10" s="1"/>
  <c r="H1390" i="10" s="1"/>
  <c r="F1389" i="10"/>
  <c r="G1389" i="10" s="1"/>
  <c r="H1389" i="10" s="1"/>
  <c r="F1388" i="10"/>
  <c r="G1388" i="10" s="1"/>
  <c r="H1388" i="10" s="1"/>
  <c r="F1387" i="10"/>
  <c r="G1387" i="10" s="1"/>
  <c r="H1387" i="10" s="1"/>
  <c r="F1386" i="10"/>
  <c r="G1386" i="10" s="1"/>
  <c r="H1386" i="10" s="1"/>
  <c r="F1385" i="10"/>
  <c r="G1385" i="10" s="1"/>
  <c r="H1385" i="10" s="1"/>
  <c r="F1384" i="10"/>
  <c r="G1384" i="10" s="1"/>
  <c r="H1384" i="10" s="1"/>
  <c r="F1383" i="10"/>
  <c r="G1383" i="10" s="1"/>
  <c r="H1383" i="10" s="1"/>
  <c r="F1382" i="10"/>
  <c r="G1382" i="10" s="1"/>
  <c r="H1382" i="10" s="1"/>
  <c r="F1381" i="10"/>
  <c r="G1381" i="10" s="1"/>
  <c r="H1381" i="10" s="1"/>
  <c r="F1380" i="10"/>
  <c r="G1380" i="10" s="1"/>
  <c r="H1380" i="10" s="1"/>
  <c r="F1379" i="10"/>
  <c r="G1379" i="10" s="1"/>
  <c r="H1379" i="10" s="1"/>
  <c r="F1378" i="10"/>
  <c r="G1378" i="10" s="1"/>
  <c r="H1378" i="10" s="1"/>
  <c r="F1377" i="10"/>
  <c r="G1377" i="10" s="1"/>
  <c r="H1377" i="10" s="1"/>
  <c r="F1376" i="10"/>
  <c r="G1376" i="10" s="1"/>
  <c r="H1376" i="10" s="1"/>
  <c r="F1375" i="10"/>
  <c r="G1375" i="10" s="1"/>
  <c r="H1375" i="10" s="1"/>
  <c r="F1374" i="10"/>
  <c r="G1374" i="10" s="1"/>
  <c r="H1374" i="10" s="1"/>
  <c r="F1373" i="10"/>
  <c r="G1373" i="10" s="1"/>
  <c r="H1373" i="10" s="1"/>
  <c r="F1372" i="10"/>
  <c r="G1372" i="10" s="1"/>
  <c r="H1372" i="10" s="1"/>
  <c r="F1371" i="10"/>
  <c r="G1371" i="10" s="1"/>
  <c r="H1371" i="10" s="1"/>
  <c r="F1370" i="10"/>
  <c r="G1370" i="10" s="1"/>
  <c r="H1370" i="10" s="1"/>
  <c r="F1369" i="10"/>
  <c r="G1369" i="10" s="1"/>
  <c r="H1369" i="10" s="1"/>
  <c r="F1368" i="10"/>
  <c r="G1368" i="10" s="1"/>
  <c r="H1368" i="10" s="1"/>
  <c r="F1367" i="10"/>
  <c r="G1367" i="10" s="1"/>
  <c r="H1367" i="10" s="1"/>
  <c r="F1366" i="10"/>
  <c r="G1366" i="10" s="1"/>
  <c r="H1366" i="10" s="1"/>
  <c r="F1365" i="10"/>
  <c r="G1365" i="10" s="1"/>
  <c r="H1365" i="10" s="1"/>
  <c r="F1364" i="10"/>
  <c r="G1364" i="10" s="1"/>
  <c r="H1364" i="10" s="1"/>
  <c r="F1363" i="10"/>
  <c r="G1363" i="10" s="1"/>
  <c r="H1363" i="10" s="1"/>
  <c r="F1362" i="10"/>
  <c r="G1362" i="10" s="1"/>
  <c r="H1362" i="10" s="1"/>
  <c r="F1361" i="10"/>
  <c r="G1361" i="10" s="1"/>
  <c r="H1361" i="10" s="1"/>
  <c r="F1360" i="10"/>
  <c r="G1360" i="10" s="1"/>
  <c r="H1360" i="10" s="1"/>
  <c r="F1359" i="10"/>
  <c r="G1359" i="10" s="1"/>
  <c r="H1359" i="10" s="1"/>
  <c r="F1358" i="10"/>
  <c r="G1358" i="10" s="1"/>
  <c r="H1358" i="10" s="1"/>
  <c r="F1357" i="10"/>
  <c r="G1357" i="10" s="1"/>
  <c r="H1357" i="10" s="1"/>
  <c r="F1356" i="10"/>
  <c r="G1356" i="10" s="1"/>
  <c r="H1356" i="10" s="1"/>
  <c r="F1355" i="10"/>
  <c r="G1355" i="10" s="1"/>
  <c r="H1355" i="10" s="1"/>
  <c r="F1354" i="10"/>
  <c r="G1354" i="10" s="1"/>
  <c r="H1354" i="10" s="1"/>
  <c r="F1353" i="10"/>
  <c r="G1353" i="10" s="1"/>
  <c r="H1353" i="10" s="1"/>
  <c r="F1352" i="10"/>
  <c r="G1352" i="10" s="1"/>
  <c r="H1352" i="10" s="1"/>
  <c r="F1351" i="10"/>
  <c r="G1351" i="10" s="1"/>
  <c r="H1351" i="10" s="1"/>
  <c r="F1350" i="10"/>
  <c r="G1350" i="10" s="1"/>
  <c r="H1350" i="10" s="1"/>
  <c r="F1349" i="10"/>
  <c r="G1349" i="10" s="1"/>
  <c r="H1349" i="10" s="1"/>
  <c r="F1348" i="10"/>
  <c r="G1348" i="10" s="1"/>
  <c r="H1348" i="10" s="1"/>
  <c r="F1347" i="10"/>
  <c r="G1347" i="10" s="1"/>
  <c r="H1347" i="10" s="1"/>
  <c r="F1346" i="10"/>
  <c r="G1346" i="10" s="1"/>
  <c r="H1346" i="10" s="1"/>
  <c r="F1345" i="10"/>
  <c r="G1345" i="10" s="1"/>
  <c r="H1345" i="10" s="1"/>
  <c r="F1344" i="10"/>
  <c r="G1344" i="10" s="1"/>
  <c r="H1344" i="10" s="1"/>
  <c r="F1343" i="10"/>
  <c r="G1343" i="10" s="1"/>
  <c r="H1343" i="10" s="1"/>
  <c r="F1342" i="10"/>
  <c r="G1342" i="10" s="1"/>
  <c r="H1342" i="10" s="1"/>
  <c r="F1341" i="10"/>
  <c r="G1341" i="10" s="1"/>
  <c r="H1341" i="10" s="1"/>
  <c r="F1340" i="10"/>
  <c r="G1340" i="10" s="1"/>
  <c r="H1340" i="10" s="1"/>
  <c r="F1339" i="10"/>
  <c r="G1339" i="10" s="1"/>
  <c r="H1339" i="10" s="1"/>
  <c r="F1338" i="10"/>
  <c r="G1338" i="10" s="1"/>
  <c r="H1338" i="10" s="1"/>
  <c r="F1337" i="10"/>
  <c r="G1337" i="10" s="1"/>
  <c r="H1337" i="10" s="1"/>
  <c r="F1336" i="10"/>
  <c r="G1336" i="10" s="1"/>
  <c r="H1336" i="10" s="1"/>
  <c r="F1335" i="10"/>
  <c r="G1335" i="10" s="1"/>
  <c r="H1335" i="10" s="1"/>
  <c r="F1334" i="10"/>
  <c r="G1334" i="10" s="1"/>
  <c r="H1334" i="10" s="1"/>
  <c r="F1333" i="10"/>
  <c r="G1333" i="10" s="1"/>
  <c r="H1333" i="10" s="1"/>
  <c r="F1332" i="10"/>
  <c r="G1332" i="10" s="1"/>
  <c r="H1332" i="10" s="1"/>
  <c r="F1331" i="10"/>
  <c r="G1331" i="10" s="1"/>
  <c r="H1331" i="10" s="1"/>
  <c r="F1330" i="10"/>
  <c r="G1330" i="10" s="1"/>
  <c r="H1330" i="10" s="1"/>
  <c r="F1329" i="10"/>
  <c r="G1329" i="10" s="1"/>
  <c r="H1329" i="10" s="1"/>
  <c r="F1328" i="10"/>
  <c r="G1328" i="10" s="1"/>
  <c r="H1328" i="10" s="1"/>
  <c r="F1327" i="10"/>
  <c r="G1327" i="10" s="1"/>
  <c r="H1327" i="10" s="1"/>
  <c r="F1326" i="10"/>
  <c r="G1326" i="10" s="1"/>
  <c r="H1326" i="10" s="1"/>
  <c r="F1325" i="10"/>
  <c r="G1325" i="10" s="1"/>
  <c r="H1325" i="10" s="1"/>
  <c r="F1324" i="10"/>
  <c r="G1324" i="10" s="1"/>
  <c r="H1324" i="10" s="1"/>
  <c r="F1323" i="10"/>
  <c r="G1323" i="10" s="1"/>
  <c r="H1323" i="10" s="1"/>
  <c r="F1322" i="10"/>
  <c r="G1322" i="10" s="1"/>
  <c r="H1322" i="10" s="1"/>
  <c r="F1321" i="10"/>
  <c r="G1321" i="10" s="1"/>
  <c r="H1321" i="10" s="1"/>
  <c r="F1320" i="10"/>
  <c r="G1320" i="10" s="1"/>
  <c r="H1320" i="10" s="1"/>
  <c r="F1319" i="10"/>
  <c r="G1319" i="10" s="1"/>
  <c r="H1319" i="10" s="1"/>
  <c r="F1318" i="10"/>
  <c r="G1318" i="10" s="1"/>
  <c r="H1318" i="10" s="1"/>
  <c r="F1317" i="10"/>
  <c r="G1317" i="10" s="1"/>
  <c r="H1317" i="10" s="1"/>
  <c r="F1316" i="10"/>
  <c r="G1316" i="10" s="1"/>
  <c r="H1316" i="10" s="1"/>
  <c r="F1315" i="10"/>
  <c r="G1315" i="10" s="1"/>
  <c r="H1315" i="10" s="1"/>
  <c r="F1314" i="10"/>
  <c r="G1314" i="10" s="1"/>
  <c r="H1314" i="10" s="1"/>
  <c r="F1313" i="10"/>
  <c r="G1313" i="10" s="1"/>
  <c r="H1313" i="10" s="1"/>
  <c r="F1312" i="10"/>
  <c r="G1312" i="10" s="1"/>
  <c r="H1312" i="10" s="1"/>
  <c r="F1311" i="10"/>
  <c r="G1311" i="10" s="1"/>
  <c r="H1311" i="10" s="1"/>
  <c r="F1310" i="10"/>
  <c r="G1310" i="10" s="1"/>
  <c r="H1310" i="10" s="1"/>
  <c r="F1309" i="10"/>
  <c r="G1309" i="10" s="1"/>
  <c r="H1309" i="10" s="1"/>
  <c r="F1308" i="10"/>
  <c r="G1308" i="10" s="1"/>
  <c r="H1308" i="10" s="1"/>
  <c r="F1307" i="10"/>
  <c r="G1307" i="10" s="1"/>
  <c r="H1307" i="10" s="1"/>
  <c r="F1306" i="10"/>
  <c r="G1306" i="10" s="1"/>
  <c r="H1306" i="10" s="1"/>
  <c r="F1305" i="10"/>
  <c r="G1305" i="10" s="1"/>
  <c r="H1305" i="10" s="1"/>
  <c r="F1304" i="10"/>
  <c r="G1304" i="10" s="1"/>
  <c r="H1304" i="10" s="1"/>
  <c r="F1303" i="10"/>
  <c r="G1303" i="10" s="1"/>
  <c r="H1303" i="10" s="1"/>
  <c r="F1302" i="10"/>
  <c r="G1302" i="10" s="1"/>
  <c r="H1302" i="10" s="1"/>
  <c r="F1301" i="10"/>
  <c r="G1301" i="10" s="1"/>
  <c r="H1301" i="10" s="1"/>
  <c r="F1300" i="10"/>
  <c r="G1300" i="10" s="1"/>
  <c r="H1300" i="10" s="1"/>
  <c r="F1299" i="10"/>
  <c r="G1299" i="10" s="1"/>
  <c r="H1299" i="10" s="1"/>
  <c r="F1298" i="10"/>
  <c r="G1298" i="10" s="1"/>
  <c r="H1298" i="10" s="1"/>
  <c r="F1297" i="10"/>
  <c r="G1297" i="10" s="1"/>
  <c r="H1297" i="10" s="1"/>
  <c r="F1296" i="10"/>
  <c r="G1296" i="10" s="1"/>
  <c r="H1296" i="10" s="1"/>
  <c r="F1295" i="10"/>
  <c r="G1295" i="10" s="1"/>
  <c r="H1295" i="10" s="1"/>
  <c r="F1294" i="10"/>
  <c r="G1294" i="10" s="1"/>
  <c r="H1294" i="10" s="1"/>
  <c r="F1293" i="10"/>
  <c r="G1293" i="10" s="1"/>
  <c r="H1293" i="10" s="1"/>
  <c r="F1292" i="10"/>
  <c r="G1292" i="10" s="1"/>
  <c r="H1292" i="10" s="1"/>
  <c r="F1291" i="10"/>
  <c r="G1291" i="10" s="1"/>
  <c r="H1291" i="10" s="1"/>
  <c r="F1290" i="10"/>
  <c r="G1290" i="10" s="1"/>
  <c r="H1290" i="10" s="1"/>
  <c r="F1289" i="10"/>
  <c r="G1289" i="10" s="1"/>
  <c r="H1289" i="10" s="1"/>
  <c r="F1288" i="10"/>
  <c r="G1288" i="10" s="1"/>
  <c r="H1288" i="10" s="1"/>
  <c r="F1287" i="10"/>
  <c r="G1287" i="10" s="1"/>
  <c r="H1287" i="10" s="1"/>
  <c r="F1286" i="10"/>
  <c r="G1286" i="10" s="1"/>
  <c r="H1286" i="10" s="1"/>
  <c r="F1285" i="10"/>
  <c r="G1285" i="10" s="1"/>
  <c r="H1285" i="10" s="1"/>
  <c r="F1284" i="10"/>
  <c r="G1284" i="10" s="1"/>
  <c r="H1284" i="10" s="1"/>
  <c r="F1283" i="10"/>
  <c r="G1283" i="10" s="1"/>
  <c r="H1283" i="10" s="1"/>
  <c r="F1282" i="10"/>
  <c r="G1282" i="10" s="1"/>
  <c r="H1282" i="10" s="1"/>
  <c r="F1281" i="10"/>
  <c r="G1281" i="10" s="1"/>
  <c r="H1281" i="10" s="1"/>
  <c r="F1280" i="10"/>
  <c r="G1280" i="10" s="1"/>
  <c r="H1280" i="10" s="1"/>
  <c r="F1279" i="10"/>
  <c r="G1279" i="10" s="1"/>
  <c r="H1279" i="10" s="1"/>
  <c r="F1278" i="10"/>
  <c r="G1278" i="10" s="1"/>
  <c r="H1278" i="10" s="1"/>
  <c r="F1277" i="10"/>
  <c r="G1277" i="10" s="1"/>
  <c r="H1277" i="10" s="1"/>
  <c r="F1276" i="10"/>
  <c r="G1276" i="10" s="1"/>
  <c r="H1276" i="10" s="1"/>
  <c r="F1275" i="10"/>
  <c r="G1275" i="10" s="1"/>
  <c r="H1275" i="10" s="1"/>
  <c r="F1274" i="10"/>
  <c r="G1274" i="10" s="1"/>
  <c r="H1274" i="10" s="1"/>
  <c r="F1273" i="10"/>
  <c r="G1273" i="10" s="1"/>
  <c r="H1273" i="10" s="1"/>
  <c r="F1272" i="10"/>
  <c r="G1272" i="10" s="1"/>
  <c r="H1272" i="10" s="1"/>
  <c r="F1271" i="10"/>
  <c r="G1271" i="10" s="1"/>
  <c r="H1271" i="10" s="1"/>
  <c r="F1270" i="10"/>
  <c r="G1270" i="10" s="1"/>
  <c r="H1270" i="10" s="1"/>
  <c r="F1269" i="10"/>
  <c r="G1269" i="10" s="1"/>
  <c r="H1269" i="10" s="1"/>
  <c r="F1268" i="10"/>
  <c r="G1268" i="10" s="1"/>
  <c r="H1268" i="10" s="1"/>
  <c r="F1267" i="10"/>
  <c r="G1267" i="10" s="1"/>
  <c r="H1267" i="10" s="1"/>
  <c r="F1266" i="10"/>
  <c r="G1266" i="10" s="1"/>
  <c r="H1266" i="10" s="1"/>
  <c r="F1265" i="10"/>
  <c r="G1265" i="10" s="1"/>
  <c r="H1265" i="10" s="1"/>
  <c r="F1264" i="10"/>
  <c r="G1264" i="10" s="1"/>
  <c r="H1264" i="10" s="1"/>
  <c r="F1263" i="10"/>
  <c r="G1263" i="10" s="1"/>
  <c r="H1263" i="10" s="1"/>
  <c r="F1262" i="10"/>
  <c r="G1262" i="10" s="1"/>
  <c r="H1262" i="10" s="1"/>
  <c r="F1261" i="10"/>
  <c r="G1261" i="10" s="1"/>
  <c r="H1261" i="10" s="1"/>
  <c r="F1260" i="10"/>
  <c r="G1260" i="10" s="1"/>
  <c r="H1260" i="10" s="1"/>
  <c r="F1259" i="10"/>
  <c r="G1259" i="10" s="1"/>
  <c r="H1259" i="10" s="1"/>
  <c r="F1258" i="10"/>
  <c r="G1258" i="10" s="1"/>
  <c r="H1258" i="10" s="1"/>
  <c r="F1257" i="10"/>
  <c r="G1257" i="10" s="1"/>
  <c r="H1257" i="10" s="1"/>
  <c r="F1256" i="10"/>
  <c r="G1256" i="10" s="1"/>
  <c r="H1256" i="10" s="1"/>
  <c r="F1255" i="10"/>
  <c r="G1255" i="10" s="1"/>
  <c r="H1255" i="10" s="1"/>
  <c r="F1254" i="10"/>
  <c r="G1254" i="10" s="1"/>
  <c r="H1254" i="10" s="1"/>
  <c r="F1253" i="10"/>
  <c r="G1253" i="10" s="1"/>
  <c r="H1253" i="10" s="1"/>
  <c r="F1252" i="10"/>
  <c r="G1252" i="10" s="1"/>
  <c r="H1252" i="10" s="1"/>
  <c r="F1251" i="10"/>
  <c r="G1251" i="10" s="1"/>
  <c r="H1251" i="10" s="1"/>
  <c r="F1250" i="10"/>
  <c r="G1250" i="10" s="1"/>
  <c r="H1250" i="10" s="1"/>
  <c r="F1249" i="10"/>
  <c r="G1249" i="10" s="1"/>
  <c r="H1249" i="10" s="1"/>
  <c r="F1248" i="10"/>
  <c r="G1248" i="10" s="1"/>
  <c r="H1248" i="10" s="1"/>
  <c r="F1247" i="10"/>
  <c r="G1247" i="10" s="1"/>
  <c r="H1247" i="10" s="1"/>
  <c r="F1246" i="10"/>
  <c r="G1246" i="10" s="1"/>
  <c r="H1246" i="10" s="1"/>
  <c r="F1245" i="10"/>
  <c r="G1245" i="10" s="1"/>
  <c r="H1245" i="10" s="1"/>
  <c r="F1244" i="10"/>
  <c r="G1244" i="10" s="1"/>
  <c r="H1244" i="10" s="1"/>
  <c r="F1243" i="10"/>
  <c r="G1243" i="10" s="1"/>
  <c r="H1243" i="10" s="1"/>
  <c r="F1242" i="10"/>
  <c r="G1242" i="10" s="1"/>
  <c r="H1242" i="10" s="1"/>
  <c r="F1241" i="10"/>
  <c r="G1241" i="10" s="1"/>
  <c r="H1241" i="10" s="1"/>
  <c r="F1240" i="10"/>
  <c r="G1240" i="10" s="1"/>
  <c r="H1240" i="10" s="1"/>
  <c r="F1239" i="10"/>
  <c r="G1239" i="10" s="1"/>
  <c r="H1239" i="10" s="1"/>
  <c r="F1238" i="10"/>
  <c r="G1238" i="10" s="1"/>
  <c r="H1238" i="10" s="1"/>
  <c r="F1237" i="10"/>
  <c r="G1237" i="10" s="1"/>
  <c r="H1237" i="10" s="1"/>
  <c r="F1236" i="10"/>
  <c r="G1236" i="10" s="1"/>
  <c r="H1236" i="10" s="1"/>
  <c r="F1235" i="10"/>
  <c r="G1235" i="10" s="1"/>
  <c r="H1235" i="10" s="1"/>
  <c r="F1234" i="10"/>
  <c r="G1234" i="10" s="1"/>
  <c r="H1234" i="10" s="1"/>
  <c r="F1233" i="10"/>
  <c r="G1233" i="10" s="1"/>
  <c r="H1233" i="10" s="1"/>
  <c r="F1232" i="10"/>
  <c r="G1232" i="10" s="1"/>
  <c r="H1232" i="10" s="1"/>
  <c r="F1231" i="10"/>
  <c r="G1231" i="10" s="1"/>
  <c r="H1231" i="10" s="1"/>
  <c r="F1230" i="10"/>
  <c r="G1230" i="10" s="1"/>
  <c r="H1230" i="10" s="1"/>
  <c r="F1229" i="10"/>
  <c r="G1229" i="10" s="1"/>
  <c r="H1229" i="10" s="1"/>
  <c r="F1228" i="10"/>
  <c r="G1228" i="10" s="1"/>
  <c r="H1228" i="10" s="1"/>
  <c r="F1227" i="10"/>
  <c r="G1227" i="10" s="1"/>
  <c r="H1227" i="10" s="1"/>
  <c r="F1226" i="10"/>
  <c r="G1226" i="10" s="1"/>
  <c r="H1226" i="10" s="1"/>
  <c r="F1225" i="10"/>
  <c r="G1225" i="10" s="1"/>
  <c r="H1225" i="10" s="1"/>
  <c r="F1224" i="10"/>
  <c r="G1224" i="10" s="1"/>
  <c r="H1224" i="10" s="1"/>
  <c r="F1223" i="10"/>
  <c r="G1223" i="10" s="1"/>
  <c r="H1223" i="10" s="1"/>
  <c r="F1222" i="10"/>
  <c r="G1222" i="10" s="1"/>
  <c r="H1222" i="10" s="1"/>
  <c r="F1221" i="10"/>
  <c r="G1221" i="10" s="1"/>
  <c r="H1221" i="10" s="1"/>
  <c r="F1220" i="10"/>
  <c r="G1220" i="10" s="1"/>
  <c r="H1220" i="10" s="1"/>
  <c r="F1219" i="10"/>
  <c r="G1219" i="10" s="1"/>
  <c r="H1219" i="10" s="1"/>
  <c r="F1218" i="10"/>
  <c r="G1218" i="10" s="1"/>
  <c r="H1218" i="10" s="1"/>
  <c r="F1217" i="10"/>
  <c r="G1217" i="10" s="1"/>
  <c r="H1217" i="10" s="1"/>
  <c r="F1216" i="10"/>
  <c r="G1216" i="10" s="1"/>
  <c r="H1216" i="10" s="1"/>
  <c r="F1215" i="10"/>
  <c r="G1215" i="10" s="1"/>
  <c r="H1215" i="10" s="1"/>
  <c r="F1214" i="10"/>
  <c r="G1214" i="10" s="1"/>
  <c r="H1214" i="10" s="1"/>
  <c r="F1213" i="10"/>
  <c r="G1213" i="10" s="1"/>
  <c r="H1213" i="10" s="1"/>
  <c r="F1212" i="10"/>
  <c r="G1212" i="10" s="1"/>
  <c r="H1212" i="10" s="1"/>
  <c r="F1211" i="10"/>
  <c r="G1211" i="10" s="1"/>
  <c r="H1211" i="10" s="1"/>
  <c r="F1210" i="10"/>
  <c r="G1210" i="10" s="1"/>
  <c r="H1210" i="10" s="1"/>
  <c r="F1209" i="10"/>
  <c r="G1209" i="10" s="1"/>
  <c r="H1209" i="10" s="1"/>
  <c r="F1208" i="10"/>
  <c r="G1208" i="10" s="1"/>
  <c r="H1208" i="10" s="1"/>
  <c r="F1207" i="10"/>
  <c r="G1207" i="10" s="1"/>
  <c r="H1207" i="10" s="1"/>
  <c r="F1206" i="10"/>
  <c r="G1206" i="10" s="1"/>
  <c r="H1206" i="10" s="1"/>
  <c r="F1205" i="10"/>
  <c r="G1205" i="10" s="1"/>
  <c r="H1205" i="10" s="1"/>
  <c r="F1204" i="10"/>
  <c r="G1204" i="10" s="1"/>
  <c r="H1204" i="10" s="1"/>
  <c r="F1203" i="10"/>
  <c r="G1203" i="10" s="1"/>
  <c r="H1203" i="10" s="1"/>
  <c r="F1202" i="10"/>
  <c r="G1202" i="10" s="1"/>
  <c r="H1202" i="10" s="1"/>
  <c r="F1201" i="10"/>
  <c r="G1201" i="10" s="1"/>
  <c r="H1201" i="10" s="1"/>
  <c r="F1200" i="10"/>
  <c r="G1200" i="10" s="1"/>
  <c r="H1200" i="10" s="1"/>
  <c r="F1199" i="10"/>
  <c r="G1199" i="10" s="1"/>
  <c r="H1199" i="10" s="1"/>
  <c r="F1198" i="10"/>
  <c r="G1198" i="10" s="1"/>
  <c r="H1198" i="10" s="1"/>
  <c r="F1197" i="10"/>
  <c r="G1197" i="10" s="1"/>
  <c r="H1197" i="10" s="1"/>
  <c r="F1196" i="10"/>
  <c r="G1196" i="10" s="1"/>
  <c r="H1196" i="10" s="1"/>
  <c r="F1195" i="10"/>
  <c r="G1195" i="10" s="1"/>
  <c r="H1195" i="10" s="1"/>
  <c r="F1194" i="10"/>
  <c r="G1194" i="10" s="1"/>
  <c r="H1194" i="10" s="1"/>
  <c r="F1193" i="10"/>
  <c r="G1193" i="10" s="1"/>
  <c r="H1193" i="10" s="1"/>
  <c r="F1192" i="10"/>
  <c r="G1192" i="10" s="1"/>
  <c r="H1192" i="10" s="1"/>
  <c r="F1191" i="10"/>
  <c r="G1191" i="10" s="1"/>
  <c r="H1191" i="10" s="1"/>
  <c r="F1190" i="10"/>
  <c r="G1190" i="10" s="1"/>
  <c r="H1190" i="10" s="1"/>
  <c r="F1189" i="10"/>
  <c r="G1189" i="10" s="1"/>
  <c r="H1189" i="10" s="1"/>
  <c r="F1188" i="10"/>
  <c r="G1188" i="10" s="1"/>
  <c r="H1188" i="10" s="1"/>
  <c r="F1187" i="10"/>
  <c r="G1187" i="10" s="1"/>
  <c r="H1187" i="10" s="1"/>
  <c r="F1186" i="10"/>
  <c r="G1186" i="10" s="1"/>
  <c r="H1186" i="10" s="1"/>
  <c r="F1185" i="10"/>
  <c r="G1185" i="10" s="1"/>
  <c r="H1185" i="10" s="1"/>
  <c r="F1184" i="10"/>
  <c r="G1184" i="10" s="1"/>
  <c r="H1184" i="10" s="1"/>
  <c r="F1183" i="10"/>
  <c r="G1183" i="10" s="1"/>
  <c r="H1183" i="10" s="1"/>
  <c r="F1182" i="10"/>
  <c r="G1182" i="10" s="1"/>
  <c r="H1182" i="10" s="1"/>
  <c r="F1181" i="10"/>
  <c r="G1181" i="10" s="1"/>
  <c r="H1181" i="10" s="1"/>
  <c r="F1180" i="10"/>
  <c r="G1180" i="10" s="1"/>
  <c r="H1180" i="10" s="1"/>
  <c r="F1179" i="10"/>
  <c r="G1179" i="10" s="1"/>
  <c r="H1179" i="10" s="1"/>
  <c r="F1178" i="10"/>
  <c r="G1178" i="10" s="1"/>
  <c r="H1178" i="10" s="1"/>
  <c r="F1177" i="10"/>
  <c r="G1177" i="10" s="1"/>
  <c r="H1177" i="10" s="1"/>
  <c r="F1176" i="10"/>
  <c r="G1176" i="10" s="1"/>
  <c r="H1176" i="10" s="1"/>
  <c r="F1175" i="10"/>
  <c r="G1175" i="10" s="1"/>
  <c r="H1175" i="10" s="1"/>
  <c r="F1174" i="10"/>
  <c r="G1174" i="10" s="1"/>
  <c r="H1174" i="10" s="1"/>
  <c r="F1173" i="10"/>
  <c r="G1173" i="10" s="1"/>
  <c r="H1173" i="10" s="1"/>
  <c r="F1172" i="10"/>
  <c r="G1172" i="10" s="1"/>
  <c r="H1172" i="10" s="1"/>
  <c r="F1171" i="10"/>
  <c r="G1171" i="10" s="1"/>
  <c r="H1171" i="10" s="1"/>
  <c r="F1170" i="10"/>
  <c r="G1170" i="10" s="1"/>
  <c r="H1170" i="10" s="1"/>
  <c r="F1169" i="10"/>
  <c r="G1169" i="10" s="1"/>
  <c r="H1169" i="10" s="1"/>
  <c r="F1168" i="10"/>
  <c r="G1168" i="10" s="1"/>
  <c r="H1168" i="10" s="1"/>
  <c r="F1167" i="10"/>
  <c r="G1167" i="10" s="1"/>
  <c r="H1167" i="10" s="1"/>
  <c r="F1166" i="10"/>
  <c r="G1166" i="10" s="1"/>
  <c r="H1166" i="10" s="1"/>
  <c r="F1165" i="10"/>
  <c r="G1165" i="10" s="1"/>
  <c r="H1165" i="10" s="1"/>
  <c r="F1164" i="10"/>
  <c r="G1164" i="10" s="1"/>
  <c r="H1164" i="10" s="1"/>
  <c r="F1163" i="10"/>
  <c r="G1163" i="10" s="1"/>
  <c r="H1163" i="10" s="1"/>
  <c r="F1162" i="10"/>
  <c r="G1162" i="10" s="1"/>
  <c r="H1162" i="10" s="1"/>
  <c r="F1161" i="10"/>
  <c r="G1161" i="10" s="1"/>
  <c r="H1161" i="10" s="1"/>
  <c r="F1160" i="10"/>
  <c r="G1160" i="10" s="1"/>
  <c r="H1160" i="10" s="1"/>
  <c r="F1159" i="10"/>
  <c r="G1159" i="10" s="1"/>
  <c r="H1159" i="10" s="1"/>
  <c r="F1158" i="10"/>
  <c r="G1158" i="10" s="1"/>
  <c r="H1158" i="10" s="1"/>
  <c r="F1157" i="10"/>
  <c r="G1157" i="10" s="1"/>
  <c r="H1157" i="10" s="1"/>
  <c r="F1156" i="10"/>
  <c r="G1156" i="10" s="1"/>
  <c r="H1156" i="10" s="1"/>
  <c r="F1155" i="10"/>
  <c r="G1155" i="10" s="1"/>
  <c r="H1155" i="10" s="1"/>
  <c r="F1154" i="10"/>
  <c r="G1154" i="10" s="1"/>
  <c r="H1154" i="10" s="1"/>
  <c r="F1153" i="10"/>
  <c r="G1153" i="10" s="1"/>
  <c r="H1153" i="10" s="1"/>
  <c r="F1152" i="10"/>
  <c r="G1152" i="10" s="1"/>
  <c r="H1152" i="10" s="1"/>
  <c r="F1151" i="10"/>
  <c r="G1151" i="10" s="1"/>
  <c r="H1151" i="10" s="1"/>
  <c r="F1150" i="10"/>
  <c r="G1150" i="10" s="1"/>
  <c r="H1150" i="10" s="1"/>
  <c r="F1149" i="10"/>
  <c r="G1149" i="10" s="1"/>
  <c r="H1149" i="10" s="1"/>
  <c r="F1148" i="10"/>
  <c r="G1148" i="10" s="1"/>
  <c r="H1148" i="10" s="1"/>
  <c r="F1147" i="10"/>
  <c r="G1147" i="10" s="1"/>
  <c r="H1147" i="10" s="1"/>
  <c r="F1146" i="10"/>
  <c r="G1146" i="10" s="1"/>
  <c r="H1146" i="10" s="1"/>
  <c r="F1145" i="10"/>
  <c r="G1145" i="10" s="1"/>
  <c r="H1145" i="10" s="1"/>
  <c r="F1144" i="10"/>
  <c r="G1144" i="10" s="1"/>
  <c r="H1144" i="10" s="1"/>
  <c r="F1143" i="10"/>
  <c r="G1143" i="10" s="1"/>
  <c r="H1143" i="10" s="1"/>
  <c r="F1142" i="10"/>
  <c r="G1142" i="10" s="1"/>
  <c r="H1142" i="10" s="1"/>
  <c r="F1141" i="10"/>
  <c r="G1141" i="10" s="1"/>
  <c r="H1141" i="10" s="1"/>
  <c r="F1140" i="10"/>
  <c r="G1140" i="10" s="1"/>
  <c r="H1140" i="10" s="1"/>
  <c r="F1139" i="10"/>
  <c r="G1139" i="10" s="1"/>
  <c r="H1139" i="10" s="1"/>
  <c r="F1138" i="10"/>
  <c r="G1138" i="10" s="1"/>
  <c r="H1138" i="10" s="1"/>
  <c r="F1137" i="10"/>
  <c r="G1137" i="10" s="1"/>
  <c r="H1137" i="10" s="1"/>
  <c r="F1136" i="10"/>
  <c r="G1136" i="10" s="1"/>
  <c r="H1136" i="10" s="1"/>
  <c r="F1135" i="10"/>
  <c r="G1135" i="10" s="1"/>
  <c r="H1135" i="10" s="1"/>
  <c r="F1134" i="10"/>
  <c r="G1134" i="10" s="1"/>
  <c r="H1134" i="10" s="1"/>
  <c r="F1133" i="10"/>
  <c r="G1133" i="10" s="1"/>
  <c r="H1133" i="10" s="1"/>
  <c r="F1132" i="10"/>
  <c r="G1132" i="10" s="1"/>
  <c r="H1132" i="10" s="1"/>
  <c r="F1131" i="10"/>
  <c r="G1131" i="10" s="1"/>
  <c r="H1131" i="10" s="1"/>
  <c r="F1130" i="10"/>
  <c r="G1130" i="10" s="1"/>
  <c r="H1130" i="10" s="1"/>
  <c r="F1129" i="10"/>
  <c r="G1129" i="10" s="1"/>
  <c r="H1129" i="10" s="1"/>
  <c r="F1128" i="10"/>
  <c r="G1128" i="10" s="1"/>
  <c r="H1128" i="10" s="1"/>
  <c r="F1127" i="10"/>
  <c r="G1127" i="10" s="1"/>
  <c r="H1127" i="10" s="1"/>
  <c r="F1126" i="10"/>
  <c r="G1126" i="10" s="1"/>
  <c r="H1126" i="10" s="1"/>
  <c r="F1125" i="10"/>
  <c r="G1125" i="10" s="1"/>
  <c r="H1125" i="10" s="1"/>
  <c r="F1124" i="10"/>
  <c r="G1124" i="10" s="1"/>
  <c r="H1124" i="10" s="1"/>
  <c r="F1123" i="10"/>
  <c r="G1123" i="10" s="1"/>
  <c r="H1123" i="10" s="1"/>
  <c r="F1122" i="10"/>
  <c r="G1122" i="10" s="1"/>
  <c r="H1122" i="10" s="1"/>
  <c r="F1121" i="10"/>
  <c r="G1121" i="10" s="1"/>
  <c r="H1121" i="10" s="1"/>
  <c r="F1120" i="10"/>
  <c r="G1120" i="10" s="1"/>
  <c r="H1120" i="10" s="1"/>
  <c r="F1119" i="10"/>
  <c r="G1119" i="10" s="1"/>
  <c r="H1119" i="10" s="1"/>
  <c r="F1118" i="10"/>
  <c r="G1118" i="10" s="1"/>
  <c r="H1118" i="10" s="1"/>
  <c r="F1117" i="10"/>
  <c r="G1117" i="10" s="1"/>
  <c r="H1117" i="10" s="1"/>
  <c r="F1116" i="10"/>
  <c r="G1116" i="10" s="1"/>
  <c r="H1116" i="10" s="1"/>
  <c r="F1115" i="10"/>
  <c r="G1115" i="10" s="1"/>
  <c r="H1115" i="10" s="1"/>
  <c r="F1114" i="10"/>
  <c r="G1114" i="10" s="1"/>
  <c r="H1114" i="10" s="1"/>
  <c r="F1113" i="10"/>
  <c r="G1113" i="10" s="1"/>
  <c r="H1113" i="10" s="1"/>
  <c r="F1112" i="10"/>
  <c r="G1112" i="10" s="1"/>
  <c r="H1112" i="10" s="1"/>
  <c r="F1111" i="10"/>
  <c r="G1111" i="10" s="1"/>
  <c r="H1111" i="10" s="1"/>
  <c r="F1110" i="10"/>
  <c r="G1110" i="10" s="1"/>
  <c r="H1110" i="10" s="1"/>
  <c r="F1109" i="10"/>
  <c r="G1109" i="10" s="1"/>
  <c r="H1109" i="10" s="1"/>
  <c r="F1108" i="10"/>
  <c r="G1108" i="10" s="1"/>
  <c r="H1108" i="10" s="1"/>
  <c r="F1107" i="10"/>
  <c r="G1107" i="10" s="1"/>
  <c r="H1107" i="10" s="1"/>
  <c r="F1106" i="10"/>
  <c r="G1106" i="10" s="1"/>
  <c r="H1106" i="10" s="1"/>
  <c r="F1105" i="10"/>
  <c r="G1105" i="10" s="1"/>
  <c r="H1105" i="10" s="1"/>
  <c r="F1104" i="10"/>
  <c r="G1104" i="10" s="1"/>
  <c r="H1104" i="10" s="1"/>
  <c r="F1103" i="10"/>
  <c r="G1103" i="10" s="1"/>
  <c r="H1103" i="10" s="1"/>
  <c r="F1102" i="10"/>
  <c r="G1102" i="10" s="1"/>
  <c r="H1102" i="10" s="1"/>
  <c r="F1101" i="10"/>
  <c r="G1101" i="10" s="1"/>
  <c r="H1101" i="10" s="1"/>
  <c r="F1100" i="10"/>
  <c r="G1100" i="10" s="1"/>
  <c r="H1100" i="10" s="1"/>
  <c r="F1099" i="10"/>
  <c r="G1099" i="10" s="1"/>
  <c r="H1099" i="10" s="1"/>
  <c r="F1098" i="10"/>
  <c r="G1098" i="10" s="1"/>
  <c r="H1098" i="10" s="1"/>
  <c r="F1097" i="10"/>
  <c r="G1097" i="10" s="1"/>
  <c r="H1097" i="10" s="1"/>
  <c r="F1096" i="10"/>
  <c r="G1096" i="10" s="1"/>
  <c r="H1096" i="10" s="1"/>
  <c r="F1095" i="10"/>
  <c r="G1095" i="10" s="1"/>
  <c r="H1095" i="10" s="1"/>
  <c r="F1094" i="10"/>
  <c r="G1094" i="10" s="1"/>
  <c r="H1094" i="10" s="1"/>
  <c r="F1093" i="10"/>
  <c r="G1093" i="10" s="1"/>
  <c r="H1093" i="10" s="1"/>
  <c r="F1092" i="10"/>
  <c r="G1092" i="10" s="1"/>
  <c r="H1092" i="10" s="1"/>
  <c r="F1091" i="10"/>
  <c r="G1091" i="10" s="1"/>
  <c r="H1091" i="10" s="1"/>
  <c r="F1090" i="10"/>
  <c r="G1090" i="10" s="1"/>
  <c r="H1090" i="10" s="1"/>
  <c r="F1089" i="10"/>
  <c r="G1089" i="10" s="1"/>
  <c r="H1089" i="10" s="1"/>
  <c r="F1088" i="10"/>
  <c r="G1088" i="10" s="1"/>
  <c r="H1088" i="10" s="1"/>
  <c r="F1087" i="10"/>
  <c r="G1087" i="10" s="1"/>
  <c r="H1087" i="10" s="1"/>
  <c r="F1086" i="10"/>
  <c r="G1086" i="10" s="1"/>
  <c r="H1086" i="10" s="1"/>
  <c r="F1085" i="10"/>
  <c r="G1085" i="10" s="1"/>
  <c r="H1085" i="10" s="1"/>
  <c r="F1084" i="10"/>
  <c r="G1084" i="10" s="1"/>
  <c r="H1084" i="10" s="1"/>
  <c r="F1083" i="10"/>
  <c r="G1083" i="10" s="1"/>
  <c r="H1083" i="10" s="1"/>
  <c r="F1082" i="10"/>
  <c r="G1082" i="10" s="1"/>
  <c r="H1082" i="10" s="1"/>
  <c r="F1081" i="10"/>
  <c r="G1081" i="10" s="1"/>
  <c r="H1081" i="10" s="1"/>
  <c r="F1080" i="10"/>
  <c r="G1080" i="10" s="1"/>
  <c r="H1080" i="10" s="1"/>
  <c r="F1079" i="10"/>
  <c r="G1079" i="10" s="1"/>
  <c r="H1079" i="10" s="1"/>
  <c r="F1078" i="10"/>
  <c r="G1078" i="10" s="1"/>
  <c r="H1078" i="10" s="1"/>
  <c r="F1077" i="10"/>
  <c r="G1077" i="10" s="1"/>
  <c r="H1077" i="10" s="1"/>
  <c r="F1076" i="10"/>
  <c r="G1076" i="10" s="1"/>
  <c r="H1076" i="10" s="1"/>
  <c r="F1075" i="10"/>
  <c r="G1075" i="10" s="1"/>
  <c r="H1075" i="10" s="1"/>
  <c r="F1074" i="10"/>
  <c r="G1074" i="10" s="1"/>
  <c r="H1074" i="10" s="1"/>
  <c r="F1073" i="10"/>
  <c r="G1073" i="10" s="1"/>
  <c r="H1073" i="10" s="1"/>
  <c r="F1072" i="10"/>
  <c r="G1072" i="10" s="1"/>
  <c r="H1072" i="10" s="1"/>
  <c r="F1071" i="10"/>
  <c r="G1071" i="10" s="1"/>
  <c r="H1071" i="10" s="1"/>
  <c r="F1070" i="10"/>
  <c r="G1070" i="10" s="1"/>
  <c r="H1070" i="10" s="1"/>
  <c r="F1069" i="10"/>
  <c r="G1069" i="10" s="1"/>
  <c r="H1069" i="10" s="1"/>
  <c r="F1068" i="10"/>
  <c r="G1068" i="10" s="1"/>
  <c r="H1068" i="10" s="1"/>
  <c r="F1067" i="10"/>
  <c r="G1067" i="10" s="1"/>
  <c r="H1067" i="10" s="1"/>
  <c r="F1066" i="10"/>
  <c r="G1066" i="10" s="1"/>
  <c r="H1066" i="10" s="1"/>
  <c r="F1065" i="10"/>
  <c r="G1065" i="10" s="1"/>
  <c r="H1065" i="10" s="1"/>
  <c r="F1064" i="10"/>
  <c r="G1064" i="10" s="1"/>
  <c r="H1064" i="10" s="1"/>
  <c r="F1063" i="10"/>
  <c r="G1063" i="10" s="1"/>
  <c r="H1063" i="10" s="1"/>
  <c r="F1062" i="10"/>
  <c r="G1062" i="10" s="1"/>
  <c r="H1062" i="10" s="1"/>
  <c r="F1061" i="10"/>
  <c r="G1061" i="10" s="1"/>
  <c r="H1061" i="10" s="1"/>
  <c r="F1060" i="10"/>
  <c r="G1060" i="10" s="1"/>
  <c r="H1060" i="10" s="1"/>
  <c r="F1059" i="10"/>
  <c r="G1059" i="10" s="1"/>
  <c r="H1059" i="10" s="1"/>
  <c r="F1058" i="10"/>
  <c r="G1058" i="10" s="1"/>
  <c r="H1058" i="10" s="1"/>
  <c r="F1057" i="10"/>
  <c r="G1057" i="10" s="1"/>
  <c r="H1057" i="10" s="1"/>
  <c r="F1056" i="10"/>
  <c r="G1056" i="10" s="1"/>
  <c r="H1056" i="10" s="1"/>
  <c r="F1055" i="10"/>
  <c r="G1055" i="10" s="1"/>
  <c r="H1055" i="10" s="1"/>
  <c r="F1054" i="10"/>
  <c r="G1054" i="10" s="1"/>
  <c r="H1054" i="10" s="1"/>
  <c r="F1053" i="10"/>
  <c r="G1053" i="10" s="1"/>
  <c r="H1053" i="10" s="1"/>
  <c r="F1052" i="10"/>
  <c r="G1052" i="10" s="1"/>
  <c r="H1052" i="10" s="1"/>
  <c r="F1051" i="10"/>
  <c r="G1051" i="10" s="1"/>
  <c r="H1051" i="10" s="1"/>
  <c r="F1050" i="10"/>
  <c r="G1050" i="10" s="1"/>
  <c r="H1050" i="10" s="1"/>
  <c r="F1049" i="10"/>
  <c r="G1049" i="10" s="1"/>
  <c r="H1049" i="10" s="1"/>
  <c r="F1048" i="10"/>
  <c r="G1048" i="10" s="1"/>
  <c r="H1048" i="10" s="1"/>
  <c r="F1047" i="10"/>
  <c r="G1047" i="10" s="1"/>
  <c r="H1047" i="10" s="1"/>
  <c r="F1046" i="10"/>
  <c r="G1046" i="10" s="1"/>
  <c r="H1046" i="10" s="1"/>
  <c r="F1045" i="10"/>
  <c r="G1045" i="10" s="1"/>
  <c r="H1045" i="10" s="1"/>
  <c r="F1044" i="10"/>
  <c r="G1044" i="10" s="1"/>
  <c r="H1044" i="10" s="1"/>
  <c r="F1043" i="10"/>
  <c r="G1043" i="10" s="1"/>
  <c r="H1043" i="10" s="1"/>
  <c r="F1042" i="10"/>
  <c r="G1042" i="10" s="1"/>
  <c r="H1042" i="10" s="1"/>
  <c r="F1041" i="10"/>
  <c r="G1041" i="10" s="1"/>
  <c r="H1041" i="10" s="1"/>
  <c r="F1040" i="10"/>
  <c r="G1040" i="10" s="1"/>
  <c r="H1040" i="10" s="1"/>
  <c r="F1039" i="10"/>
  <c r="G1039" i="10" s="1"/>
  <c r="H1039" i="10" s="1"/>
  <c r="F1038" i="10"/>
  <c r="G1038" i="10" s="1"/>
  <c r="H1038" i="10" s="1"/>
  <c r="F1037" i="10"/>
  <c r="G1037" i="10" s="1"/>
  <c r="H1037" i="10" s="1"/>
  <c r="F1036" i="10"/>
  <c r="G1036" i="10" s="1"/>
  <c r="H1036" i="10" s="1"/>
  <c r="F1035" i="10"/>
  <c r="G1035" i="10" s="1"/>
  <c r="H1035" i="10" s="1"/>
  <c r="F1034" i="10"/>
  <c r="G1034" i="10" s="1"/>
  <c r="H1034" i="10" s="1"/>
  <c r="F1033" i="10"/>
  <c r="G1033" i="10" s="1"/>
  <c r="H1033" i="10" s="1"/>
  <c r="F1032" i="10"/>
  <c r="G1032" i="10" s="1"/>
  <c r="H1032" i="10" s="1"/>
  <c r="F1031" i="10"/>
  <c r="G1031" i="10" s="1"/>
  <c r="H1031" i="10" s="1"/>
  <c r="F1030" i="10"/>
  <c r="G1030" i="10" s="1"/>
  <c r="H1030" i="10" s="1"/>
  <c r="F1029" i="10"/>
  <c r="G1029" i="10" s="1"/>
  <c r="H1029" i="10" s="1"/>
  <c r="F1028" i="10"/>
  <c r="G1028" i="10" s="1"/>
  <c r="H1028" i="10" s="1"/>
  <c r="F1027" i="10"/>
  <c r="G1027" i="10" s="1"/>
  <c r="H1027" i="10" s="1"/>
  <c r="F1026" i="10"/>
  <c r="G1026" i="10" s="1"/>
  <c r="H1026" i="10" s="1"/>
  <c r="F1025" i="10"/>
  <c r="G1025" i="10" s="1"/>
  <c r="H1025" i="10" s="1"/>
  <c r="F1024" i="10"/>
  <c r="G1024" i="10" s="1"/>
  <c r="H1024" i="10" s="1"/>
  <c r="F1023" i="10"/>
  <c r="G1023" i="10" s="1"/>
  <c r="H1023" i="10" s="1"/>
  <c r="F1022" i="10"/>
  <c r="G1022" i="10" s="1"/>
  <c r="H1022" i="10" s="1"/>
  <c r="F1021" i="10"/>
  <c r="G1021" i="10" s="1"/>
  <c r="H1021" i="10" s="1"/>
  <c r="F1020" i="10"/>
  <c r="G1020" i="10" s="1"/>
  <c r="H1020" i="10" s="1"/>
  <c r="F1019" i="10"/>
  <c r="G1019" i="10" s="1"/>
  <c r="H1019" i="10" s="1"/>
  <c r="F1018" i="10"/>
  <c r="G1018" i="10" s="1"/>
  <c r="H1018" i="10" s="1"/>
  <c r="F1017" i="10"/>
  <c r="G1017" i="10" s="1"/>
  <c r="H1017" i="10" s="1"/>
  <c r="F1016" i="10"/>
  <c r="G1016" i="10" s="1"/>
  <c r="H1016" i="10" s="1"/>
  <c r="F1015" i="10"/>
  <c r="G1015" i="10" s="1"/>
  <c r="H1015" i="10" s="1"/>
  <c r="F1014" i="10"/>
  <c r="G1014" i="10" s="1"/>
  <c r="H1014" i="10" s="1"/>
  <c r="F1013" i="10"/>
  <c r="G1013" i="10" s="1"/>
  <c r="H1013" i="10" s="1"/>
  <c r="F1012" i="10"/>
  <c r="G1012" i="10" s="1"/>
  <c r="H1012" i="10" s="1"/>
  <c r="F1011" i="10"/>
  <c r="G1011" i="10" s="1"/>
  <c r="H1011" i="10" s="1"/>
  <c r="F1010" i="10"/>
  <c r="G1010" i="10" s="1"/>
  <c r="H1010" i="10" s="1"/>
  <c r="F1009" i="10"/>
  <c r="G1009" i="10" s="1"/>
  <c r="H1009" i="10" s="1"/>
  <c r="F1008" i="10"/>
  <c r="G1008" i="10" s="1"/>
  <c r="H1008" i="10" s="1"/>
  <c r="F1007" i="10"/>
  <c r="G1007" i="10" s="1"/>
  <c r="H1007" i="10" s="1"/>
  <c r="F1006" i="10"/>
  <c r="G1006" i="10" s="1"/>
  <c r="H1006" i="10" s="1"/>
  <c r="F1005" i="10"/>
  <c r="G1005" i="10" s="1"/>
  <c r="H1005" i="10" s="1"/>
  <c r="F1004" i="10"/>
  <c r="G1004" i="10" s="1"/>
  <c r="H1004" i="10" s="1"/>
  <c r="F1003" i="10"/>
  <c r="G1003" i="10" s="1"/>
  <c r="H1003" i="10" s="1"/>
  <c r="F1002" i="10"/>
  <c r="G1002" i="10" s="1"/>
  <c r="H1002" i="10" s="1"/>
  <c r="F1001" i="10"/>
  <c r="G1001" i="10" s="1"/>
  <c r="H1001" i="10" s="1"/>
  <c r="F1000" i="10"/>
  <c r="G1000" i="10" s="1"/>
  <c r="H1000" i="10" s="1"/>
  <c r="F999" i="10"/>
  <c r="G999" i="10" s="1"/>
  <c r="H999" i="10" s="1"/>
  <c r="F998" i="10"/>
  <c r="G998" i="10" s="1"/>
  <c r="H998" i="10" s="1"/>
  <c r="F997" i="10"/>
  <c r="G997" i="10" s="1"/>
  <c r="H997" i="10" s="1"/>
  <c r="F996" i="10"/>
  <c r="G996" i="10" s="1"/>
  <c r="H996" i="10" s="1"/>
  <c r="F995" i="10"/>
  <c r="G995" i="10" s="1"/>
  <c r="H995" i="10" s="1"/>
  <c r="F994" i="10"/>
  <c r="G994" i="10" s="1"/>
  <c r="H994" i="10" s="1"/>
  <c r="F993" i="10"/>
  <c r="G993" i="10" s="1"/>
  <c r="H993" i="10" s="1"/>
  <c r="F992" i="10"/>
  <c r="G992" i="10" s="1"/>
  <c r="H992" i="10" s="1"/>
  <c r="F991" i="10"/>
  <c r="G991" i="10" s="1"/>
  <c r="H991" i="10" s="1"/>
  <c r="F990" i="10"/>
  <c r="G990" i="10" s="1"/>
  <c r="H990" i="10" s="1"/>
  <c r="F989" i="10"/>
  <c r="G989" i="10" s="1"/>
  <c r="H989" i="10" s="1"/>
  <c r="F988" i="10"/>
  <c r="G988" i="10" s="1"/>
  <c r="H988" i="10" s="1"/>
  <c r="F987" i="10"/>
  <c r="G987" i="10" s="1"/>
  <c r="H987" i="10" s="1"/>
  <c r="F986" i="10"/>
  <c r="G986" i="10" s="1"/>
  <c r="H986" i="10" s="1"/>
  <c r="F985" i="10"/>
  <c r="G985" i="10" s="1"/>
  <c r="H985" i="10" s="1"/>
  <c r="F984" i="10"/>
  <c r="G984" i="10" s="1"/>
  <c r="H984" i="10" s="1"/>
  <c r="F983" i="10"/>
  <c r="G983" i="10" s="1"/>
  <c r="H983" i="10" s="1"/>
  <c r="F982" i="10"/>
  <c r="G982" i="10" s="1"/>
  <c r="H982" i="10" s="1"/>
  <c r="F981" i="10"/>
  <c r="G981" i="10" s="1"/>
  <c r="H981" i="10" s="1"/>
  <c r="F980" i="10"/>
  <c r="G980" i="10" s="1"/>
  <c r="H980" i="10" s="1"/>
  <c r="F979" i="10"/>
  <c r="G979" i="10" s="1"/>
  <c r="H979" i="10" s="1"/>
  <c r="F978" i="10"/>
  <c r="G978" i="10" s="1"/>
  <c r="H978" i="10" s="1"/>
  <c r="F977" i="10"/>
  <c r="G977" i="10" s="1"/>
  <c r="H977" i="10" s="1"/>
  <c r="F976" i="10"/>
  <c r="G976" i="10" s="1"/>
  <c r="H976" i="10" s="1"/>
  <c r="F975" i="10"/>
  <c r="G975" i="10" s="1"/>
  <c r="H975" i="10" s="1"/>
  <c r="F974" i="10"/>
  <c r="G974" i="10" s="1"/>
  <c r="H974" i="10" s="1"/>
  <c r="F973" i="10"/>
  <c r="G973" i="10" s="1"/>
  <c r="H973" i="10" s="1"/>
  <c r="F972" i="10"/>
  <c r="G972" i="10" s="1"/>
  <c r="H972" i="10" s="1"/>
  <c r="F971" i="10"/>
  <c r="G971" i="10" s="1"/>
  <c r="H971" i="10" s="1"/>
  <c r="F970" i="10"/>
  <c r="G970" i="10" s="1"/>
  <c r="H970" i="10" s="1"/>
  <c r="F969" i="10"/>
  <c r="G969" i="10" s="1"/>
  <c r="H969" i="10" s="1"/>
  <c r="F968" i="10"/>
  <c r="G968" i="10" s="1"/>
  <c r="H968" i="10" s="1"/>
  <c r="F967" i="10"/>
  <c r="G967" i="10" s="1"/>
  <c r="H967" i="10" s="1"/>
  <c r="F966" i="10"/>
  <c r="G966" i="10" s="1"/>
  <c r="H966" i="10" s="1"/>
  <c r="F965" i="10"/>
  <c r="G965" i="10" s="1"/>
  <c r="H965" i="10" s="1"/>
  <c r="F964" i="10"/>
  <c r="G964" i="10" s="1"/>
  <c r="H964" i="10" s="1"/>
  <c r="F963" i="10"/>
  <c r="G963" i="10" s="1"/>
  <c r="H963" i="10" s="1"/>
  <c r="F962" i="10"/>
  <c r="G962" i="10" s="1"/>
  <c r="H962" i="10" s="1"/>
  <c r="F961" i="10"/>
  <c r="G961" i="10" s="1"/>
  <c r="H961" i="10" s="1"/>
  <c r="F960" i="10"/>
  <c r="G960" i="10" s="1"/>
  <c r="H960" i="10" s="1"/>
  <c r="F959" i="10"/>
  <c r="G959" i="10" s="1"/>
  <c r="H959" i="10" s="1"/>
  <c r="F958" i="10"/>
  <c r="G958" i="10" s="1"/>
  <c r="H958" i="10" s="1"/>
  <c r="F957" i="10"/>
  <c r="G957" i="10" s="1"/>
  <c r="H957" i="10" s="1"/>
  <c r="F956" i="10"/>
  <c r="G956" i="10" s="1"/>
  <c r="H956" i="10" s="1"/>
  <c r="F955" i="10"/>
  <c r="G955" i="10" s="1"/>
  <c r="H955" i="10" s="1"/>
  <c r="F954" i="10"/>
  <c r="G954" i="10" s="1"/>
  <c r="H954" i="10" s="1"/>
  <c r="F953" i="10"/>
  <c r="G953" i="10" s="1"/>
  <c r="H953" i="10" s="1"/>
  <c r="F952" i="10"/>
  <c r="G952" i="10" s="1"/>
  <c r="H952" i="10" s="1"/>
  <c r="F951" i="10"/>
  <c r="G951" i="10" s="1"/>
  <c r="H951" i="10" s="1"/>
  <c r="F950" i="10"/>
  <c r="G950" i="10" s="1"/>
  <c r="H950" i="10" s="1"/>
  <c r="F949" i="10"/>
  <c r="G949" i="10" s="1"/>
  <c r="H949" i="10" s="1"/>
  <c r="F948" i="10"/>
  <c r="G948" i="10" s="1"/>
  <c r="H948" i="10" s="1"/>
  <c r="F947" i="10"/>
  <c r="G947" i="10" s="1"/>
  <c r="H947" i="10" s="1"/>
  <c r="F946" i="10"/>
  <c r="G946" i="10" s="1"/>
  <c r="H946" i="10" s="1"/>
  <c r="F945" i="10"/>
  <c r="G945" i="10" s="1"/>
  <c r="H945" i="10" s="1"/>
  <c r="F944" i="10"/>
  <c r="G944" i="10" s="1"/>
  <c r="H944" i="10" s="1"/>
  <c r="F943" i="10"/>
  <c r="G943" i="10" s="1"/>
  <c r="H943" i="10" s="1"/>
  <c r="F942" i="10"/>
  <c r="G942" i="10" s="1"/>
  <c r="H942" i="10" s="1"/>
  <c r="F941" i="10"/>
  <c r="G941" i="10" s="1"/>
  <c r="H941" i="10" s="1"/>
  <c r="F940" i="10"/>
  <c r="G940" i="10" s="1"/>
  <c r="H940" i="10" s="1"/>
  <c r="F939" i="10"/>
  <c r="G939" i="10" s="1"/>
  <c r="H939" i="10" s="1"/>
  <c r="F938" i="10"/>
  <c r="G938" i="10" s="1"/>
  <c r="H938" i="10" s="1"/>
  <c r="F937" i="10"/>
  <c r="G937" i="10" s="1"/>
  <c r="H937" i="10" s="1"/>
  <c r="F936" i="10"/>
  <c r="G936" i="10" s="1"/>
  <c r="H936" i="10" s="1"/>
  <c r="F935" i="10"/>
  <c r="G935" i="10" s="1"/>
  <c r="H935" i="10" s="1"/>
  <c r="F934" i="10"/>
  <c r="G934" i="10" s="1"/>
  <c r="H934" i="10" s="1"/>
  <c r="F933" i="10"/>
  <c r="G933" i="10" s="1"/>
  <c r="H933" i="10" s="1"/>
  <c r="F932" i="10"/>
  <c r="G932" i="10" s="1"/>
  <c r="H932" i="10" s="1"/>
  <c r="F931" i="10"/>
  <c r="G931" i="10" s="1"/>
  <c r="H931" i="10" s="1"/>
  <c r="F930" i="10"/>
  <c r="G930" i="10" s="1"/>
  <c r="H930" i="10" s="1"/>
  <c r="F929" i="10"/>
  <c r="G929" i="10" s="1"/>
  <c r="H929" i="10" s="1"/>
  <c r="F928" i="10"/>
  <c r="G928" i="10" s="1"/>
  <c r="H928" i="10" s="1"/>
  <c r="F927" i="10"/>
  <c r="G927" i="10" s="1"/>
  <c r="H927" i="10" s="1"/>
  <c r="F926" i="10"/>
  <c r="G926" i="10" s="1"/>
  <c r="H926" i="10" s="1"/>
  <c r="F925" i="10"/>
  <c r="G925" i="10" s="1"/>
  <c r="H925" i="10" s="1"/>
  <c r="F924" i="10"/>
  <c r="G924" i="10" s="1"/>
  <c r="H924" i="10" s="1"/>
  <c r="F923" i="10"/>
  <c r="G923" i="10" s="1"/>
  <c r="H923" i="10" s="1"/>
  <c r="F922" i="10"/>
  <c r="G922" i="10" s="1"/>
  <c r="H922" i="10" s="1"/>
  <c r="F921" i="10"/>
  <c r="G921" i="10" s="1"/>
  <c r="H921" i="10" s="1"/>
  <c r="F920" i="10"/>
  <c r="G920" i="10" s="1"/>
  <c r="H920" i="10" s="1"/>
  <c r="F919" i="10"/>
  <c r="G919" i="10" s="1"/>
  <c r="H919" i="10" s="1"/>
  <c r="F918" i="10"/>
  <c r="G918" i="10" s="1"/>
  <c r="H918" i="10" s="1"/>
  <c r="F917" i="10"/>
  <c r="G917" i="10" s="1"/>
  <c r="H917" i="10" s="1"/>
  <c r="F916" i="10"/>
  <c r="G916" i="10" s="1"/>
  <c r="H916" i="10" s="1"/>
  <c r="F915" i="10"/>
  <c r="G915" i="10" s="1"/>
  <c r="H915" i="10" s="1"/>
  <c r="F914" i="10"/>
  <c r="G914" i="10" s="1"/>
  <c r="H914" i="10" s="1"/>
  <c r="F913" i="10"/>
  <c r="G913" i="10" s="1"/>
  <c r="H913" i="10" s="1"/>
  <c r="F912" i="10"/>
  <c r="G912" i="10" s="1"/>
  <c r="H912" i="10" s="1"/>
  <c r="F911" i="10"/>
  <c r="G911" i="10" s="1"/>
  <c r="H911" i="10" s="1"/>
  <c r="F910" i="10"/>
  <c r="G910" i="10" s="1"/>
  <c r="H910" i="10" s="1"/>
  <c r="F909" i="10"/>
  <c r="G909" i="10" s="1"/>
  <c r="H909" i="10" s="1"/>
  <c r="F908" i="10"/>
  <c r="G908" i="10" s="1"/>
  <c r="H908" i="10" s="1"/>
  <c r="F907" i="10"/>
  <c r="G907" i="10" s="1"/>
  <c r="H907" i="10" s="1"/>
  <c r="F906" i="10"/>
  <c r="G906" i="10" s="1"/>
  <c r="H906" i="10" s="1"/>
  <c r="F905" i="10"/>
  <c r="G905" i="10" s="1"/>
  <c r="H905" i="10" s="1"/>
  <c r="F904" i="10"/>
  <c r="G904" i="10" s="1"/>
  <c r="H904" i="10" s="1"/>
  <c r="F903" i="10"/>
  <c r="G903" i="10" s="1"/>
  <c r="H903" i="10" s="1"/>
  <c r="F902" i="10"/>
  <c r="G902" i="10" s="1"/>
  <c r="H902" i="10" s="1"/>
  <c r="F901" i="10"/>
  <c r="G901" i="10" s="1"/>
  <c r="H901" i="10" s="1"/>
  <c r="F900" i="10"/>
  <c r="G900" i="10" s="1"/>
  <c r="H900" i="10" s="1"/>
  <c r="F899" i="10"/>
  <c r="G899" i="10" s="1"/>
  <c r="H899" i="10" s="1"/>
  <c r="F898" i="10"/>
  <c r="G898" i="10" s="1"/>
  <c r="H898" i="10" s="1"/>
  <c r="F897" i="10"/>
  <c r="G897" i="10" s="1"/>
  <c r="H897" i="10" s="1"/>
  <c r="F896" i="10"/>
  <c r="G896" i="10" s="1"/>
  <c r="H896" i="10" s="1"/>
  <c r="F895" i="10"/>
  <c r="G895" i="10" s="1"/>
  <c r="H895" i="10" s="1"/>
  <c r="F894" i="10"/>
  <c r="G894" i="10" s="1"/>
  <c r="H894" i="10" s="1"/>
  <c r="F893" i="10"/>
  <c r="G893" i="10" s="1"/>
  <c r="H893" i="10" s="1"/>
  <c r="F892" i="10"/>
  <c r="G892" i="10" s="1"/>
  <c r="H892" i="10" s="1"/>
  <c r="F891" i="10"/>
  <c r="G891" i="10" s="1"/>
  <c r="H891" i="10" s="1"/>
  <c r="F890" i="10"/>
  <c r="G890" i="10" s="1"/>
  <c r="H890" i="10" s="1"/>
  <c r="F889" i="10"/>
  <c r="G889" i="10" s="1"/>
  <c r="H889" i="10" s="1"/>
  <c r="F888" i="10"/>
  <c r="G888" i="10" s="1"/>
  <c r="H888" i="10" s="1"/>
  <c r="F887" i="10"/>
  <c r="G887" i="10" s="1"/>
  <c r="H887" i="10" s="1"/>
  <c r="F886" i="10"/>
  <c r="G886" i="10" s="1"/>
  <c r="H886" i="10" s="1"/>
  <c r="F885" i="10"/>
  <c r="G885" i="10" s="1"/>
  <c r="H885" i="10" s="1"/>
  <c r="F884" i="10"/>
  <c r="G884" i="10" s="1"/>
  <c r="H884" i="10" s="1"/>
  <c r="F883" i="10"/>
  <c r="G883" i="10" s="1"/>
  <c r="H883" i="10" s="1"/>
  <c r="F882" i="10"/>
  <c r="G882" i="10" s="1"/>
  <c r="H882" i="10" s="1"/>
  <c r="F881" i="10"/>
  <c r="G881" i="10" s="1"/>
  <c r="H881" i="10" s="1"/>
  <c r="F880" i="10"/>
  <c r="G880" i="10" s="1"/>
  <c r="H880" i="10" s="1"/>
  <c r="F879" i="10"/>
  <c r="G879" i="10" s="1"/>
  <c r="H879" i="10" s="1"/>
  <c r="F878" i="10"/>
  <c r="G878" i="10" s="1"/>
  <c r="H878" i="10" s="1"/>
  <c r="F877" i="10"/>
  <c r="G877" i="10" s="1"/>
  <c r="H877" i="10" s="1"/>
  <c r="F876" i="10"/>
  <c r="G876" i="10" s="1"/>
  <c r="H876" i="10" s="1"/>
  <c r="F875" i="10"/>
  <c r="G875" i="10" s="1"/>
  <c r="H875" i="10" s="1"/>
  <c r="F874" i="10"/>
  <c r="G874" i="10" s="1"/>
  <c r="H874" i="10" s="1"/>
  <c r="F873" i="10"/>
  <c r="G873" i="10" s="1"/>
  <c r="H873" i="10" s="1"/>
  <c r="F872" i="10"/>
  <c r="G872" i="10" s="1"/>
  <c r="H872" i="10" s="1"/>
  <c r="F871" i="10"/>
  <c r="G871" i="10" s="1"/>
  <c r="H871" i="10" s="1"/>
  <c r="F870" i="10"/>
  <c r="G870" i="10" s="1"/>
  <c r="H870" i="10" s="1"/>
  <c r="F869" i="10"/>
  <c r="G869" i="10" s="1"/>
  <c r="H869" i="10" s="1"/>
  <c r="F868" i="10"/>
  <c r="G868" i="10" s="1"/>
  <c r="H868" i="10" s="1"/>
  <c r="F867" i="10"/>
  <c r="G867" i="10" s="1"/>
  <c r="H867" i="10" s="1"/>
  <c r="F866" i="10"/>
  <c r="G866" i="10" s="1"/>
  <c r="H866" i="10" s="1"/>
  <c r="F865" i="10"/>
  <c r="G865" i="10" s="1"/>
  <c r="H865" i="10" s="1"/>
  <c r="F864" i="10"/>
  <c r="G864" i="10" s="1"/>
  <c r="H864" i="10" s="1"/>
  <c r="F863" i="10"/>
  <c r="G863" i="10" s="1"/>
  <c r="H863" i="10" s="1"/>
  <c r="F862" i="10"/>
  <c r="G862" i="10" s="1"/>
  <c r="H862" i="10" s="1"/>
  <c r="F861" i="10"/>
  <c r="G861" i="10" s="1"/>
  <c r="H861" i="10" s="1"/>
  <c r="F860" i="10"/>
  <c r="G860" i="10" s="1"/>
  <c r="H860" i="10" s="1"/>
  <c r="F859" i="10"/>
  <c r="G859" i="10" s="1"/>
  <c r="H859" i="10" s="1"/>
  <c r="F858" i="10"/>
  <c r="G858" i="10" s="1"/>
  <c r="H858" i="10" s="1"/>
  <c r="F857" i="10"/>
  <c r="G857" i="10" s="1"/>
  <c r="H857" i="10" s="1"/>
  <c r="F856" i="10"/>
  <c r="G856" i="10" s="1"/>
  <c r="H856" i="10" s="1"/>
  <c r="F855" i="10"/>
  <c r="G855" i="10" s="1"/>
  <c r="H855" i="10" s="1"/>
  <c r="F854" i="10"/>
  <c r="G854" i="10" s="1"/>
  <c r="H854" i="10" s="1"/>
  <c r="F853" i="10"/>
  <c r="G853" i="10" s="1"/>
  <c r="H853" i="10" s="1"/>
  <c r="F852" i="10"/>
  <c r="G852" i="10" s="1"/>
  <c r="H852" i="10" s="1"/>
  <c r="F851" i="10"/>
  <c r="G851" i="10" s="1"/>
  <c r="H851" i="10" s="1"/>
  <c r="F850" i="10"/>
  <c r="G850" i="10" s="1"/>
  <c r="H850" i="10" s="1"/>
  <c r="F849" i="10"/>
  <c r="G849" i="10" s="1"/>
  <c r="H849" i="10" s="1"/>
  <c r="F848" i="10"/>
  <c r="G848" i="10" s="1"/>
  <c r="H848" i="10" s="1"/>
  <c r="F847" i="10"/>
  <c r="G847" i="10" s="1"/>
  <c r="H847" i="10" s="1"/>
  <c r="F846" i="10"/>
  <c r="G846" i="10" s="1"/>
  <c r="H846" i="10" s="1"/>
  <c r="F845" i="10"/>
  <c r="G845" i="10" s="1"/>
  <c r="H845" i="10" s="1"/>
  <c r="F844" i="10"/>
  <c r="G844" i="10" s="1"/>
  <c r="H844" i="10" s="1"/>
  <c r="F843" i="10"/>
  <c r="G843" i="10" s="1"/>
  <c r="H843" i="10" s="1"/>
  <c r="F842" i="10"/>
  <c r="G842" i="10" s="1"/>
  <c r="H842" i="10" s="1"/>
  <c r="F841" i="10"/>
  <c r="G841" i="10" s="1"/>
  <c r="H841" i="10" s="1"/>
  <c r="F840" i="10"/>
  <c r="G840" i="10" s="1"/>
  <c r="H840" i="10" s="1"/>
  <c r="F839" i="10"/>
  <c r="G839" i="10" s="1"/>
  <c r="H839" i="10" s="1"/>
  <c r="F838" i="10"/>
  <c r="G838" i="10" s="1"/>
  <c r="H838" i="10" s="1"/>
  <c r="F837" i="10"/>
  <c r="G837" i="10" s="1"/>
  <c r="H837" i="10" s="1"/>
  <c r="F836" i="10"/>
  <c r="G836" i="10" s="1"/>
  <c r="H836" i="10" s="1"/>
  <c r="F835" i="10"/>
  <c r="G835" i="10" s="1"/>
  <c r="H835" i="10" s="1"/>
  <c r="F834" i="10"/>
  <c r="G834" i="10" s="1"/>
  <c r="H834" i="10" s="1"/>
  <c r="F833" i="10"/>
  <c r="G833" i="10" s="1"/>
  <c r="H833" i="10" s="1"/>
  <c r="F832" i="10"/>
  <c r="G832" i="10" s="1"/>
  <c r="H832" i="10" s="1"/>
  <c r="F831" i="10"/>
  <c r="G831" i="10" s="1"/>
  <c r="H831" i="10" s="1"/>
  <c r="F830" i="10"/>
  <c r="G830" i="10" s="1"/>
  <c r="H830" i="10" s="1"/>
  <c r="F829" i="10"/>
  <c r="G829" i="10" s="1"/>
  <c r="H829" i="10" s="1"/>
  <c r="F828" i="10"/>
  <c r="G828" i="10" s="1"/>
  <c r="H828" i="10" s="1"/>
  <c r="F827" i="10"/>
  <c r="G827" i="10" s="1"/>
  <c r="H827" i="10" s="1"/>
  <c r="F826" i="10"/>
  <c r="G826" i="10" s="1"/>
  <c r="H826" i="10" s="1"/>
  <c r="F825" i="10"/>
  <c r="G825" i="10" s="1"/>
  <c r="H825" i="10" s="1"/>
  <c r="F824" i="10"/>
  <c r="G824" i="10" s="1"/>
  <c r="H824" i="10" s="1"/>
  <c r="F823" i="10"/>
  <c r="G823" i="10" s="1"/>
  <c r="H823" i="10" s="1"/>
  <c r="F822" i="10"/>
  <c r="G822" i="10" s="1"/>
  <c r="H822" i="10" s="1"/>
  <c r="F821" i="10"/>
  <c r="G821" i="10" s="1"/>
  <c r="H821" i="10" s="1"/>
  <c r="F820" i="10"/>
  <c r="G820" i="10" s="1"/>
  <c r="H820" i="10" s="1"/>
  <c r="F819" i="10"/>
  <c r="G819" i="10" s="1"/>
  <c r="H819" i="10" s="1"/>
  <c r="F818" i="10"/>
  <c r="G818" i="10" s="1"/>
  <c r="H818" i="10" s="1"/>
  <c r="F817" i="10"/>
  <c r="G817" i="10" s="1"/>
  <c r="H817" i="10" s="1"/>
  <c r="F816" i="10"/>
  <c r="G816" i="10" s="1"/>
  <c r="H816" i="10" s="1"/>
  <c r="F815" i="10"/>
  <c r="G815" i="10" s="1"/>
  <c r="H815" i="10" s="1"/>
  <c r="F814" i="10"/>
  <c r="G814" i="10" s="1"/>
  <c r="H814" i="10" s="1"/>
  <c r="F813" i="10"/>
  <c r="G813" i="10" s="1"/>
  <c r="H813" i="10" s="1"/>
  <c r="F812" i="10"/>
  <c r="G812" i="10" s="1"/>
  <c r="H812" i="10" s="1"/>
  <c r="F811" i="10"/>
  <c r="G811" i="10" s="1"/>
  <c r="H811" i="10" s="1"/>
  <c r="F810" i="10"/>
  <c r="G810" i="10" s="1"/>
  <c r="H810" i="10" s="1"/>
  <c r="F809" i="10"/>
  <c r="G809" i="10" s="1"/>
  <c r="H809" i="10" s="1"/>
  <c r="F808" i="10"/>
  <c r="G808" i="10" s="1"/>
  <c r="H808" i="10" s="1"/>
  <c r="F807" i="10"/>
  <c r="G807" i="10" s="1"/>
  <c r="H807" i="10" s="1"/>
  <c r="F806" i="10"/>
  <c r="G806" i="10" s="1"/>
  <c r="H806" i="10" s="1"/>
  <c r="F805" i="10"/>
  <c r="G805" i="10" s="1"/>
  <c r="H805" i="10" s="1"/>
  <c r="F804" i="10"/>
  <c r="G804" i="10" s="1"/>
  <c r="H804" i="10" s="1"/>
  <c r="F803" i="10"/>
  <c r="G803" i="10" s="1"/>
  <c r="H803" i="10" s="1"/>
  <c r="F802" i="10"/>
  <c r="G802" i="10" s="1"/>
  <c r="H802" i="10" s="1"/>
  <c r="F801" i="10"/>
  <c r="G801" i="10" s="1"/>
  <c r="H801" i="10" s="1"/>
  <c r="F800" i="10"/>
  <c r="G800" i="10" s="1"/>
  <c r="H800" i="10" s="1"/>
  <c r="F799" i="10"/>
  <c r="G799" i="10" s="1"/>
  <c r="H799" i="10" s="1"/>
  <c r="F798" i="10"/>
  <c r="G798" i="10" s="1"/>
  <c r="H798" i="10" s="1"/>
  <c r="F797" i="10"/>
  <c r="G797" i="10" s="1"/>
  <c r="H797" i="10" s="1"/>
  <c r="F796" i="10"/>
  <c r="G796" i="10" s="1"/>
  <c r="H796" i="10" s="1"/>
  <c r="F795" i="10"/>
  <c r="G795" i="10" s="1"/>
  <c r="H795" i="10" s="1"/>
  <c r="F794" i="10"/>
  <c r="G794" i="10" s="1"/>
  <c r="H794" i="10" s="1"/>
  <c r="F793" i="10"/>
  <c r="G793" i="10" s="1"/>
  <c r="H793" i="10" s="1"/>
  <c r="F792" i="10"/>
  <c r="G792" i="10" s="1"/>
  <c r="H792" i="10" s="1"/>
  <c r="F791" i="10"/>
  <c r="G791" i="10" s="1"/>
  <c r="H791" i="10" s="1"/>
  <c r="F790" i="10"/>
  <c r="G790" i="10" s="1"/>
  <c r="H790" i="10" s="1"/>
  <c r="F789" i="10"/>
  <c r="G789" i="10" s="1"/>
  <c r="H789" i="10" s="1"/>
  <c r="F788" i="10"/>
  <c r="G788" i="10" s="1"/>
  <c r="H788" i="10" s="1"/>
  <c r="F787" i="10"/>
  <c r="G787" i="10" s="1"/>
  <c r="H787" i="10" s="1"/>
  <c r="F786" i="10"/>
  <c r="G786" i="10" s="1"/>
  <c r="H786" i="10" s="1"/>
  <c r="F785" i="10"/>
  <c r="G785" i="10" s="1"/>
  <c r="H785" i="10" s="1"/>
  <c r="F784" i="10"/>
  <c r="G784" i="10" s="1"/>
  <c r="H784" i="10" s="1"/>
  <c r="F783" i="10"/>
  <c r="G783" i="10" s="1"/>
  <c r="H783" i="10" s="1"/>
  <c r="F782" i="10"/>
  <c r="G782" i="10" s="1"/>
  <c r="H782" i="10" s="1"/>
  <c r="F781" i="10"/>
  <c r="G781" i="10" s="1"/>
  <c r="H781" i="10" s="1"/>
  <c r="F780" i="10"/>
  <c r="G780" i="10" s="1"/>
  <c r="H780" i="10" s="1"/>
  <c r="F779" i="10"/>
  <c r="G779" i="10" s="1"/>
  <c r="H779" i="10" s="1"/>
  <c r="F778" i="10"/>
  <c r="G778" i="10" s="1"/>
  <c r="H778" i="10" s="1"/>
  <c r="F777" i="10"/>
  <c r="G777" i="10" s="1"/>
  <c r="H777" i="10" s="1"/>
  <c r="F776" i="10"/>
  <c r="G776" i="10" s="1"/>
  <c r="H776" i="10" s="1"/>
  <c r="F775" i="10"/>
  <c r="G775" i="10" s="1"/>
  <c r="H775" i="10" s="1"/>
  <c r="F774" i="10"/>
  <c r="G774" i="10" s="1"/>
  <c r="H774" i="10" s="1"/>
  <c r="F773" i="10"/>
  <c r="G773" i="10" s="1"/>
  <c r="H773" i="10" s="1"/>
  <c r="F772" i="10"/>
  <c r="G772" i="10" s="1"/>
  <c r="H772" i="10" s="1"/>
  <c r="F771" i="10"/>
  <c r="G771" i="10" s="1"/>
  <c r="H771" i="10" s="1"/>
  <c r="F770" i="10"/>
  <c r="G770" i="10" s="1"/>
  <c r="H770" i="10" s="1"/>
  <c r="F769" i="10"/>
  <c r="G769" i="10" s="1"/>
  <c r="H769" i="10" s="1"/>
  <c r="F768" i="10"/>
  <c r="G768" i="10" s="1"/>
  <c r="H768" i="10" s="1"/>
  <c r="F767" i="10"/>
  <c r="G767" i="10" s="1"/>
  <c r="H767" i="10" s="1"/>
  <c r="F766" i="10"/>
  <c r="G766" i="10" s="1"/>
  <c r="H766" i="10" s="1"/>
  <c r="F765" i="10"/>
  <c r="G765" i="10" s="1"/>
  <c r="H765" i="10" s="1"/>
  <c r="F764" i="10"/>
  <c r="G764" i="10" s="1"/>
  <c r="H764" i="10" s="1"/>
  <c r="F763" i="10"/>
  <c r="G763" i="10" s="1"/>
  <c r="H763" i="10" s="1"/>
  <c r="F762" i="10"/>
  <c r="G762" i="10" s="1"/>
  <c r="H762" i="10" s="1"/>
  <c r="F761" i="10"/>
  <c r="G761" i="10" s="1"/>
  <c r="H761" i="10" s="1"/>
  <c r="F760" i="10"/>
  <c r="G760" i="10" s="1"/>
  <c r="H760" i="10" s="1"/>
  <c r="F759" i="10"/>
  <c r="G759" i="10" s="1"/>
  <c r="H759" i="10" s="1"/>
  <c r="F758" i="10"/>
  <c r="G758" i="10" s="1"/>
  <c r="H758" i="10" s="1"/>
  <c r="F757" i="10"/>
  <c r="G757" i="10" s="1"/>
  <c r="H757" i="10" s="1"/>
  <c r="F756" i="10"/>
  <c r="G756" i="10" s="1"/>
  <c r="H756" i="10" s="1"/>
  <c r="F755" i="10"/>
  <c r="G755" i="10" s="1"/>
  <c r="H755" i="10" s="1"/>
  <c r="F754" i="10"/>
  <c r="G754" i="10" s="1"/>
  <c r="H754" i="10" s="1"/>
  <c r="F753" i="10"/>
  <c r="G753" i="10" s="1"/>
  <c r="H753" i="10" s="1"/>
  <c r="F752" i="10"/>
  <c r="G752" i="10" s="1"/>
  <c r="H752" i="10" s="1"/>
  <c r="F751" i="10"/>
  <c r="G751" i="10" s="1"/>
  <c r="H751" i="10" s="1"/>
  <c r="F750" i="10"/>
  <c r="G750" i="10" s="1"/>
  <c r="H750" i="10" s="1"/>
  <c r="F749" i="10"/>
  <c r="G749" i="10" s="1"/>
  <c r="H749" i="10" s="1"/>
  <c r="F748" i="10"/>
  <c r="G748" i="10" s="1"/>
  <c r="H748" i="10" s="1"/>
  <c r="F747" i="10"/>
  <c r="G747" i="10" s="1"/>
  <c r="H747" i="10" s="1"/>
  <c r="F746" i="10"/>
  <c r="G746" i="10" s="1"/>
  <c r="H746" i="10" s="1"/>
  <c r="F745" i="10"/>
  <c r="G745" i="10" s="1"/>
  <c r="H745" i="10" s="1"/>
  <c r="F744" i="10"/>
  <c r="G744" i="10" s="1"/>
  <c r="H744" i="10" s="1"/>
  <c r="F743" i="10"/>
  <c r="G743" i="10" s="1"/>
  <c r="H743" i="10" s="1"/>
  <c r="F742" i="10"/>
  <c r="G742" i="10" s="1"/>
  <c r="H742" i="10" s="1"/>
  <c r="F741" i="10"/>
  <c r="G741" i="10" s="1"/>
  <c r="H741" i="10" s="1"/>
  <c r="F740" i="10"/>
  <c r="G740" i="10" s="1"/>
  <c r="H740" i="10" s="1"/>
  <c r="F739" i="10"/>
  <c r="G739" i="10" s="1"/>
  <c r="H739" i="10" s="1"/>
  <c r="F738" i="10"/>
  <c r="G738" i="10" s="1"/>
  <c r="H738" i="10" s="1"/>
  <c r="F737" i="10"/>
  <c r="G737" i="10" s="1"/>
  <c r="H737" i="10" s="1"/>
  <c r="F736" i="10"/>
  <c r="G736" i="10" s="1"/>
  <c r="H736" i="10" s="1"/>
  <c r="F735" i="10"/>
  <c r="G735" i="10" s="1"/>
  <c r="H735" i="10" s="1"/>
  <c r="F734" i="10"/>
  <c r="G734" i="10" s="1"/>
  <c r="H734" i="10" s="1"/>
  <c r="F733" i="10"/>
  <c r="G733" i="10" s="1"/>
  <c r="H733" i="10" s="1"/>
  <c r="F732" i="10"/>
  <c r="G732" i="10" s="1"/>
  <c r="H732" i="10" s="1"/>
  <c r="F731" i="10"/>
  <c r="G731" i="10" s="1"/>
  <c r="H731" i="10" s="1"/>
  <c r="F730" i="10"/>
  <c r="G730" i="10" s="1"/>
  <c r="H730" i="10" s="1"/>
  <c r="F729" i="10"/>
  <c r="G729" i="10" s="1"/>
  <c r="H729" i="10" s="1"/>
  <c r="F728" i="10"/>
  <c r="G728" i="10" s="1"/>
  <c r="H728" i="10" s="1"/>
  <c r="F727" i="10"/>
  <c r="G727" i="10" s="1"/>
  <c r="H727" i="10" s="1"/>
  <c r="F726" i="10"/>
  <c r="G726" i="10" s="1"/>
  <c r="H726" i="10" s="1"/>
  <c r="F725" i="10"/>
  <c r="G725" i="10" s="1"/>
  <c r="H725" i="10" s="1"/>
  <c r="F724" i="10"/>
  <c r="G724" i="10" s="1"/>
  <c r="H724" i="10" s="1"/>
  <c r="F723" i="10"/>
  <c r="G723" i="10" s="1"/>
  <c r="H723" i="10" s="1"/>
  <c r="F722" i="10"/>
  <c r="G722" i="10" s="1"/>
  <c r="H722" i="10" s="1"/>
  <c r="F721" i="10"/>
  <c r="G721" i="10" s="1"/>
  <c r="H721" i="10" s="1"/>
  <c r="F720" i="10"/>
  <c r="G720" i="10" s="1"/>
  <c r="H720" i="10" s="1"/>
  <c r="F719" i="10"/>
  <c r="G719" i="10" s="1"/>
  <c r="H719" i="10" s="1"/>
  <c r="F718" i="10"/>
  <c r="G718" i="10" s="1"/>
  <c r="H718" i="10" s="1"/>
  <c r="F717" i="10"/>
  <c r="G717" i="10" s="1"/>
  <c r="H717" i="10" s="1"/>
  <c r="F716" i="10"/>
  <c r="G716" i="10" s="1"/>
  <c r="H716" i="10" s="1"/>
  <c r="F715" i="10"/>
  <c r="G715" i="10" s="1"/>
  <c r="H715" i="10" s="1"/>
  <c r="F714" i="10"/>
  <c r="G714" i="10" s="1"/>
  <c r="H714" i="10" s="1"/>
  <c r="F713" i="10"/>
  <c r="G713" i="10" s="1"/>
  <c r="H713" i="10" s="1"/>
  <c r="F712" i="10"/>
  <c r="G712" i="10" s="1"/>
  <c r="H712" i="10" s="1"/>
  <c r="F711" i="10"/>
  <c r="G711" i="10" s="1"/>
  <c r="H711" i="10" s="1"/>
  <c r="F710" i="10"/>
  <c r="G710" i="10" s="1"/>
  <c r="H710" i="10" s="1"/>
  <c r="F709" i="10"/>
  <c r="G709" i="10" s="1"/>
  <c r="H709" i="10" s="1"/>
  <c r="F708" i="10"/>
  <c r="G708" i="10" s="1"/>
  <c r="H708" i="10" s="1"/>
  <c r="F707" i="10"/>
  <c r="G707" i="10" s="1"/>
  <c r="H707" i="10" s="1"/>
  <c r="F706" i="10"/>
  <c r="G706" i="10" s="1"/>
  <c r="H706" i="10" s="1"/>
  <c r="F705" i="10"/>
  <c r="G705" i="10" s="1"/>
  <c r="H705" i="10" s="1"/>
  <c r="F704" i="10"/>
  <c r="G704" i="10" s="1"/>
  <c r="H704" i="10" s="1"/>
  <c r="F703" i="10"/>
  <c r="G703" i="10" s="1"/>
  <c r="H703" i="10" s="1"/>
  <c r="F702" i="10"/>
  <c r="G702" i="10" s="1"/>
  <c r="H702" i="10" s="1"/>
  <c r="F701" i="10"/>
  <c r="G701" i="10" s="1"/>
  <c r="H701" i="10" s="1"/>
  <c r="F700" i="10"/>
  <c r="G700" i="10" s="1"/>
  <c r="H700" i="10" s="1"/>
  <c r="F699" i="10"/>
  <c r="G699" i="10" s="1"/>
  <c r="H699" i="10" s="1"/>
  <c r="F698" i="10"/>
  <c r="G698" i="10" s="1"/>
  <c r="H698" i="10" s="1"/>
  <c r="F697" i="10"/>
  <c r="G697" i="10" s="1"/>
  <c r="H697" i="10" s="1"/>
  <c r="F696" i="10"/>
  <c r="G696" i="10" s="1"/>
  <c r="H696" i="10" s="1"/>
  <c r="F695" i="10"/>
  <c r="G695" i="10" s="1"/>
  <c r="H695" i="10" s="1"/>
  <c r="F694" i="10"/>
  <c r="G694" i="10" s="1"/>
  <c r="H694" i="10" s="1"/>
  <c r="F693" i="10"/>
  <c r="G693" i="10" s="1"/>
  <c r="H693" i="10" s="1"/>
  <c r="F692" i="10"/>
  <c r="G692" i="10" s="1"/>
  <c r="H692" i="10" s="1"/>
  <c r="F691" i="10"/>
  <c r="G691" i="10" s="1"/>
  <c r="H691" i="10" s="1"/>
  <c r="F690" i="10"/>
  <c r="G690" i="10" s="1"/>
  <c r="H690" i="10" s="1"/>
  <c r="F689" i="10"/>
  <c r="G689" i="10" s="1"/>
  <c r="H689" i="10" s="1"/>
  <c r="F688" i="10"/>
  <c r="G688" i="10" s="1"/>
  <c r="H688" i="10" s="1"/>
  <c r="F687" i="10"/>
  <c r="G687" i="10" s="1"/>
  <c r="H687" i="10" s="1"/>
  <c r="F686" i="10"/>
  <c r="G686" i="10" s="1"/>
  <c r="H686" i="10" s="1"/>
  <c r="F685" i="10"/>
  <c r="G685" i="10" s="1"/>
  <c r="H685" i="10" s="1"/>
  <c r="F684" i="10"/>
  <c r="G684" i="10" s="1"/>
  <c r="H684" i="10" s="1"/>
  <c r="F683" i="10"/>
  <c r="G683" i="10" s="1"/>
  <c r="H683" i="10" s="1"/>
  <c r="F682" i="10"/>
  <c r="G682" i="10" s="1"/>
  <c r="H682" i="10" s="1"/>
  <c r="F681" i="10"/>
  <c r="G681" i="10" s="1"/>
  <c r="H681" i="10" s="1"/>
  <c r="F680" i="10"/>
  <c r="G680" i="10" s="1"/>
  <c r="H680" i="10" s="1"/>
  <c r="F679" i="10"/>
  <c r="G679" i="10" s="1"/>
  <c r="H679" i="10" s="1"/>
  <c r="F678" i="10"/>
  <c r="G678" i="10" s="1"/>
  <c r="H678" i="10" s="1"/>
  <c r="F677" i="10"/>
  <c r="G677" i="10" s="1"/>
  <c r="H677" i="10" s="1"/>
  <c r="F676" i="10"/>
  <c r="G676" i="10" s="1"/>
  <c r="H676" i="10" s="1"/>
  <c r="F675" i="10"/>
  <c r="G675" i="10" s="1"/>
  <c r="H675" i="10" s="1"/>
  <c r="F674" i="10"/>
  <c r="G674" i="10" s="1"/>
  <c r="H674" i="10" s="1"/>
  <c r="F673" i="10"/>
  <c r="G673" i="10" s="1"/>
  <c r="H673" i="10" s="1"/>
  <c r="F672" i="10"/>
  <c r="G672" i="10" s="1"/>
  <c r="H672" i="10" s="1"/>
  <c r="F671" i="10"/>
  <c r="G671" i="10" s="1"/>
  <c r="H671" i="10" s="1"/>
  <c r="F670" i="10"/>
  <c r="G670" i="10" s="1"/>
  <c r="H670" i="10" s="1"/>
  <c r="F669" i="10"/>
  <c r="G669" i="10" s="1"/>
  <c r="H669" i="10" s="1"/>
  <c r="F668" i="10"/>
  <c r="G668" i="10" s="1"/>
  <c r="H668" i="10" s="1"/>
  <c r="F667" i="10"/>
  <c r="G667" i="10" s="1"/>
  <c r="H667" i="10" s="1"/>
  <c r="F666" i="10"/>
  <c r="G666" i="10" s="1"/>
  <c r="H666" i="10" s="1"/>
  <c r="F665" i="10"/>
  <c r="G665" i="10" s="1"/>
  <c r="H665" i="10" s="1"/>
  <c r="F664" i="10"/>
  <c r="G664" i="10" s="1"/>
  <c r="H664" i="10" s="1"/>
  <c r="F663" i="10"/>
  <c r="G663" i="10" s="1"/>
  <c r="H663" i="10" s="1"/>
  <c r="F662" i="10"/>
  <c r="G662" i="10" s="1"/>
  <c r="H662" i="10" s="1"/>
  <c r="F661" i="10"/>
  <c r="G661" i="10" s="1"/>
  <c r="H661" i="10" s="1"/>
  <c r="F660" i="10"/>
  <c r="G660" i="10" s="1"/>
  <c r="H660" i="10" s="1"/>
  <c r="F659" i="10"/>
  <c r="G659" i="10" s="1"/>
  <c r="H659" i="10" s="1"/>
  <c r="F658" i="10"/>
  <c r="G658" i="10" s="1"/>
  <c r="H658" i="10" s="1"/>
  <c r="F657" i="10"/>
  <c r="G657" i="10" s="1"/>
  <c r="H657" i="10" s="1"/>
  <c r="F656" i="10"/>
  <c r="G656" i="10" s="1"/>
  <c r="H656" i="10" s="1"/>
  <c r="F655" i="10"/>
  <c r="G655" i="10" s="1"/>
  <c r="H655" i="10" s="1"/>
  <c r="F654" i="10"/>
  <c r="G654" i="10" s="1"/>
  <c r="H654" i="10" s="1"/>
  <c r="F653" i="10"/>
  <c r="G653" i="10" s="1"/>
  <c r="H653" i="10" s="1"/>
  <c r="F652" i="10"/>
  <c r="G652" i="10" s="1"/>
  <c r="H652" i="10" s="1"/>
  <c r="F651" i="10"/>
  <c r="G651" i="10" s="1"/>
  <c r="H651" i="10" s="1"/>
  <c r="F650" i="10"/>
  <c r="G650" i="10" s="1"/>
  <c r="H650" i="10" s="1"/>
  <c r="F649" i="10"/>
  <c r="G649" i="10" s="1"/>
  <c r="H649" i="10" s="1"/>
  <c r="F648" i="10"/>
  <c r="G648" i="10" s="1"/>
  <c r="H648" i="10" s="1"/>
  <c r="F647" i="10"/>
  <c r="G647" i="10" s="1"/>
  <c r="H647" i="10" s="1"/>
  <c r="F646" i="10"/>
  <c r="G646" i="10" s="1"/>
  <c r="H646" i="10" s="1"/>
  <c r="F645" i="10"/>
  <c r="G645" i="10" s="1"/>
  <c r="H645" i="10" s="1"/>
  <c r="F644" i="10"/>
  <c r="G644" i="10" s="1"/>
  <c r="H644" i="10" s="1"/>
  <c r="F643" i="10"/>
  <c r="G643" i="10" s="1"/>
  <c r="H643" i="10" s="1"/>
  <c r="F642" i="10"/>
  <c r="G642" i="10" s="1"/>
  <c r="H642" i="10" s="1"/>
  <c r="F641" i="10"/>
  <c r="G641" i="10" s="1"/>
  <c r="H641" i="10" s="1"/>
  <c r="F640" i="10"/>
  <c r="G640" i="10" s="1"/>
  <c r="H640" i="10" s="1"/>
  <c r="F639" i="10"/>
  <c r="G639" i="10" s="1"/>
  <c r="H639" i="10" s="1"/>
  <c r="F638" i="10"/>
  <c r="G638" i="10" s="1"/>
  <c r="H638" i="10" s="1"/>
  <c r="F637" i="10"/>
  <c r="G637" i="10" s="1"/>
  <c r="H637" i="10" s="1"/>
  <c r="F636" i="10"/>
  <c r="G636" i="10" s="1"/>
  <c r="H636" i="10" s="1"/>
  <c r="F635" i="10"/>
  <c r="G635" i="10" s="1"/>
  <c r="H635" i="10" s="1"/>
  <c r="F634" i="10"/>
  <c r="G634" i="10" s="1"/>
  <c r="H634" i="10" s="1"/>
  <c r="F633" i="10"/>
  <c r="G633" i="10" s="1"/>
  <c r="H633" i="10" s="1"/>
  <c r="F632" i="10"/>
  <c r="G632" i="10" s="1"/>
  <c r="H632" i="10" s="1"/>
  <c r="F631" i="10"/>
  <c r="G631" i="10" s="1"/>
  <c r="H631" i="10" s="1"/>
  <c r="F630" i="10"/>
  <c r="G630" i="10" s="1"/>
  <c r="H630" i="10" s="1"/>
  <c r="F629" i="10"/>
  <c r="G629" i="10" s="1"/>
  <c r="H629" i="10" s="1"/>
  <c r="F628" i="10"/>
  <c r="G628" i="10" s="1"/>
  <c r="H628" i="10" s="1"/>
  <c r="F627" i="10"/>
  <c r="G627" i="10" s="1"/>
  <c r="H627" i="10" s="1"/>
  <c r="F626" i="10"/>
  <c r="G626" i="10" s="1"/>
  <c r="H626" i="10" s="1"/>
  <c r="F625" i="10"/>
  <c r="G625" i="10" s="1"/>
  <c r="H625" i="10" s="1"/>
  <c r="F624" i="10"/>
  <c r="G624" i="10" s="1"/>
  <c r="H624" i="10" s="1"/>
  <c r="F623" i="10"/>
  <c r="G623" i="10" s="1"/>
  <c r="H623" i="10" s="1"/>
  <c r="F622" i="10"/>
  <c r="G622" i="10" s="1"/>
  <c r="H622" i="10" s="1"/>
  <c r="F621" i="10"/>
  <c r="G621" i="10" s="1"/>
  <c r="H621" i="10" s="1"/>
  <c r="F620" i="10"/>
  <c r="G620" i="10" s="1"/>
  <c r="H620" i="10" s="1"/>
  <c r="F619" i="10"/>
  <c r="G619" i="10" s="1"/>
  <c r="H619" i="10" s="1"/>
  <c r="F618" i="10"/>
  <c r="G618" i="10" s="1"/>
  <c r="H618" i="10" s="1"/>
  <c r="F617" i="10"/>
  <c r="G617" i="10" s="1"/>
  <c r="H617" i="10" s="1"/>
  <c r="F616" i="10"/>
  <c r="G616" i="10" s="1"/>
  <c r="H616" i="10" s="1"/>
  <c r="F615" i="10"/>
  <c r="G615" i="10" s="1"/>
  <c r="H615" i="10" s="1"/>
  <c r="F614" i="10"/>
  <c r="G614" i="10" s="1"/>
  <c r="H614" i="10" s="1"/>
  <c r="F613" i="10"/>
  <c r="G613" i="10" s="1"/>
  <c r="H613" i="10" s="1"/>
  <c r="F612" i="10"/>
  <c r="G612" i="10" s="1"/>
  <c r="H612" i="10" s="1"/>
  <c r="F611" i="10"/>
  <c r="G611" i="10" s="1"/>
  <c r="H611" i="10" s="1"/>
  <c r="F610" i="10"/>
  <c r="G610" i="10" s="1"/>
  <c r="H610" i="10" s="1"/>
  <c r="F609" i="10"/>
  <c r="G609" i="10" s="1"/>
  <c r="H609" i="10" s="1"/>
  <c r="F608" i="10"/>
  <c r="G608" i="10" s="1"/>
  <c r="H608" i="10" s="1"/>
  <c r="F607" i="10"/>
  <c r="G607" i="10" s="1"/>
  <c r="H607" i="10" s="1"/>
  <c r="F606" i="10"/>
  <c r="G606" i="10" s="1"/>
  <c r="H606" i="10" s="1"/>
  <c r="F605" i="10"/>
  <c r="G605" i="10" s="1"/>
  <c r="H605" i="10" s="1"/>
  <c r="F604" i="10"/>
  <c r="G604" i="10" s="1"/>
  <c r="H604" i="10" s="1"/>
  <c r="F603" i="10"/>
  <c r="G603" i="10" s="1"/>
  <c r="H603" i="10" s="1"/>
  <c r="F602" i="10"/>
  <c r="G602" i="10" s="1"/>
  <c r="H602" i="10" s="1"/>
  <c r="F601" i="10"/>
  <c r="G601" i="10" s="1"/>
  <c r="H601" i="10" s="1"/>
  <c r="F600" i="10"/>
  <c r="G600" i="10" s="1"/>
  <c r="H600" i="10" s="1"/>
  <c r="F599" i="10"/>
  <c r="G599" i="10" s="1"/>
  <c r="H599" i="10" s="1"/>
  <c r="F598" i="10"/>
  <c r="G598" i="10" s="1"/>
  <c r="H598" i="10" s="1"/>
  <c r="F597" i="10"/>
  <c r="G597" i="10" s="1"/>
  <c r="H597" i="10" s="1"/>
  <c r="F596" i="10"/>
  <c r="G596" i="10" s="1"/>
  <c r="H596" i="10" s="1"/>
  <c r="F595" i="10"/>
  <c r="G595" i="10" s="1"/>
  <c r="H595" i="10" s="1"/>
  <c r="F594" i="10"/>
  <c r="G594" i="10" s="1"/>
  <c r="H594" i="10" s="1"/>
  <c r="F593" i="10"/>
  <c r="G593" i="10" s="1"/>
  <c r="H593" i="10" s="1"/>
  <c r="F592" i="10"/>
  <c r="G592" i="10" s="1"/>
  <c r="H592" i="10" s="1"/>
  <c r="F591" i="10"/>
  <c r="G591" i="10" s="1"/>
  <c r="H591" i="10" s="1"/>
  <c r="F590" i="10"/>
  <c r="G590" i="10" s="1"/>
  <c r="H590" i="10" s="1"/>
  <c r="F589" i="10"/>
  <c r="G589" i="10" s="1"/>
  <c r="H589" i="10" s="1"/>
  <c r="F588" i="10"/>
  <c r="G588" i="10" s="1"/>
  <c r="H588" i="10" s="1"/>
  <c r="F587" i="10"/>
  <c r="G587" i="10" s="1"/>
  <c r="H587" i="10" s="1"/>
  <c r="F586" i="10"/>
  <c r="G586" i="10" s="1"/>
  <c r="H586" i="10" s="1"/>
  <c r="F585" i="10"/>
  <c r="G585" i="10" s="1"/>
  <c r="H585" i="10" s="1"/>
  <c r="F584" i="10"/>
  <c r="G584" i="10" s="1"/>
  <c r="H584" i="10" s="1"/>
  <c r="F583" i="10"/>
  <c r="G583" i="10" s="1"/>
  <c r="H583" i="10" s="1"/>
  <c r="F582" i="10"/>
  <c r="G582" i="10" s="1"/>
  <c r="H582" i="10" s="1"/>
  <c r="F581" i="10"/>
  <c r="G581" i="10" s="1"/>
  <c r="H581" i="10" s="1"/>
  <c r="F580" i="10"/>
  <c r="G580" i="10" s="1"/>
  <c r="H580" i="10" s="1"/>
  <c r="F579" i="10"/>
  <c r="G579" i="10" s="1"/>
  <c r="H579" i="10" s="1"/>
  <c r="F578" i="10"/>
  <c r="G578" i="10" s="1"/>
  <c r="H578" i="10" s="1"/>
  <c r="F577" i="10"/>
  <c r="G577" i="10" s="1"/>
  <c r="H577" i="10" s="1"/>
  <c r="F576" i="10"/>
  <c r="G576" i="10" s="1"/>
  <c r="H576" i="10" s="1"/>
  <c r="F575" i="10"/>
  <c r="G575" i="10" s="1"/>
  <c r="H575" i="10" s="1"/>
  <c r="F574" i="10"/>
  <c r="G574" i="10" s="1"/>
  <c r="H574" i="10" s="1"/>
  <c r="F573" i="10"/>
  <c r="G573" i="10" s="1"/>
  <c r="H573" i="10" s="1"/>
  <c r="F572" i="10"/>
  <c r="G572" i="10" s="1"/>
  <c r="H572" i="10" s="1"/>
  <c r="F571" i="10"/>
  <c r="G571" i="10" s="1"/>
  <c r="H571" i="10" s="1"/>
  <c r="F570" i="10"/>
  <c r="G570" i="10" s="1"/>
  <c r="H570" i="10" s="1"/>
  <c r="F569" i="10"/>
  <c r="G569" i="10" s="1"/>
  <c r="H569" i="10" s="1"/>
  <c r="F568" i="10"/>
  <c r="G568" i="10" s="1"/>
  <c r="H568" i="10" s="1"/>
  <c r="F567" i="10"/>
  <c r="G567" i="10" s="1"/>
  <c r="H567" i="10" s="1"/>
  <c r="F566" i="10"/>
  <c r="G566" i="10" s="1"/>
  <c r="H566" i="10" s="1"/>
  <c r="F565" i="10"/>
  <c r="G565" i="10" s="1"/>
  <c r="H565" i="10" s="1"/>
  <c r="F564" i="10"/>
  <c r="G564" i="10" s="1"/>
  <c r="H564" i="10" s="1"/>
  <c r="F563" i="10"/>
  <c r="G563" i="10" s="1"/>
  <c r="H563" i="10" s="1"/>
  <c r="F562" i="10"/>
  <c r="G562" i="10" s="1"/>
  <c r="H562" i="10" s="1"/>
  <c r="F561" i="10"/>
  <c r="G561" i="10" s="1"/>
  <c r="H561" i="10" s="1"/>
  <c r="F560" i="10"/>
  <c r="G560" i="10" s="1"/>
  <c r="H560" i="10" s="1"/>
  <c r="F559" i="10"/>
  <c r="G559" i="10" s="1"/>
  <c r="H559" i="10" s="1"/>
  <c r="F558" i="10"/>
  <c r="G558" i="10" s="1"/>
  <c r="H558" i="10" s="1"/>
  <c r="F557" i="10"/>
  <c r="G557" i="10" s="1"/>
  <c r="H557" i="10" s="1"/>
  <c r="F556" i="10"/>
  <c r="G556" i="10" s="1"/>
  <c r="H556" i="10" s="1"/>
  <c r="F555" i="10"/>
  <c r="G555" i="10" s="1"/>
  <c r="H555" i="10" s="1"/>
  <c r="F554" i="10"/>
  <c r="G554" i="10" s="1"/>
  <c r="H554" i="10" s="1"/>
  <c r="F553" i="10"/>
  <c r="G553" i="10" s="1"/>
  <c r="H553" i="10" s="1"/>
  <c r="F552" i="10"/>
  <c r="G552" i="10" s="1"/>
  <c r="H552" i="10" s="1"/>
  <c r="F551" i="10"/>
  <c r="G551" i="10" s="1"/>
  <c r="H551" i="10" s="1"/>
  <c r="F550" i="10"/>
  <c r="G550" i="10" s="1"/>
  <c r="H550" i="10" s="1"/>
  <c r="F549" i="10"/>
  <c r="G549" i="10" s="1"/>
  <c r="H549" i="10" s="1"/>
  <c r="F548" i="10"/>
  <c r="G548" i="10" s="1"/>
  <c r="H548" i="10" s="1"/>
  <c r="F547" i="10"/>
  <c r="G547" i="10" s="1"/>
  <c r="H547" i="10" s="1"/>
  <c r="F546" i="10"/>
  <c r="G546" i="10" s="1"/>
  <c r="H546" i="10" s="1"/>
  <c r="F545" i="10"/>
  <c r="G545" i="10" s="1"/>
  <c r="H545" i="10" s="1"/>
  <c r="F544" i="10"/>
  <c r="G544" i="10" s="1"/>
  <c r="H544" i="10" s="1"/>
  <c r="F543" i="10"/>
  <c r="G543" i="10" s="1"/>
  <c r="H543" i="10" s="1"/>
  <c r="F542" i="10"/>
  <c r="G542" i="10" s="1"/>
  <c r="H542" i="10" s="1"/>
  <c r="F541" i="10"/>
  <c r="G541" i="10" s="1"/>
  <c r="H541" i="10" s="1"/>
  <c r="F540" i="10"/>
  <c r="G540" i="10" s="1"/>
  <c r="H540" i="10" s="1"/>
  <c r="F539" i="10"/>
  <c r="G539" i="10" s="1"/>
  <c r="H539" i="10" s="1"/>
  <c r="F538" i="10"/>
  <c r="G538" i="10" s="1"/>
  <c r="H538" i="10" s="1"/>
  <c r="F537" i="10"/>
  <c r="G537" i="10" s="1"/>
  <c r="H537" i="10" s="1"/>
  <c r="F536" i="10"/>
  <c r="G536" i="10" s="1"/>
  <c r="H536" i="10" s="1"/>
  <c r="F535" i="10"/>
  <c r="G535" i="10" s="1"/>
  <c r="H535" i="10" s="1"/>
  <c r="F534" i="10"/>
  <c r="G534" i="10" s="1"/>
  <c r="H534" i="10" s="1"/>
  <c r="F533" i="10"/>
  <c r="G533" i="10" s="1"/>
  <c r="H533" i="10" s="1"/>
  <c r="F532" i="10"/>
  <c r="G532" i="10" s="1"/>
  <c r="H532" i="10" s="1"/>
  <c r="F531" i="10"/>
  <c r="G531" i="10" s="1"/>
  <c r="H531" i="10" s="1"/>
  <c r="F530" i="10"/>
  <c r="G530" i="10" s="1"/>
  <c r="H530" i="10" s="1"/>
  <c r="F529" i="10"/>
  <c r="G529" i="10" s="1"/>
  <c r="H529" i="10" s="1"/>
  <c r="F528" i="10"/>
  <c r="G528" i="10" s="1"/>
  <c r="H528" i="10" s="1"/>
  <c r="F527" i="10"/>
  <c r="G527" i="10" s="1"/>
  <c r="H527" i="10" s="1"/>
  <c r="F526" i="10"/>
  <c r="G526" i="10" s="1"/>
  <c r="H526" i="10" s="1"/>
  <c r="F525" i="10"/>
  <c r="G525" i="10" s="1"/>
  <c r="H525" i="10" s="1"/>
  <c r="F524" i="10"/>
  <c r="G524" i="10" s="1"/>
  <c r="H524" i="10" s="1"/>
  <c r="F523" i="10"/>
  <c r="G523" i="10" s="1"/>
  <c r="H523" i="10" s="1"/>
  <c r="F522" i="10"/>
  <c r="G522" i="10" s="1"/>
  <c r="H522" i="10" s="1"/>
  <c r="F521" i="10"/>
  <c r="G521" i="10" s="1"/>
  <c r="H521" i="10" s="1"/>
  <c r="F520" i="10"/>
  <c r="G520" i="10" s="1"/>
  <c r="H520" i="10" s="1"/>
  <c r="F519" i="10"/>
  <c r="G519" i="10" s="1"/>
  <c r="H519" i="10" s="1"/>
  <c r="F518" i="10"/>
  <c r="G518" i="10" s="1"/>
  <c r="H518" i="10" s="1"/>
  <c r="F517" i="10"/>
  <c r="G517" i="10" s="1"/>
  <c r="H517" i="10" s="1"/>
  <c r="F516" i="10"/>
  <c r="G516" i="10" s="1"/>
  <c r="H516" i="10" s="1"/>
  <c r="F515" i="10"/>
  <c r="G515" i="10" s="1"/>
  <c r="H515" i="10" s="1"/>
  <c r="F514" i="10"/>
  <c r="G514" i="10" s="1"/>
  <c r="H514" i="10" s="1"/>
  <c r="F513" i="10"/>
  <c r="G513" i="10" s="1"/>
  <c r="H513" i="10" s="1"/>
  <c r="F512" i="10"/>
  <c r="G512" i="10" s="1"/>
  <c r="H512" i="10" s="1"/>
  <c r="F511" i="10"/>
  <c r="G511" i="10" s="1"/>
  <c r="H511" i="10" s="1"/>
  <c r="F510" i="10"/>
  <c r="G510" i="10" s="1"/>
  <c r="H510" i="10" s="1"/>
  <c r="F509" i="10"/>
  <c r="G509" i="10" s="1"/>
  <c r="H509" i="10" s="1"/>
  <c r="F508" i="10"/>
  <c r="G508" i="10" s="1"/>
  <c r="H508" i="10" s="1"/>
  <c r="F507" i="10"/>
  <c r="G507" i="10" s="1"/>
  <c r="H507" i="10" s="1"/>
  <c r="F506" i="10"/>
  <c r="G506" i="10" s="1"/>
  <c r="H506" i="10" s="1"/>
  <c r="F505" i="10"/>
  <c r="G505" i="10" s="1"/>
  <c r="H505" i="10" s="1"/>
  <c r="F504" i="10"/>
  <c r="G504" i="10" s="1"/>
  <c r="H504" i="10" s="1"/>
  <c r="F503" i="10"/>
  <c r="G503" i="10" s="1"/>
  <c r="H503" i="10" s="1"/>
  <c r="F502" i="10"/>
  <c r="G502" i="10" s="1"/>
  <c r="H502" i="10" s="1"/>
  <c r="F501" i="10"/>
  <c r="G501" i="10" s="1"/>
  <c r="H501" i="10" s="1"/>
  <c r="F500" i="10"/>
  <c r="G500" i="10" s="1"/>
  <c r="H500" i="10" s="1"/>
  <c r="F499" i="10"/>
  <c r="G499" i="10" s="1"/>
  <c r="H499" i="10" s="1"/>
  <c r="F498" i="10"/>
  <c r="G498" i="10" s="1"/>
  <c r="H498" i="10" s="1"/>
  <c r="F497" i="10"/>
  <c r="G497" i="10" s="1"/>
  <c r="H497" i="10" s="1"/>
  <c r="F496" i="10"/>
  <c r="G496" i="10" s="1"/>
  <c r="H496" i="10" s="1"/>
  <c r="F495" i="10"/>
  <c r="G495" i="10" s="1"/>
  <c r="H495" i="10" s="1"/>
  <c r="F494" i="10"/>
  <c r="G494" i="10" s="1"/>
  <c r="H494" i="10" s="1"/>
  <c r="F493" i="10"/>
  <c r="G493" i="10" s="1"/>
  <c r="H493" i="10" s="1"/>
  <c r="F492" i="10"/>
  <c r="G492" i="10" s="1"/>
  <c r="H492" i="10" s="1"/>
  <c r="F491" i="10"/>
  <c r="G491" i="10" s="1"/>
  <c r="H491" i="10" s="1"/>
  <c r="F490" i="10"/>
  <c r="G490" i="10" s="1"/>
  <c r="H490" i="10" s="1"/>
  <c r="F489" i="10"/>
  <c r="G489" i="10" s="1"/>
  <c r="H489" i="10" s="1"/>
  <c r="F488" i="10"/>
  <c r="G488" i="10" s="1"/>
  <c r="H488" i="10" s="1"/>
  <c r="F487" i="10"/>
  <c r="G487" i="10" s="1"/>
  <c r="H487" i="10" s="1"/>
  <c r="F486" i="10"/>
  <c r="G486" i="10" s="1"/>
  <c r="H486" i="10" s="1"/>
  <c r="F485" i="10"/>
  <c r="G485" i="10" s="1"/>
  <c r="H485" i="10" s="1"/>
  <c r="F484" i="10"/>
  <c r="G484" i="10" s="1"/>
  <c r="H484" i="10" s="1"/>
  <c r="F483" i="10"/>
  <c r="G483" i="10" s="1"/>
  <c r="H483" i="10" s="1"/>
  <c r="F482" i="10"/>
  <c r="G482" i="10" s="1"/>
  <c r="H482" i="10" s="1"/>
  <c r="F481" i="10"/>
  <c r="G481" i="10" s="1"/>
  <c r="H481" i="10" s="1"/>
  <c r="F480" i="10"/>
  <c r="G480" i="10" s="1"/>
  <c r="H480" i="10" s="1"/>
  <c r="F479" i="10"/>
  <c r="G479" i="10" s="1"/>
  <c r="H479" i="10" s="1"/>
  <c r="F478" i="10"/>
  <c r="G478" i="10" s="1"/>
  <c r="H478" i="10" s="1"/>
  <c r="F477" i="10"/>
  <c r="G477" i="10" s="1"/>
  <c r="H477" i="10" s="1"/>
  <c r="F476" i="10"/>
  <c r="G476" i="10" s="1"/>
  <c r="H476" i="10" s="1"/>
  <c r="F475" i="10"/>
  <c r="G475" i="10" s="1"/>
  <c r="H475" i="10" s="1"/>
  <c r="F474" i="10"/>
  <c r="G474" i="10" s="1"/>
  <c r="H474" i="10" s="1"/>
  <c r="F473" i="10"/>
  <c r="G473" i="10" s="1"/>
  <c r="H473" i="10" s="1"/>
  <c r="F472" i="10"/>
  <c r="G472" i="10" s="1"/>
  <c r="H472" i="10" s="1"/>
  <c r="F471" i="10"/>
  <c r="G471" i="10" s="1"/>
  <c r="H471" i="10" s="1"/>
  <c r="F470" i="10"/>
  <c r="G470" i="10" s="1"/>
  <c r="H470" i="10" s="1"/>
  <c r="F469" i="10"/>
  <c r="G469" i="10" s="1"/>
  <c r="H469" i="10" s="1"/>
  <c r="F468" i="10"/>
  <c r="G468" i="10" s="1"/>
  <c r="H468" i="10" s="1"/>
  <c r="F467" i="10"/>
  <c r="G467" i="10" s="1"/>
  <c r="H467" i="10" s="1"/>
  <c r="F466" i="10"/>
  <c r="G466" i="10" s="1"/>
  <c r="H466" i="10" s="1"/>
  <c r="F465" i="10"/>
  <c r="G465" i="10" s="1"/>
  <c r="H465" i="10" s="1"/>
  <c r="F464" i="10"/>
  <c r="G464" i="10" s="1"/>
  <c r="H464" i="10" s="1"/>
  <c r="F463" i="10"/>
  <c r="G463" i="10" s="1"/>
  <c r="H463" i="10" s="1"/>
  <c r="F462" i="10"/>
  <c r="G462" i="10" s="1"/>
  <c r="H462" i="10" s="1"/>
  <c r="F461" i="10"/>
  <c r="G461" i="10" s="1"/>
  <c r="H461" i="10" s="1"/>
  <c r="F460" i="10"/>
  <c r="G460" i="10" s="1"/>
  <c r="H460" i="10" s="1"/>
  <c r="F459" i="10"/>
  <c r="G459" i="10" s="1"/>
  <c r="H459" i="10" s="1"/>
  <c r="F458" i="10"/>
  <c r="G458" i="10" s="1"/>
  <c r="H458" i="10" s="1"/>
  <c r="F457" i="10"/>
  <c r="G457" i="10" s="1"/>
  <c r="H457" i="10" s="1"/>
  <c r="F456" i="10"/>
  <c r="G456" i="10" s="1"/>
  <c r="H456" i="10" s="1"/>
  <c r="F455" i="10"/>
  <c r="G455" i="10" s="1"/>
  <c r="H455" i="10" s="1"/>
  <c r="F454" i="10"/>
  <c r="G454" i="10" s="1"/>
  <c r="H454" i="10" s="1"/>
  <c r="F453" i="10"/>
  <c r="G453" i="10" s="1"/>
  <c r="H453" i="10" s="1"/>
  <c r="F452" i="10"/>
  <c r="G452" i="10" s="1"/>
  <c r="H452" i="10" s="1"/>
  <c r="F451" i="10"/>
  <c r="G451" i="10" s="1"/>
  <c r="H451" i="10" s="1"/>
  <c r="F450" i="10"/>
  <c r="G450" i="10" s="1"/>
  <c r="H450" i="10" s="1"/>
  <c r="F449" i="10"/>
  <c r="G449" i="10" s="1"/>
  <c r="H449" i="10" s="1"/>
  <c r="F448" i="10"/>
  <c r="G448" i="10" s="1"/>
  <c r="H448" i="10" s="1"/>
  <c r="F447" i="10"/>
  <c r="G447" i="10" s="1"/>
  <c r="H447" i="10" s="1"/>
  <c r="F446" i="10"/>
  <c r="G446" i="10" s="1"/>
  <c r="H446" i="10" s="1"/>
  <c r="F445" i="10"/>
  <c r="G445" i="10" s="1"/>
  <c r="H445" i="10" s="1"/>
  <c r="F444" i="10"/>
  <c r="G444" i="10" s="1"/>
  <c r="H444" i="10" s="1"/>
  <c r="F443" i="10"/>
  <c r="G443" i="10" s="1"/>
  <c r="H443" i="10" s="1"/>
  <c r="F442" i="10"/>
  <c r="G442" i="10" s="1"/>
  <c r="H442" i="10" s="1"/>
  <c r="F441" i="10"/>
  <c r="G441" i="10" s="1"/>
  <c r="H441" i="10" s="1"/>
  <c r="F440" i="10"/>
  <c r="G440" i="10" s="1"/>
  <c r="H440" i="10" s="1"/>
  <c r="F439" i="10"/>
  <c r="G439" i="10" s="1"/>
  <c r="H439" i="10" s="1"/>
  <c r="F438" i="10"/>
  <c r="G438" i="10" s="1"/>
  <c r="H438" i="10" s="1"/>
  <c r="F437" i="10"/>
  <c r="G437" i="10" s="1"/>
  <c r="H437" i="10" s="1"/>
  <c r="F436" i="10"/>
  <c r="G436" i="10" s="1"/>
  <c r="H436" i="10" s="1"/>
  <c r="F435" i="10"/>
  <c r="G435" i="10" s="1"/>
  <c r="H435" i="10" s="1"/>
  <c r="F434" i="10"/>
  <c r="G434" i="10" s="1"/>
  <c r="H434" i="10" s="1"/>
  <c r="F433" i="10"/>
  <c r="G433" i="10" s="1"/>
  <c r="H433" i="10" s="1"/>
  <c r="F432" i="10"/>
  <c r="G432" i="10" s="1"/>
  <c r="H432" i="10" s="1"/>
  <c r="F431" i="10"/>
  <c r="G431" i="10" s="1"/>
  <c r="H431" i="10" s="1"/>
  <c r="F430" i="10"/>
  <c r="G430" i="10" s="1"/>
  <c r="H430" i="10" s="1"/>
  <c r="F429" i="10"/>
  <c r="G429" i="10" s="1"/>
  <c r="H429" i="10" s="1"/>
  <c r="F428" i="10"/>
  <c r="G428" i="10" s="1"/>
  <c r="H428" i="10" s="1"/>
  <c r="F427" i="10"/>
  <c r="G427" i="10" s="1"/>
  <c r="H427" i="10" s="1"/>
  <c r="F426" i="10"/>
  <c r="G426" i="10" s="1"/>
  <c r="H426" i="10" s="1"/>
  <c r="F425" i="10"/>
  <c r="G425" i="10" s="1"/>
  <c r="H425" i="10" s="1"/>
  <c r="F424" i="10"/>
  <c r="G424" i="10" s="1"/>
  <c r="H424" i="10" s="1"/>
  <c r="F423" i="10"/>
  <c r="G423" i="10" s="1"/>
  <c r="H423" i="10" s="1"/>
  <c r="F422" i="10"/>
  <c r="G422" i="10" s="1"/>
  <c r="H422" i="10" s="1"/>
  <c r="F421" i="10"/>
  <c r="G421" i="10" s="1"/>
  <c r="H421" i="10" s="1"/>
  <c r="F420" i="10"/>
  <c r="G420" i="10" s="1"/>
  <c r="H420" i="10" s="1"/>
  <c r="F419" i="10"/>
  <c r="G419" i="10" s="1"/>
  <c r="H419" i="10" s="1"/>
  <c r="F418" i="10"/>
  <c r="G418" i="10" s="1"/>
  <c r="H418" i="10" s="1"/>
  <c r="F417" i="10"/>
  <c r="G417" i="10" s="1"/>
  <c r="H417" i="10" s="1"/>
  <c r="F416" i="10"/>
  <c r="G416" i="10" s="1"/>
  <c r="H416" i="10" s="1"/>
  <c r="F415" i="10"/>
  <c r="G415" i="10" s="1"/>
  <c r="H415" i="10" s="1"/>
  <c r="F414" i="10"/>
  <c r="G414" i="10" s="1"/>
  <c r="H414" i="10" s="1"/>
  <c r="F413" i="10"/>
  <c r="G413" i="10" s="1"/>
  <c r="H413" i="10" s="1"/>
  <c r="F412" i="10"/>
  <c r="G412" i="10" s="1"/>
  <c r="H412" i="10" s="1"/>
  <c r="F411" i="10"/>
  <c r="G411" i="10" s="1"/>
  <c r="H411" i="10" s="1"/>
  <c r="F410" i="10"/>
  <c r="G410" i="10" s="1"/>
  <c r="H410" i="10" s="1"/>
  <c r="F409" i="10"/>
  <c r="G409" i="10" s="1"/>
  <c r="H409" i="10" s="1"/>
  <c r="F408" i="10"/>
  <c r="G408" i="10" s="1"/>
  <c r="H408" i="10" s="1"/>
  <c r="F407" i="10"/>
  <c r="G407" i="10" s="1"/>
  <c r="H407" i="10" s="1"/>
  <c r="F406" i="10"/>
  <c r="G406" i="10" s="1"/>
  <c r="H406" i="10" s="1"/>
  <c r="F405" i="10"/>
  <c r="G405" i="10" s="1"/>
  <c r="H405" i="10" s="1"/>
  <c r="F404" i="10"/>
  <c r="G404" i="10" s="1"/>
  <c r="H404" i="10" s="1"/>
  <c r="F403" i="10"/>
  <c r="G403" i="10" s="1"/>
  <c r="H403" i="10" s="1"/>
  <c r="F402" i="10"/>
  <c r="G402" i="10" s="1"/>
  <c r="H402" i="10" s="1"/>
  <c r="F401" i="10"/>
  <c r="G401" i="10" s="1"/>
  <c r="H401" i="10" s="1"/>
  <c r="F400" i="10"/>
  <c r="G400" i="10" s="1"/>
  <c r="H400" i="10" s="1"/>
  <c r="F399" i="10"/>
  <c r="G399" i="10" s="1"/>
  <c r="H399" i="10" s="1"/>
  <c r="F398" i="10"/>
  <c r="G398" i="10" s="1"/>
  <c r="H398" i="10" s="1"/>
  <c r="F397" i="10"/>
  <c r="G397" i="10" s="1"/>
  <c r="H397" i="10" s="1"/>
  <c r="F396" i="10"/>
  <c r="G396" i="10" s="1"/>
  <c r="H396" i="10" s="1"/>
  <c r="F395" i="10"/>
  <c r="G395" i="10" s="1"/>
  <c r="H395" i="10" s="1"/>
  <c r="F394" i="10"/>
  <c r="G394" i="10" s="1"/>
  <c r="H394" i="10" s="1"/>
  <c r="F393" i="10"/>
  <c r="G393" i="10" s="1"/>
  <c r="H393" i="10" s="1"/>
  <c r="F392" i="10"/>
  <c r="G392" i="10" s="1"/>
  <c r="H392" i="10" s="1"/>
  <c r="F391" i="10"/>
  <c r="G391" i="10" s="1"/>
  <c r="H391" i="10" s="1"/>
  <c r="F390" i="10"/>
  <c r="G390" i="10" s="1"/>
  <c r="H390" i="10" s="1"/>
  <c r="F389" i="10"/>
  <c r="G389" i="10" s="1"/>
  <c r="H389" i="10" s="1"/>
  <c r="F388" i="10"/>
  <c r="G388" i="10" s="1"/>
  <c r="H388" i="10" s="1"/>
  <c r="F387" i="10"/>
  <c r="G387" i="10" s="1"/>
  <c r="H387" i="10" s="1"/>
  <c r="F386" i="10"/>
  <c r="G386" i="10" s="1"/>
  <c r="H386" i="10" s="1"/>
  <c r="F385" i="10"/>
  <c r="G385" i="10" s="1"/>
  <c r="H385" i="10" s="1"/>
  <c r="F384" i="10"/>
  <c r="G384" i="10" s="1"/>
  <c r="H384" i="10" s="1"/>
  <c r="F383" i="10"/>
  <c r="G383" i="10" s="1"/>
  <c r="H383" i="10" s="1"/>
  <c r="F382" i="10"/>
  <c r="G382" i="10" s="1"/>
  <c r="H382" i="10" s="1"/>
  <c r="F381" i="10"/>
  <c r="G381" i="10" s="1"/>
  <c r="H381" i="10" s="1"/>
  <c r="F380" i="10"/>
  <c r="G380" i="10" s="1"/>
  <c r="H380" i="10" s="1"/>
  <c r="F379" i="10"/>
  <c r="G379" i="10" s="1"/>
  <c r="H379" i="10" s="1"/>
  <c r="F378" i="10"/>
  <c r="G378" i="10" s="1"/>
  <c r="H378" i="10" s="1"/>
  <c r="F377" i="10"/>
  <c r="G377" i="10" s="1"/>
  <c r="H377" i="10" s="1"/>
  <c r="F376" i="10"/>
  <c r="G376" i="10" s="1"/>
  <c r="H376" i="10" s="1"/>
  <c r="F375" i="10"/>
  <c r="G375" i="10" s="1"/>
  <c r="H375" i="10" s="1"/>
  <c r="F374" i="10"/>
  <c r="G374" i="10" s="1"/>
  <c r="H374" i="10" s="1"/>
  <c r="F373" i="10"/>
  <c r="G373" i="10" s="1"/>
  <c r="H373" i="10" s="1"/>
  <c r="F372" i="10"/>
  <c r="G372" i="10" s="1"/>
  <c r="H372" i="10" s="1"/>
  <c r="F371" i="10"/>
  <c r="G371" i="10" s="1"/>
  <c r="H371" i="10" s="1"/>
  <c r="F370" i="10"/>
  <c r="G370" i="10" s="1"/>
  <c r="H370" i="10" s="1"/>
  <c r="F369" i="10"/>
  <c r="G369" i="10" s="1"/>
  <c r="H369" i="10" s="1"/>
  <c r="F368" i="10"/>
  <c r="G368" i="10" s="1"/>
  <c r="H368" i="10" s="1"/>
  <c r="F367" i="10"/>
  <c r="G367" i="10" s="1"/>
  <c r="H367" i="10" s="1"/>
  <c r="F366" i="10"/>
  <c r="G366" i="10" s="1"/>
  <c r="H366" i="10" s="1"/>
  <c r="F365" i="10"/>
  <c r="G365" i="10" s="1"/>
  <c r="H365" i="10" s="1"/>
  <c r="F364" i="10"/>
  <c r="G364" i="10" s="1"/>
  <c r="H364" i="10" s="1"/>
  <c r="F363" i="10"/>
  <c r="G363" i="10" s="1"/>
  <c r="H363" i="10" s="1"/>
  <c r="F362" i="10"/>
  <c r="G362" i="10" s="1"/>
  <c r="H362" i="10" s="1"/>
  <c r="F361" i="10"/>
  <c r="G361" i="10" s="1"/>
  <c r="H361" i="10" s="1"/>
  <c r="F360" i="10"/>
  <c r="G360" i="10" s="1"/>
  <c r="H360" i="10" s="1"/>
  <c r="F359" i="10"/>
  <c r="G359" i="10" s="1"/>
  <c r="H359" i="10" s="1"/>
  <c r="F358" i="10"/>
  <c r="G358" i="10" s="1"/>
  <c r="H358" i="10" s="1"/>
  <c r="F357" i="10"/>
  <c r="G357" i="10" s="1"/>
  <c r="H357" i="10" s="1"/>
  <c r="F356" i="10"/>
  <c r="G356" i="10" s="1"/>
  <c r="H356" i="10" s="1"/>
  <c r="F355" i="10"/>
  <c r="G355" i="10" s="1"/>
  <c r="H355" i="10" s="1"/>
  <c r="F354" i="10"/>
  <c r="G354" i="10" s="1"/>
  <c r="H354" i="10" s="1"/>
  <c r="F353" i="10"/>
  <c r="G353" i="10" s="1"/>
  <c r="H353" i="10" s="1"/>
  <c r="F352" i="10"/>
  <c r="G352" i="10" s="1"/>
  <c r="H352" i="10" s="1"/>
  <c r="F351" i="10"/>
  <c r="G351" i="10" s="1"/>
  <c r="H351" i="10" s="1"/>
  <c r="F350" i="10"/>
  <c r="G350" i="10" s="1"/>
  <c r="H350" i="10" s="1"/>
  <c r="F349" i="10"/>
  <c r="G349" i="10" s="1"/>
  <c r="H349" i="10" s="1"/>
  <c r="F348" i="10"/>
  <c r="G348" i="10" s="1"/>
  <c r="H348" i="10" s="1"/>
  <c r="F347" i="10"/>
  <c r="G347" i="10" s="1"/>
  <c r="H347" i="10" s="1"/>
  <c r="F346" i="10"/>
  <c r="G346" i="10" s="1"/>
  <c r="H346" i="10" s="1"/>
  <c r="F345" i="10"/>
  <c r="G345" i="10" s="1"/>
  <c r="H345" i="10" s="1"/>
  <c r="F344" i="10"/>
  <c r="G344" i="10" s="1"/>
  <c r="H344" i="10" s="1"/>
  <c r="F343" i="10"/>
  <c r="G343" i="10" s="1"/>
  <c r="H343" i="10" s="1"/>
  <c r="F342" i="10"/>
  <c r="G342" i="10" s="1"/>
  <c r="H342" i="10" s="1"/>
  <c r="F341" i="10"/>
  <c r="G341" i="10" s="1"/>
  <c r="H341" i="10" s="1"/>
  <c r="F340" i="10"/>
  <c r="G340" i="10" s="1"/>
  <c r="H340" i="10" s="1"/>
  <c r="F339" i="10"/>
  <c r="G339" i="10" s="1"/>
  <c r="H339" i="10" s="1"/>
  <c r="F338" i="10"/>
  <c r="G338" i="10" s="1"/>
  <c r="H338" i="10" s="1"/>
  <c r="F337" i="10"/>
  <c r="G337" i="10" s="1"/>
  <c r="H337" i="10" s="1"/>
  <c r="F336" i="10"/>
  <c r="G336" i="10" s="1"/>
  <c r="H336" i="10" s="1"/>
  <c r="F335" i="10"/>
  <c r="G335" i="10" s="1"/>
  <c r="H335" i="10" s="1"/>
  <c r="F334" i="10"/>
  <c r="G334" i="10" s="1"/>
  <c r="H334" i="10" s="1"/>
  <c r="F333" i="10"/>
  <c r="G333" i="10" s="1"/>
  <c r="H333" i="10" s="1"/>
  <c r="F332" i="10"/>
  <c r="G332" i="10" s="1"/>
  <c r="H332" i="10" s="1"/>
  <c r="F331" i="10"/>
  <c r="G331" i="10" s="1"/>
  <c r="H331" i="10" s="1"/>
  <c r="F330" i="10"/>
  <c r="G330" i="10" s="1"/>
  <c r="H330" i="10" s="1"/>
  <c r="F329" i="10"/>
  <c r="G329" i="10" s="1"/>
  <c r="H329" i="10" s="1"/>
  <c r="F328" i="10"/>
  <c r="G328" i="10" s="1"/>
  <c r="H328" i="10" s="1"/>
  <c r="F327" i="10"/>
  <c r="G327" i="10" s="1"/>
  <c r="H327" i="10" s="1"/>
  <c r="F326" i="10"/>
  <c r="G326" i="10" s="1"/>
  <c r="H326" i="10" s="1"/>
  <c r="F325" i="10"/>
  <c r="G325" i="10" s="1"/>
  <c r="H325" i="10" s="1"/>
  <c r="F324" i="10"/>
  <c r="G324" i="10" s="1"/>
  <c r="H324" i="10" s="1"/>
  <c r="F323" i="10"/>
  <c r="G323" i="10" s="1"/>
  <c r="H323" i="10" s="1"/>
  <c r="F322" i="10"/>
  <c r="G322" i="10" s="1"/>
  <c r="H322" i="10" s="1"/>
  <c r="F321" i="10"/>
  <c r="G321" i="10" s="1"/>
  <c r="H321" i="10" s="1"/>
  <c r="F320" i="10"/>
  <c r="G320" i="10" s="1"/>
  <c r="H320" i="10" s="1"/>
  <c r="F319" i="10"/>
  <c r="G319" i="10" s="1"/>
  <c r="H319" i="10" s="1"/>
  <c r="F318" i="10"/>
  <c r="G318" i="10" s="1"/>
  <c r="H318" i="10" s="1"/>
  <c r="F317" i="10"/>
  <c r="G317" i="10" s="1"/>
  <c r="H317" i="10" s="1"/>
  <c r="F316" i="10"/>
  <c r="G316" i="10" s="1"/>
  <c r="H316" i="10" s="1"/>
  <c r="F315" i="10"/>
  <c r="G315" i="10" s="1"/>
  <c r="H315" i="10" s="1"/>
  <c r="F314" i="10"/>
  <c r="G314" i="10" s="1"/>
  <c r="H314" i="10" s="1"/>
  <c r="F313" i="10"/>
  <c r="G313" i="10" s="1"/>
  <c r="H313" i="10" s="1"/>
  <c r="F312" i="10"/>
  <c r="G312" i="10" s="1"/>
  <c r="H312" i="10" s="1"/>
  <c r="F311" i="10"/>
  <c r="G311" i="10" s="1"/>
  <c r="H311" i="10" s="1"/>
  <c r="F310" i="10"/>
  <c r="G310" i="10" s="1"/>
  <c r="H310" i="10" s="1"/>
  <c r="F309" i="10"/>
  <c r="G309" i="10" s="1"/>
  <c r="H309" i="10" s="1"/>
  <c r="F308" i="10"/>
  <c r="G308" i="10" s="1"/>
  <c r="H308" i="10" s="1"/>
  <c r="F307" i="10"/>
  <c r="G307" i="10" s="1"/>
  <c r="H307" i="10" s="1"/>
  <c r="F306" i="10"/>
  <c r="G306" i="10" s="1"/>
  <c r="H306" i="10" s="1"/>
  <c r="F305" i="10"/>
  <c r="G305" i="10" s="1"/>
  <c r="H305" i="10" s="1"/>
  <c r="F304" i="10"/>
  <c r="G304" i="10" s="1"/>
  <c r="H304" i="10" s="1"/>
  <c r="F303" i="10"/>
  <c r="G303" i="10" s="1"/>
  <c r="H303" i="10" s="1"/>
  <c r="F302" i="10"/>
  <c r="G302" i="10" s="1"/>
  <c r="H302" i="10" s="1"/>
  <c r="F301" i="10"/>
  <c r="G301" i="10" s="1"/>
  <c r="H301" i="10" s="1"/>
  <c r="F300" i="10"/>
  <c r="G300" i="10" s="1"/>
  <c r="H300" i="10" s="1"/>
  <c r="F299" i="10"/>
  <c r="G299" i="10" s="1"/>
  <c r="H299" i="10" s="1"/>
  <c r="F298" i="10"/>
  <c r="G298" i="10" s="1"/>
  <c r="H298" i="10" s="1"/>
  <c r="F297" i="10"/>
  <c r="G297" i="10" s="1"/>
  <c r="H297" i="10" s="1"/>
  <c r="F296" i="10"/>
  <c r="G296" i="10" s="1"/>
  <c r="H296" i="10" s="1"/>
  <c r="F295" i="10"/>
  <c r="G295" i="10" s="1"/>
  <c r="H295" i="10" s="1"/>
  <c r="F294" i="10"/>
  <c r="G294" i="10" s="1"/>
  <c r="H294" i="10" s="1"/>
  <c r="F293" i="10"/>
  <c r="G293" i="10" s="1"/>
  <c r="H293" i="10" s="1"/>
  <c r="F292" i="10"/>
  <c r="G292" i="10" s="1"/>
  <c r="H292" i="10" s="1"/>
  <c r="F291" i="10"/>
  <c r="G291" i="10" s="1"/>
  <c r="H291" i="10" s="1"/>
  <c r="F290" i="10"/>
  <c r="G290" i="10" s="1"/>
  <c r="H290" i="10" s="1"/>
  <c r="F289" i="10"/>
  <c r="G289" i="10" s="1"/>
  <c r="H289" i="10" s="1"/>
  <c r="F288" i="10"/>
  <c r="G288" i="10" s="1"/>
  <c r="H288" i="10" s="1"/>
  <c r="F287" i="10"/>
  <c r="G287" i="10" s="1"/>
  <c r="H287" i="10" s="1"/>
  <c r="F286" i="10"/>
  <c r="G286" i="10" s="1"/>
  <c r="H286" i="10" s="1"/>
  <c r="F285" i="10"/>
  <c r="G285" i="10" s="1"/>
  <c r="H285" i="10" s="1"/>
  <c r="F284" i="10"/>
  <c r="G284" i="10" s="1"/>
  <c r="H284" i="10" s="1"/>
  <c r="F283" i="10"/>
  <c r="G283" i="10" s="1"/>
  <c r="H283" i="10" s="1"/>
  <c r="F282" i="10"/>
  <c r="G282" i="10" s="1"/>
  <c r="H282" i="10" s="1"/>
  <c r="F281" i="10"/>
  <c r="G281" i="10" s="1"/>
  <c r="H281" i="10" s="1"/>
  <c r="F280" i="10"/>
  <c r="G280" i="10" s="1"/>
  <c r="H280" i="10" s="1"/>
  <c r="F279" i="10"/>
  <c r="G279" i="10" s="1"/>
  <c r="H279" i="10" s="1"/>
  <c r="F278" i="10"/>
  <c r="G278" i="10" s="1"/>
  <c r="H278" i="10" s="1"/>
  <c r="F277" i="10"/>
  <c r="G277" i="10" s="1"/>
  <c r="H277" i="10" s="1"/>
  <c r="F276" i="10"/>
  <c r="G276" i="10" s="1"/>
  <c r="H276" i="10" s="1"/>
  <c r="F275" i="10"/>
  <c r="G275" i="10" s="1"/>
  <c r="H275" i="10" s="1"/>
  <c r="F274" i="10"/>
  <c r="G274" i="10" s="1"/>
  <c r="H274" i="10" s="1"/>
  <c r="F273" i="10"/>
  <c r="G273" i="10" s="1"/>
  <c r="H273" i="10" s="1"/>
  <c r="F272" i="10"/>
  <c r="G272" i="10" s="1"/>
  <c r="H272" i="10" s="1"/>
  <c r="F271" i="10"/>
  <c r="G271" i="10" s="1"/>
  <c r="H271" i="10" s="1"/>
  <c r="F270" i="10"/>
  <c r="G270" i="10" s="1"/>
  <c r="H270" i="10" s="1"/>
  <c r="F269" i="10"/>
  <c r="G269" i="10" s="1"/>
  <c r="H269" i="10" s="1"/>
  <c r="F268" i="10"/>
  <c r="G268" i="10" s="1"/>
  <c r="H268" i="10" s="1"/>
  <c r="F267" i="10"/>
  <c r="G267" i="10" s="1"/>
  <c r="H267" i="10" s="1"/>
  <c r="F266" i="10"/>
  <c r="G266" i="10" s="1"/>
  <c r="H266" i="10" s="1"/>
  <c r="F265" i="10"/>
  <c r="G265" i="10" s="1"/>
  <c r="H265" i="10" s="1"/>
  <c r="F264" i="10"/>
  <c r="G264" i="10" s="1"/>
  <c r="H264" i="10" s="1"/>
  <c r="F263" i="10"/>
  <c r="G263" i="10" s="1"/>
  <c r="H263" i="10" s="1"/>
  <c r="F262" i="10"/>
  <c r="G262" i="10" s="1"/>
  <c r="H262" i="10" s="1"/>
  <c r="F261" i="10"/>
  <c r="G261" i="10" s="1"/>
  <c r="H261" i="10" s="1"/>
  <c r="F260" i="10"/>
  <c r="G260" i="10" s="1"/>
  <c r="H260" i="10" s="1"/>
  <c r="F259" i="10"/>
  <c r="G259" i="10" s="1"/>
  <c r="H259" i="10" s="1"/>
  <c r="F258" i="10"/>
  <c r="G258" i="10" s="1"/>
  <c r="H258" i="10" s="1"/>
  <c r="F257" i="10"/>
  <c r="G257" i="10" s="1"/>
  <c r="H257" i="10" s="1"/>
  <c r="F256" i="10"/>
  <c r="G256" i="10" s="1"/>
  <c r="H256" i="10" s="1"/>
  <c r="F255" i="10"/>
  <c r="G255" i="10" s="1"/>
  <c r="H255" i="10" s="1"/>
  <c r="F254" i="10"/>
  <c r="G254" i="10" s="1"/>
  <c r="H254" i="10" s="1"/>
  <c r="F253" i="10"/>
  <c r="G253" i="10" s="1"/>
  <c r="H253" i="10" s="1"/>
  <c r="F252" i="10"/>
  <c r="G252" i="10" s="1"/>
  <c r="H252" i="10" s="1"/>
  <c r="F251" i="10"/>
  <c r="G251" i="10" s="1"/>
  <c r="H251" i="10" s="1"/>
  <c r="F250" i="10"/>
  <c r="G250" i="10" s="1"/>
  <c r="H250" i="10" s="1"/>
  <c r="F249" i="10"/>
  <c r="G249" i="10" s="1"/>
  <c r="H249" i="10" s="1"/>
  <c r="F248" i="10"/>
  <c r="G248" i="10" s="1"/>
  <c r="H248" i="10" s="1"/>
  <c r="F247" i="10"/>
  <c r="G247" i="10" s="1"/>
  <c r="H247" i="10" s="1"/>
  <c r="F246" i="10"/>
  <c r="G246" i="10" s="1"/>
  <c r="H246" i="10" s="1"/>
  <c r="F245" i="10"/>
  <c r="G245" i="10" s="1"/>
  <c r="H245" i="10" s="1"/>
  <c r="F244" i="10"/>
  <c r="G244" i="10" s="1"/>
  <c r="H244" i="10" s="1"/>
  <c r="F243" i="10"/>
  <c r="G243" i="10" s="1"/>
  <c r="H243" i="10" s="1"/>
  <c r="F242" i="10"/>
  <c r="G242" i="10" s="1"/>
  <c r="H242" i="10" s="1"/>
  <c r="F241" i="10"/>
  <c r="G241" i="10" s="1"/>
  <c r="H241" i="10" s="1"/>
  <c r="F240" i="10"/>
  <c r="G240" i="10" s="1"/>
  <c r="H240" i="10" s="1"/>
  <c r="F239" i="10"/>
  <c r="G239" i="10" s="1"/>
  <c r="H239" i="10" s="1"/>
  <c r="F238" i="10"/>
  <c r="G238" i="10" s="1"/>
  <c r="H238" i="10" s="1"/>
  <c r="F237" i="10"/>
  <c r="G237" i="10" s="1"/>
  <c r="H237" i="10" s="1"/>
  <c r="F236" i="10"/>
  <c r="G236" i="10" s="1"/>
  <c r="H236" i="10" s="1"/>
  <c r="F235" i="10"/>
  <c r="G235" i="10" s="1"/>
  <c r="H235" i="10" s="1"/>
  <c r="F234" i="10"/>
  <c r="G234" i="10" s="1"/>
  <c r="H234" i="10" s="1"/>
  <c r="F233" i="10"/>
  <c r="G233" i="10" s="1"/>
  <c r="H233" i="10" s="1"/>
  <c r="F232" i="10"/>
  <c r="G232" i="10" s="1"/>
  <c r="H232" i="10" s="1"/>
  <c r="F231" i="10"/>
  <c r="G231" i="10" s="1"/>
  <c r="H231" i="10" s="1"/>
  <c r="F230" i="10"/>
  <c r="G230" i="10" s="1"/>
  <c r="H230" i="10" s="1"/>
  <c r="F229" i="10"/>
  <c r="G229" i="10" s="1"/>
  <c r="H229" i="10" s="1"/>
  <c r="F228" i="10"/>
  <c r="G228" i="10" s="1"/>
  <c r="H228" i="10" s="1"/>
  <c r="F227" i="10"/>
  <c r="G227" i="10" s="1"/>
  <c r="H227" i="10" s="1"/>
  <c r="F226" i="10"/>
  <c r="G226" i="10" s="1"/>
  <c r="H226" i="10" s="1"/>
  <c r="F225" i="10"/>
  <c r="G225" i="10" s="1"/>
  <c r="H225" i="10" s="1"/>
  <c r="F224" i="10"/>
  <c r="G224" i="10" s="1"/>
  <c r="H224" i="10" s="1"/>
  <c r="F223" i="10"/>
  <c r="G223" i="10" s="1"/>
  <c r="H223" i="10" s="1"/>
  <c r="F222" i="10"/>
  <c r="G222" i="10" s="1"/>
  <c r="H222" i="10" s="1"/>
  <c r="F221" i="10"/>
  <c r="G221" i="10" s="1"/>
  <c r="H221" i="10" s="1"/>
  <c r="F220" i="10"/>
  <c r="G220" i="10" s="1"/>
  <c r="H220" i="10" s="1"/>
  <c r="F219" i="10"/>
  <c r="G219" i="10" s="1"/>
  <c r="H219" i="10" s="1"/>
  <c r="F218" i="10"/>
  <c r="G218" i="10" s="1"/>
  <c r="H218" i="10" s="1"/>
  <c r="F217" i="10"/>
  <c r="G217" i="10" s="1"/>
  <c r="H217" i="10" s="1"/>
  <c r="F216" i="10"/>
  <c r="G216" i="10" s="1"/>
  <c r="H216" i="10" s="1"/>
  <c r="F215" i="10"/>
  <c r="G215" i="10" s="1"/>
  <c r="H215" i="10" s="1"/>
  <c r="F214" i="10"/>
  <c r="G214" i="10" s="1"/>
  <c r="H214" i="10" s="1"/>
  <c r="F213" i="10"/>
  <c r="G213" i="10" s="1"/>
  <c r="H213" i="10" s="1"/>
  <c r="F212" i="10"/>
  <c r="G212" i="10" s="1"/>
  <c r="H212" i="10" s="1"/>
  <c r="F211" i="10"/>
  <c r="G211" i="10" s="1"/>
  <c r="H211" i="10" s="1"/>
  <c r="F210" i="10"/>
  <c r="G210" i="10" s="1"/>
  <c r="H210" i="10" s="1"/>
  <c r="F209" i="10"/>
  <c r="G209" i="10" s="1"/>
  <c r="H209" i="10" s="1"/>
  <c r="F208" i="10"/>
  <c r="G208" i="10" s="1"/>
  <c r="H208" i="10" s="1"/>
  <c r="F207" i="10"/>
  <c r="G207" i="10" s="1"/>
  <c r="H207" i="10" s="1"/>
  <c r="F206" i="10"/>
  <c r="G206" i="10" s="1"/>
  <c r="H206" i="10" s="1"/>
  <c r="F205" i="10"/>
  <c r="G205" i="10" s="1"/>
  <c r="H205" i="10" s="1"/>
  <c r="F204" i="10"/>
  <c r="G204" i="10" s="1"/>
  <c r="H204" i="10" s="1"/>
  <c r="F203" i="10"/>
  <c r="G203" i="10" s="1"/>
  <c r="H203" i="10" s="1"/>
  <c r="F202" i="10"/>
  <c r="G202" i="10" s="1"/>
  <c r="H202" i="10" s="1"/>
  <c r="F201" i="10"/>
  <c r="G201" i="10" s="1"/>
  <c r="H201" i="10" s="1"/>
  <c r="F200" i="10"/>
  <c r="G200" i="10" s="1"/>
  <c r="H200" i="10" s="1"/>
  <c r="F199" i="10"/>
  <c r="G199" i="10" s="1"/>
  <c r="H199" i="10" s="1"/>
  <c r="F198" i="10"/>
  <c r="G198" i="10" s="1"/>
  <c r="H198" i="10" s="1"/>
  <c r="F197" i="10"/>
  <c r="G197" i="10" s="1"/>
  <c r="H197" i="10" s="1"/>
  <c r="F196" i="10"/>
  <c r="G196" i="10" s="1"/>
  <c r="H196" i="10" s="1"/>
  <c r="F195" i="10"/>
  <c r="G195" i="10" s="1"/>
  <c r="H195" i="10" s="1"/>
  <c r="F194" i="10"/>
  <c r="G194" i="10" s="1"/>
  <c r="H194" i="10" s="1"/>
  <c r="F193" i="10"/>
  <c r="G193" i="10" s="1"/>
  <c r="H193" i="10" s="1"/>
  <c r="F192" i="10"/>
  <c r="G192" i="10" s="1"/>
  <c r="H192" i="10" s="1"/>
  <c r="F191" i="10"/>
  <c r="G191" i="10" s="1"/>
  <c r="H191" i="10" s="1"/>
  <c r="F190" i="10"/>
  <c r="G190" i="10" s="1"/>
  <c r="H190" i="10" s="1"/>
  <c r="F189" i="10"/>
  <c r="G189" i="10" s="1"/>
  <c r="H189" i="10" s="1"/>
  <c r="F188" i="10"/>
  <c r="G188" i="10" s="1"/>
  <c r="H188" i="10" s="1"/>
  <c r="F187" i="10"/>
  <c r="G187" i="10" s="1"/>
  <c r="H187" i="10" s="1"/>
  <c r="F186" i="10"/>
  <c r="G186" i="10" s="1"/>
  <c r="H186" i="10" s="1"/>
  <c r="F185" i="10"/>
  <c r="G185" i="10" s="1"/>
  <c r="H185" i="10" s="1"/>
  <c r="F184" i="10"/>
  <c r="G184" i="10" s="1"/>
  <c r="H184" i="10" s="1"/>
  <c r="F183" i="10"/>
  <c r="G183" i="10" s="1"/>
  <c r="H183" i="10" s="1"/>
  <c r="F182" i="10"/>
  <c r="G182" i="10" s="1"/>
  <c r="H182" i="10" s="1"/>
  <c r="F181" i="10"/>
  <c r="G181" i="10" s="1"/>
  <c r="H181" i="10" s="1"/>
  <c r="F180" i="10"/>
  <c r="G180" i="10" s="1"/>
  <c r="H180" i="10" s="1"/>
  <c r="F179" i="10"/>
  <c r="G179" i="10" s="1"/>
  <c r="H179" i="10" s="1"/>
  <c r="F178" i="10"/>
  <c r="G178" i="10" s="1"/>
  <c r="H178" i="10" s="1"/>
  <c r="F177" i="10"/>
  <c r="G177" i="10" s="1"/>
  <c r="H177" i="10" s="1"/>
  <c r="F176" i="10"/>
  <c r="G176" i="10" s="1"/>
  <c r="H176" i="10" s="1"/>
  <c r="F175" i="10"/>
  <c r="G175" i="10" s="1"/>
  <c r="H175" i="10" s="1"/>
  <c r="F174" i="10"/>
  <c r="G174" i="10" s="1"/>
  <c r="H174" i="10" s="1"/>
  <c r="F173" i="10"/>
  <c r="G173" i="10" s="1"/>
  <c r="H173" i="10" s="1"/>
  <c r="F172" i="10"/>
  <c r="G172" i="10" s="1"/>
  <c r="H172" i="10" s="1"/>
  <c r="F171" i="10"/>
  <c r="G171" i="10" s="1"/>
  <c r="H171" i="10" s="1"/>
  <c r="F170" i="10"/>
  <c r="G170" i="10" s="1"/>
  <c r="H170" i="10" s="1"/>
  <c r="F169" i="10"/>
  <c r="G169" i="10" s="1"/>
  <c r="H169" i="10" s="1"/>
  <c r="F168" i="10"/>
  <c r="G168" i="10" s="1"/>
  <c r="H168" i="10" s="1"/>
  <c r="F167" i="10"/>
  <c r="G167" i="10" s="1"/>
  <c r="H167" i="10" s="1"/>
  <c r="F166" i="10"/>
  <c r="G166" i="10" s="1"/>
  <c r="H166" i="10" s="1"/>
  <c r="F165" i="10"/>
  <c r="G165" i="10" s="1"/>
  <c r="H165" i="10" s="1"/>
  <c r="F164" i="10"/>
  <c r="G164" i="10" s="1"/>
  <c r="H164" i="10" s="1"/>
  <c r="F163" i="10"/>
  <c r="G163" i="10" s="1"/>
  <c r="H163" i="10" s="1"/>
  <c r="F162" i="10"/>
  <c r="G162" i="10" s="1"/>
  <c r="H162" i="10" s="1"/>
  <c r="F161" i="10"/>
  <c r="G161" i="10" s="1"/>
  <c r="H161" i="10" s="1"/>
  <c r="F160" i="10"/>
  <c r="G160" i="10" s="1"/>
  <c r="H160" i="10" s="1"/>
  <c r="F159" i="10"/>
  <c r="G159" i="10" s="1"/>
  <c r="H159" i="10" s="1"/>
  <c r="F158" i="10"/>
  <c r="G158" i="10" s="1"/>
  <c r="H158" i="10" s="1"/>
  <c r="F157" i="10"/>
  <c r="G157" i="10" s="1"/>
  <c r="H157" i="10" s="1"/>
  <c r="F156" i="10"/>
  <c r="G156" i="10" s="1"/>
  <c r="H156" i="10" s="1"/>
  <c r="F155" i="10"/>
  <c r="G155" i="10" s="1"/>
  <c r="H155" i="10" s="1"/>
  <c r="F154" i="10"/>
  <c r="G154" i="10" s="1"/>
  <c r="H154" i="10" s="1"/>
  <c r="F153" i="10"/>
  <c r="G153" i="10" s="1"/>
  <c r="H153" i="10" s="1"/>
  <c r="F152" i="10"/>
  <c r="G152" i="10" s="1"/>
  <c r="H152" i="10" s="1"/>
  <c r="F151" i="10"/>
  <c r="G151" i="10" s="1"/>
  <c r="H151" i="10" s="1"/>
  <c r="F150" i="10"/>
  <c r="G150" i="10" s="1"/>
  <c r="H150" i="10" s="1"/>
  <c r="F149" i="10"/>
  <c r="G149" i="10" s="1"/>
  <c r="H149" i="10" s="1"/>
  <c r="F148" i="10"/>
  <c r="G148" i="10" s="1"/>
  <c r="H148" i="10" s="1"/>
  <c r="F147" i="10"/>
  <c r="G147" i="10" s="1"/>
  <c r="H147" i="10" s="1"/>
  <c r="F146" i="10"/>
  <c r="G146" i="10" s="1"/>
  <c r="H146" i="10" s="1"/>
  <c r="F145" i="10"/>
  <c r="G145" i="10" s="1"/>
  <c r="H145" i="10" s="1"/>
  <c r="F144" i="10"/>
  <c r="G144" i="10" s="1"/>
  <c r="H144" i="10" s="1"/>
  <c r="F143" i="10"/>
  <c r="G143" i="10" s="1"/>
  <c r="H143" i="10" s="1"/>
  <c r="F142" i="10"/>
  <c r="G142" i="10" s="1"/>
  <c r="H142" i="10" s="1"/>
  <c r="F141" i="10"/>
  <c r="G141" i="10" s="1"/>
  <c r="H141" i="10" s="1"/>
  <c r="F140" i="10"/>
  <c r="G140" i="10" s="1"/>
  <c r="H140" i="10" s="1"/>
  <c r="F139" i="10"/>
  <c r="G139" i="10" s="1"/>
  <c r="H139" i="10" s="1"/>
  <c r="F138" i="10"/>
  <c r="G138" i="10" s="1"/>
  <c r="H138" i="10" s="1"/>
  <c r="F137" i="10"/>
  <c r="G137" i="10" s="1"/>
  <c r="H137" i="10" s="1"/>
  <c r="F136" i="10"/>
  <c r="G136" i="10" s="1"/>
  <c r="H136" i="10" s="1"/>
  <c r="F135" i="10"/>
  <c r="G135" i="10" s="1"/>
  <c r="H135" i="10" s="1"/>
  <c r="F134" i="10"/>
  <c r="G134" i="10" s="1"/>
  <c r="H134" i="10" s="1"/>
  <c r="F133" i="10"/>
  <c r="G133" i="10" s="1"/>
  <c r="H133" i="10" s="1"/>
  <c r="F132" i="10"/>
  <c r="G132" i="10" s="1"/>
  <c r="H132" i="10" s="1"/>
  <c r="F131" i="10"/>
  <c r="G131" i="10" s="1"/>
  <c r="H131" i="10" s="1"/>
  <c r="F130" i="10"/>
  <c r="G130" i="10" s="1"/>
  <c r="H130" i="10" s="1"/>
  <c r="F129" i="10"/>
  <c r="G129" i="10" s="1"/>
  <c r="H129" i="10" s="1"/>
  <c r="F128" i="10"/>
  <c r="G128" i="10" s="1"/>
  <c r="H128" i="10" s="1"/>
  <c r="F127" i="10"/>
  <c r="G127" i="10" s="1"/>
  <c r="H127" i="10" s="1"/>
  <c r="F126" i="10"/>
  <c r="G126" i="10" s="1"/>
  <c r="H126" i="10" s="1"/>
  <c r="F125" i="10"/>
  <c r="G125" i="10" s="1"/>
  <c r="H125" i="10" s="1"/>
  <c r="F124" i="10"/>
  <c r="G124" i="10" s="1"/>
  <c r="H124" i="10" s="1"/>
  <c r="F123" i="10"/>
  <c r="G123" i="10" s="1"/>
  <c r="H123" i="10" s="1"/>
  <c r="F122" i="10"/>
  <c r="G122" i="10" s="1"/>
  <c r="H122" i="10" s="1"/>
  <c r="F121" i="10"/>
  <c r="G121" i="10" s="1"/>
  <c r="H121" i="10" s="1"/>
  <c r="F120" i="10"/>
  <c r="G120" i="10" s="1"/>
  <c r="H120" i="10" s="1"/>
  <c r="F119" i="10"/>
  <c r="G119" i="10" s="1"/>
  <c r="H119" i="10" s="1"/>
  <c r="F118" i="10"/>
  <c r="G118" i="10" s="1"/>
  <c r="H118" i="10" s="1"/>
  <c r="F117" i="10"/>
  <c r="G117" i="10" s="1"/>
  <c r="H117" i="10" s="1"/>
  <c r="F116" i="10"/>
  <c r="G116" i="10" s="1"/>
  <c r="H116" i="10" s="1"/>
  <c r="F115" i="10"/>
  <c r="G115" i="10" s="1"/>
  <c r="H115" i="10" s="1"/>
  <c r="F114" i="10"/>
  <c r="G114" i="10" s="1"/>
  <c r="H114" i="10" s="1"/>
  <c r="F113" i="10"/>
  <c r="G113" i="10" s="1"/>
  <c r="H113" i="10" s="1"/>
  <c r="F112" i="10"/>
  <c r="G112" i="10" s="1"/>
  <c r="H112" i="10" s="1"/>
  <c r="F111" i="10"/>
  <c r="G111" i="10" s="1"/>
  <c r="H111" i="10" s="1"/>
  <c r="F110" i="10"/>
  <c r="G110" i="10" s="1"/>
  <c r="H110" i="10" s="1"/>
  <c r="F109" i="10"/>
  <c r="G109" i="10" s="1"/>
  <c r="H109" i="10" s="1"/>
  <c r="F108" i="10"/>
  <c r="G108" i="10" s="1"/>
  <c r="H108" i="10" s="1"/>
  <c r="F107" i="10"/>
  <c r="G107" i="10" s="1"/>
  <c r="H107" i="10" s="1"/>
  <c r="F106" i="10"/>
  <c r="G106" i="10" s="1"/>
  <c r="H106" i="10" s="1"/>
  <c r="F105" i="10"/>
  <c r="G105" i="10" s="1"/>
  <c r="H105" i="10" s="1"/>
  <c r="F104" i="10"/>
  <c r="G104" i="10" s="1"/>
  <c r="H104" i="10" s="1"/>
  <c r="F103" i="10"/>
  <c r="G103" i="10" s="1"/>
  <c r="H103" i="10" s="1"/>
  <c r="F102" i="10"/>
  <c r="G102" i="10" s="1"/>
  <c r="H102" i="10" s="1"/>
  <c r="F101" i="10"/>
  <c r="G101" i="10" s="1"/>
  <c r="H101" i="10" s="1"/>
  <c r="F100" i="10"/>
  <c r="G100" i="10" s="1"/>
  <c r="H100" i="10" s="1"/>
  <c r="F99" i="10"/>
  <c r="G99" i="10" s="1"/>
  <c r="H99" i="10" s="1"/>
  <c r="F98" i="10"/>
  <c r="G98" i="10" s="1"/>
  <c r="H98" i="10" s="1"/>
  <c r="F97" i="10"/>
  <c r="G97" i="10" s="1"/>
  <c r="H97" i="10" s="1"/>
  <c r="F96" i="10"/>
  <c r="G96" i="10" s="1"/>
  <c r="H96" i="10" s="1"/>
  <c r="F95" i="10"/>
  <c r="G95" i="10" s="1"/>
  <c r="H95" i="10" s="1"/>
  <c r="F94" i="10"/>
  <c r="G94" i="10" s="1"/>
  <c r="H94" i="10" s="1"/>
  <c r="F93" i="10"/>
  <c r="G93" i="10" s="1"/>
  <c r="H93" i="10" s="1"/>
  <c r="F92" i="10"/>
  <c r="G92" i="10" s="1"/>
  <c r="H92" i="10" s="1"/>
  <c r="F91" i="10"/>
  <c r="G91" i="10" s="1"/>
  <c r="H91" i="10" s="1"/>
  <c r="F90" i="10"/>
  <c r="G90" i="10" s="1"/>
  <c r="H90" i="10" s="1"/>
  <c r="F89" i="10"/>
  <c r="G89" i="10" s="1"/>
  <c r="H89" i="10" s="1"/>
  <c r="F88" i="10"/>
  <c r="G88" i="10" s="1"/>
  <c r="H88" i="10" s="1"/>
  <c r="F87" i="10"/>
  <c r="G87" i="10" s="1"/>
  <c r="H87" i="10" s="1"/>
  <c r="F86" i="10"/>
  <c r="G86" i="10" s="1"/>
  <c r="H86" i="10" s="1"/>
  <c r="F85" i="10"/>
  <c r="G85" i="10" s="1"/>
  <c r="H85" i="10" s="1"/>
  <c r="F84" i="10"/>
  <c r="G84" i="10" s="1"/>
  <c r="H84" i="10" s="1"/>
  <c r="F83" i="10"/>
  <c r="G83" i="10" s="1"/>
  <c r="H83" i="10" s="1"/>
  <c r="F82" i="10"/>
  <c r="G82" i="10" s="1"/>
  <c r="H82" i="10" s="1"/>
  <c r="F81" i="10"/>
  <c r="G81" i="10" s="1"/>
  <c r="H81" i="10" s="1"/>
  <c r="F80" i="10"/>
  <c r="G80" i="10" s="1"/>
  <c r="H80" i="10" s="1"/>
  <c r="F79" i="10"/>
  <c r="G79" i="10" s="1"/>
  <c r="H79" i="10" s="1"/>
  <c r="F78" i="10"/>
  <c r="G78" i="10" s="1"/>
  <c r="H78" i="10" s="1"/>
  <c r="F77" i="10"/>
  <c r="G77" i="10" s="1"/>
  <c r="H77" i="10" s="1"/>
  <c r="F76" i="10"/>
  <c r="G76" i="10" s="1"/>
  <c r="H76" i="10" s="1"/>
  <c r="F75" i="10"/>
  <c r="G75" i="10" s="1"/>
  <c r="H75" i="10" s="1"/>
  <c r="F74" i="10"/>
  <c r="G74" i="10" s="1"/>
  <c r="H74" i="10" s="1"/>
  <c r="F73" i="10"/>
  <c r="G73" i="10" s="1"/>
  <c r="H73" i="10" s="1"/>
  <c r="F72" i="10"/>
  <c r="G72" i="10" s="1"/>
  <c r="H72" i="10" s="1"/>
  <c r="F71" i="10"/>
  <c r="G71" i="10" s="1"/>
  <c r="H71" i="10" s="1"/>
  <c r="F70" i="10"/>
  <c r="G70" i="10" s="1"/>
  <c r="H70" i="10" s="1"/>
  <c r="F69" i="10"/>
  <c r="G69" i="10" s="1"/>
  <c r="H69" i="10" s="1"/>
  <c r="F68" i="10"/>
  <c r="G68" i="10" s="1"/>
  <c r="H68" i="10" s="1"/>
  <c r="F67" i="10"/>
  <c r="G67" i="10" s="1"/>
  <c r="H67" i="10" s="1"/>
  <c r="F66" i="10"/>
  <c r="G66" i="10" s="1"/>
  <c r="H66" i="10" s="1"/>
  <c r="F65" i="10"/>
  <c r="G65" i="10" s="1"/>
  <c r="H65" i="10" s="1"/>
  <c r="F64" i="10"/>
  <c r="G64" i="10" s="1"/>
  <c r="H64" i="10" s="1"/>
  <c r="F63" i="10"/>
  <c r="G63" i="10" s="1"/>
  <c r="H63" i="10" s="1"/>
  <c r="F62" i="10"/>
  <c r="G62" i="10" s="1"/>
  <c r="H62" i="10" s="1"/>
  <c r="F61" i="10"/>
  <c r="G61" i="10" s="1"/>
  <c r="H61" i="10" s="1"/>
  <c r="F60" i="10"/>
  <c r="G60" i="10" s="1"/>
  <c r="H60" i="10" s="1"/>
  <c r="F59" i="10"/>
  <c r="G59" i="10" s="1"/>
  <c r="H59" i="10" s="1"/>
  <c r="F58" i="10"/>
  <c r="G58" i="10" s="1"/>
  <c r="H58" i="10" s="1"/>
  <c r="F57" i="10"/>
  <c r="G57" i="10" s="1"/>
  <c r="H57" i="10" s="1"/>
  <c r="F56" i="10"/>
  <c r="G56" i="10" s="1"/>
  <c r="H56" i="10" s="1"/>
  <c r="F55" i="10"/>
  <c r="G55" i="10" s="1"/>
  <c r="H55" i="10" s="1"/>
  <c r="F54" i="10"/>
  <c r="G54" i="10" s="1"/>
  <c r="H54" i="10" s="1"/>
  <c r="F53" i="10"/>
  <c r="G53" i="10" s="1"/>
  <c r="H53" i="10" s="1"/>
  <c r="F52" i="10"/>
  <c r="G52" i="10" s="1"/>
  <c r="H52" i="10" s="1"/>
  <c r="F51" i="10"/>
  <c r="G51" i="10" s="1"/>
  <c r="H51" i="10" s="1"/>
  <c r="F50" i="10"/>
  <c r="G50" i="10" s="1"/>
  <c r="H50" i="10" s="1"/>
  <c r="F49" i="10"/>
  <c r="G49" i="10" s="1"/>
  <c r="H49" i="10" s="1"/>
  <c r="F48" i="10"/>
  <c r="G48" i="10" s="1"/>
  <c r="H48" i="10" s="1"/>
  <c r="F47" i="10"/>
  <c r="G47" i="10" s="1"/>
  <c r="H47" i="10" s="1"/>
  <c r="F46" i="10"/>
  <c r="G46" i="10" s="1"/>
  <c r="H46" i="10" s="1"/>
  <c r="F45" i="10"/>
  <c r="G45" i="10" s="1"/>
  <c r="H45" i="10" s="1"/>
  <c r="F44" i="10"/>
  <c r="G44" i="10" s="1"/>
  <c r="H44" i="10" s="1"/>
  <c r="F43" i="10"/>
  <c r="G43" i="10" s="1"/>
  <c r="H43" i="10" s="1"/>
  <c r="F42" i="10"/>
  <c r="G42" i="10" s="1"/>
  <c r="H42" i="10" s="1"/>
  <c r="F41" i="10"/>
  <c r="G41" i="10" s="1"/>
  <c r="H41" i="10" s="1"/>
  <c r="F40" i="10"/>
  <c r="G40" i="10" s="1"/>
  <c r="H40" i="10" s="1"/>
  <c r="F39" i="10"/>
  <c r="G39" i="10" s="1"/>
  <c r="H39" i="10" s="1"/>
  <c r="F38" i="10"/>
  <c r="G38" i="10" s="1"/>
  <c r="H38" i="10" s="1"/>
  <c r="F37" i="10"/>
  <c r="G37" i="10" s="1"/>
  <c r="H37" i="10" s="1"/>
  <c r="F36" i="10"/>
  <c r="G36" i="10" s="1"/>
  <c r="H36" i="10" s="1"/>
  <c r="F35" i="10"/>
  <c r="G35" i="10" s="1"/>
  <c r="H35" i="10" s="1"/>
  <c r="F34" i="10"/>
  <c r="G34" i="10" s="1"/>
  <c r="H34" i="10" s="1"/>
  <c r="F33" i="10"/>
  <c r="G33" i="10" s="1"/>
  <c r="H33" i="10" s="1"/>
  <c r="F32" i="10"/>
  <c r="G32" i="10" s="1"/>
  <c r="H32" i="10" s="1"/>
  <c r="F31" i="10"/>
  <c r="G31" i="10" s="1"/>
  <c r="H31" i="10" s="1"/>
  <c r="F30" i="10"/>
  <c r="G30" i="10" s="1"/>
  <c r="H30" i="10" s="1"/>
  <c r="F29" i="10"/>
  <c r="G29" i="10" s="1"/>
  <c r="H29" i="10" s="1"/>
  <c r="F28" i="10"/>
  <c r="G28" i="10" s="1"/>
  <c r="H28" i="10" s="1"/>
  <c r="F27" i="10"/>
  <c r="G27" i="10" s="1"/>
  <c r="H27" i="10" s="1"/>
  <c r="F26" i="10"/>
  <c r="G26" i="10" s="1"/>
  <c r="H26" i="10" s="1"/>
  <c r="F25" i="10"/>
  <c r="G25" i="10" s="1"/>
  <c r="H25" i="10" s="1"/>
  <c r="F24" i="10"/>
  <c r="G24" i="10" s="1"/>
  <c r="H24" i="10" s="1"/>
  <c r="F23" i="10"/>
  <c r="G23" i="10" s="1"/>
  <c r="H23" i="10" s="1"/>
  <c r="F22" i="10"/>
  <c r="G22" i="10" s="1"/>
  <c r="H22" i="10" s="1"/>
  <c r="F21" i="10"/>
  <c r="G21" i="10" s="1"/>
  <c r="H21" i="10" s="1"/>
  <c r="F20" i="10"/>
  <c r="G20" i="10" s="1"/>
  <c r="H20" i="10" s="1"/>
  <c r="F19" i="10"/>
  <c r="G19" i="10" s="1"/>
  <c r="H19" i="10" s="1"/>
  <c r="F18" i="10"/>
  <c r="G18" i="10" s="1"/>
  <c r="H18" i="10" s="1"/>
  <c r="F17" i="10"/>
  <c r="G17" i="10" s="1"/>
  <c r="H17" i="10" s="1"/>
  <c r="F16" i="10"/>
  <c r="G16" i="10" s="1"/>
  <c r="H16" i="10" s="1"/>
  <c r="F15" i="10"/>
  <c r="G15" i="10" s="1"/>
  <c r="H15" i="10" s="1"/>
  <c r="F14" i="10"/>
  <c r="G14" i="10" s="1"/>
  <c r="H14" i="10" s="1"/>
  <c r="F13" i="10"/>
  <c r="G13" i="10" s="1"/>
  <c r="H13" i="10" s="1"/>
  <c r="F12" i="10"/>
  <c r="G12" i="10" s="1"/>
  <c r="H12" i="10" s="1"/>
  <c r="F11" i="10"/>
  <c r="G11" i="10" s="1"/>
  <c r="H11" i="10" s="1"/>
  <c r="F10" i="10"/>
  <c r="G10" i="10" s="1"/>
  <c r="H10" i="10" s="1"/>
  <c r="F9" i="10"/>
  <c r="G9" i="10" s="1"/>
  <c r="H9" i="10" s="1"/>
  <c r="F8" i="10"/>
  <c r="G8" i="10" s="1"/>
  <c r="H8" i="10" s="1"/>
  <c r="F7" i="10"/>
  <c r="G7" i="10" s="1"/>
  <c r="H7" i="10" s="1"/>
  <c r="F6" i="10"/>
  <c r="G6" i="10" s="1"/>
  <c r="H6" i="10" s="1"/>
  <c r="F5" i="10"/>
  <c r="G5" i="10" s="1"/>
  <c r="H5" i="10" s="1"/>
  <c r="F4" i="10"/>
  <c r="G4" i="10" s="1"/>
  <c r="H4" i="10" s="1"/>
  <c r="F3" i="10"/>
  <c r="G3" i="10" s="1"/>
  <c r="H3" i="10" s="1"/>
  <c r="F2" i="10"/>
  <c r="G2" i="10" s="1"/>
  <c r="H2" i="10" s="1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C4" i="7"/>
  <c r="B4" i="7"/>
  <c r="C3" i="7"/>
  <c r="B3" i="7"/>
  <c r="C2" i="7"/>
  <c r="B2" i="7"/>
  <c r="I1642" i="3"/>
  <c r="H1642" i="3"/>
  <c r="I1641" i="3"/>
  <c r="H1641" i="3"/>
  <c r="I1640" i="3"/>
  <c r="H1640" i="3"/>
  <c r="I1639" i="3"/>
  <c r="H1639" i="3"/>
  <c r="I1638" i="3"/>
  <c r="H1638" i="3"/>
  <c r="I1637" i="3"/>
  <c r="H1637" i="3"/>
  <c r="I1636" i="3"/>
  <c r="H1636" i="3"/>
  <c r="I1635" i="3"/>
  <c r="H1635" i="3"/>
  <c r="I1634" i="3"/>
  <c r="H1634" i="3"/>
  <c r="I1633" i="3"/>
  <c r="H1633" i="3"/>
  <c r="I1632" i="3"/>
  <c r="H1632" i="3"/>
  <c r="I1631" i="3"/>
  <c r="H1631" i="3"/>
  <c r="I1630" i="3"/>
  <c r="H1630" i="3"/>
  <c r="I1629" i="3"/>
  <c r="H1629" i="3"/>
  <c r="I1628" i="3"/>
  <c r="H1628" i="3"/>
  <c r="I1627" i="3"/>
  <c r="H1627" i="3"/>
  <c r="I1626" i="3"/>
  <c r="H1626" i="3"/>
  <c r="I1625" i="3"/>
  <c r="H1625" i="3"/>
  <c r="I1624" i="3"/>
  <c r="H1624" i="3"/>
  <c r="I1623" i="3"/>
  <c r="H1623" i="3"/>
  <c r="I1622" i="3"/>
  <c r="H1622" i="3"/>
  <c r="I1621" i="3"/>
  <c r="H1621" i="3"/>
  <c r="I1620" i="3"/>
  <c r="H1620" i="3"/>
  <c r="I1619" i="3"/>
  <c r="H1619" i="3"/>
  <c r="I1618" i="3"/>
  <c r="H1618" i="3"/>
  <c r="I1617" i="3"/>
  <c r="H1617" i="3"/>
  <c r="I1616" i="3"/>
  <c r="H1616" i="3"/>
  <c r="I1615" i="3"/>
  <c r="H1615" i="3"/>
  <c r="I1614" i="3"/>
  <c r="H1614" i="3"/>
  <c r="I1613" i="3"/>
  <c r="H1613" i="3"/>
  <c r="I1612" i="3"/>
  <c r="H1612" i="3"/>
  <c r="I1611" i="3"/>
  <c r="H1611" i="3"/>
  <c r="I1610" i="3"/>
  <c r="H1610" i="3"/>
  <c r="I1609" i="3"/>
  <c r="H1609" i="3"/>
  <c r="I1608" i="3"/>
  <c r="H1608" i="3"/>
  <c r="I1607" i="3"/>
  <c r="H1607" i="3"/>
  <c r="I1606" i="3"/>
  <c r="H1606" i="3"/>
  <c r="I1605" i="3"/>
  <c r="H1605" i="3"/>
  <c r="I1604" i="3"/>
  <c r="H1604" i="3"/>
  <c r="I1603" i="3"/>
  <c r="H1603" i="3"/>
  <c r="I1602" i="3"/>
  <c r="H1602" i="3"/>
  <c r="I1601" i="3"/>
  <c r="H1601" i="3"/>
  <c r="I1600" i="3"/>
  <c r="H1600" i="3"/>
  <c r="I1599" i="3"/>
  <c r="H1599" i="3"/>
  <c r="I1598" i="3"/>
  <c r="H1598" i="3"/>
  <c r="I1597" i="3"/>
  <c r="H1597" i="3"/>
  <c r="I1596" i="3"/>
  <c r="H1596" i="3"/>
  <c r="I1595" i="3"/>
  <c r="H1595" i="3"/>
  <c r="I1594" i="3"/>
  <c r="H1594" i="3"/>
  <c r="I1593" i="3"/>
  <c r="H1593" i="3"/>
  <c r="I1592" i="3"/>
  <c r="H1592" i="3"/>
  <c r="I1591" i="3"/>
  <c r="H1591" i="3"/>
  <c r="I1590" i="3"/>
  <c r="H1590" i="3"/>
  <c r="I1589" i="3"/>
  <c r="H1589" i="3"/>
  <c r="I1588" i="3"/>
  <c r="H1588" i="3"/>
  <c r="I1587" i="3"/>
  <c r="H1587" i="3"/>
  <c r="I1586" i="3"/>
  <c r="H1586" i="3"/>
  <c r="I1585" i="3"/>
  <c r="H1585" i="3"/>
  <c r="I1584" i="3"/>
  <c r="H1584" i="3"/>
  <c r="I1583" i="3"/>
  <c r="H1583" i="3"/>
  <c r="I1582" i="3"/>
  <c r="H1582" i="3"/>
  <c r="I1581" i="3"/>
  <c r="H1581" i="3"/>
  <c r="I1580" i="3"/>
  <c r="H1580" i="3"/>
  <c r="I1579" i="3"/>
  <c r="H1579" i="3"/>
  <c r="I1578" i="3"/>
  <c r="H1578" i="3"/>
  <c r="I1577" i="3"/>
  <c r="H1577" i="3"/>
  <c r="I1576" i="3"/>
  <c r="H1576" i="3"/>
  <c r="I1575" i="3"/>
  <c r="H1575" i="3"/>
  <c r="I1574" i="3"/>
  <c r="H1574" i="3"/>
  <c r="I1573" i="3"/>
  <c r="H1573" i="3"/>
  <c r="I1572" i="3"/>
  <c r="H1572" i="3"/>
  <c r="I1571" i="3"/>
  <c r="H1571" i="3"/>
  <c r="I1570" i="3"/>
  <c r="H1570" i="3"/>
  <c r="I1569" i="3"/>
  <c r="H1569" i="3"/>
  <c r="I1568" i="3"/>
  <c r="H1568" i="3"/>
  <c r="I1567" i="3"/>
  <c r="H1567" i="3"/>
  <c r="I1566" i="3"/>
  <c r="H1566" i="3"/>
  <c r="I1565" i="3"/>
  <c r="H1565" i="3"/>
  <c r="I1564" i="3"/>
  <c r="H1564" i="3"/>
  <c r="I1563" i="3"/>
  <c r="H1563" i="3"/>
  <c r="I1562" i="3"/>
  <c r="H1562" i="3"/>
  <c r="I1561" i="3"/>
  <c r="H1561" i="3"/>
  <c r="I1560" i="3"/>
  <c r="H1560" i="3"/>
  <c r="I1559" i="3"/>
  <c r="H1559" i="3"/>
  <c r="I1558" i="3"/>
  <c r="H1558" i="3"/>
  <c r="I1557" i="3"/>
  <c r="H1557" i="3"/>
  <c r="I1556" i="3"/>
  <c r="H1556" i="3"/>
  <c r="I1555" i="3"/>
  <c r="H1555" i="3"/>
  <c r="I1554" i="3"/>
  <c r="H1554" i="3"/>
  <c r="I1553" i="3"/>
  <c r="H1553" i="3"/>
  <c r="I1552" i="3"/>
  <c r="H1552" i="3"/>
  <c r="I1551" i="3"/>
  <c r="H1551" i="3"/>
  <c r="I1550" i="3"/>
  <c r="H1550" i="3"/>
  <c r="I1549" i="3"/>
  <c r="H1549" i="3"/>
  <c r="I1548" i="3"/>
  <c r="H1548" i="3"/>
  <c r="I1547" i="3"/>
  <c r="H1547" i="3"/>
  <c r="I1546" i="3"/>
  <c r="H1546" i="3"/>
  <c r="I1545" i="3"/>
  <c r="H1545" i="3"/>
  <c r="I1544" i="3"/>
  <c r="H1544" i="3"/>
  <c r="I1543" i="3"/>
  <c r="H1543" i="3"/>
  <c r="I1542" i="3"/>
  <c r="H1542" i="3"/>
  <c r="I1541" i="3"/>
  <c r="H1541" i="3"/>
  <c r="I1540" i="3"/>
  <c r="H1540" i="3"/>
  <c r="I1539" i="3"/>
  <c r="H1539" i="3"/>
  <c r="I1538" i="3"/>
  <c r="H1538" i="3"/>
  <c r="I1537" i="3"/>
  <c r="H1537" i="3"/>
  <c r="I1536" i="3"/>
  <c r="H1536" i="3"/>
  <c r="I1535" i="3"/>
  <c r="H1535" i="3"/>
  <c r="I1534" i="3"/>
  <c r="H1534" i="3"/>
  <c r="I1533" i="3"/>
  <c r="H1533" i="3"/>
  <c r="I1532" i="3"/>
  <c r="H1532" i="3"/>
  <c r="I1531" i="3"/>
  <c r="H1531" i="3"/>
  <c r="I1530" i="3"/>
  <c r="H1530" i="3"/>
  <c r="I1529" i="3"/>
  <c r="H1529" i="3"/>
  <c r="I1528" i="3"/>
  <c r="H1528" i="3"/>
  <c r="I1527" i="3"/>
  <c r="H1527" i="3"/>
  <c r="I1526" i="3"/>
  <c r="H1526" i="3"/>
  <c r="I1525" i="3"/>
  <c r="H1525" i="3"/>
  <c r="I1524" i="3"/>
  <c r="H1524" i="3"/>
  <c r="I1523" i="3"/>
  <c r="H1523" i="3"/>
  <c r="I1522" i="3"/>
  <c r="H1522" i="3"/>
  <c r="I1521" i="3"/>
  <c r="H1521" i="3"/>
  <c r="I1520" i="3"/>
  <c r="H1520" i="3"/>
  <c r="I1519" i="3"/>
  <c r="H1519" i="3"/>
  <c r="I1518" i="3"/>
  <c r="H1518" i="3"/>
  <c r="I1517" i="3"/>
  <c r="H1517" i="3"/>
  <c r="I1516" i="3"/>
  <c r="H1516" i="3"/>
  <c r="I1515" i="3"/>
  <c r="H1515" i="3"/>
  <c r="I1514" i="3"/>
  <c r="H1514" i="3"/>
  <c r="I1513" i="3"/>
  <c r="H1513" i="3"/>
  <c r="I1512" i="3"/>
  <c r="H1512" i="3"/>
  <c r="I1511" i="3"/>
  <c r="H1511" i="3"/>
  <c r="I1510" i="3"/>
  <c r="H1510" i="3"/>
  <c r="I1509" i="3"/>
  <c r="H1509" i="3"/>
  <c r="I1508" i="3"/>
  <c r="H1508" i="3"/>
  <c r="I1507" i="3"/>
  <c r="H1507" i="3"/>
  <c r="I1506" i="3"/>
  <c r="H1506" i="3"/>
  <c r="I1505" i="3"/>
  <c r="H1505" i="3"/>
  <c r="I1504" i="3"/>
  <c r="H1504" i="3"/>
  <c r="I1503" i="3"/>
  <c r="H1503" i="3"/>
  <c r="I1502" i="3"/>
  <c r="H1502" i="3"/>
  <c r="I1501" i="3"/>
  <c r="H1501" i="3"/>
  <c r="I1500" i="3"/>
  <c r="H1500" i="3"/>
  <c r="I1499" i="3"/>
  <c r="H1499" i="3"/>
  <c r="I1498" i="3"/>
  <c r="H1498" i="3"/>
  <c r="I1497" i="3"/>
  <c r="H1497" i="3"/>
  <c r="I1496" i="3"/>
  <c r="H1496" i="3"/>
  <c r="I1495" i="3"/>
  <c r="H1495" i="3"/>
  <c r="I1494" i="3"/>
  <c r="H1494" i="3"/>
  <c r="I1493" i="3"/>
  <c r="H1493" i="3"/>
  <c r="I1492" i="3"/>
  <c r="H1492" i="3"/>
  <c r="I1491" i="3"/>
  <c r="H1491" i="3"/>
  <c r="I1490" i="3"/>
  <c r="H1490" i="3"/>
  <c r="I1489" i="3"/>
  <c r="H1489" i="3"/>
  <c r="I1488" i="3"/>
  <c r="H1488" i="3"/>
  <c r="I1487" i="3"/>
  <c r="H1487" i="3"/>
  <c r="I1486" i="3"/>
  <c r="H1486" i="3"/>
  <c r="I1485" i="3"/>
  <c r="H1485" i="3"/>
  <c r="I1484" i="3"/>
  <c r="H1484" i="3"/>
  <c r="I1483" i="3"/>
  <c r="H1483" i="3"/>
  <c r="I1482" i="3"/>
  <c r="H1482" i="3"/>
  <c r="I1481" i="3"/>
  <c r="H1481" i="3"/>
  <c r="I1480" i="3"/>
  <c r="H1480" i="3"/>
  <c r="I1479" i="3"/>
  <c r="H1479" i="3"/>
  <c r="I1478" i="3"/>
  <c r="H1478" i="3"/>
  <c r="I1477" i="3"/>
  <c r="H1477" i="3"/>
  <c r="I1476" i="3"/>
  <c r="H1476" i="3"/>
  <c r="I1475" i="3"/>
  <c r="H1475" i="3"/>
  <c r="I1474" i="3"/>
  <c r="H1474" i="3"/>
  <c r="I1473" i="3"/>
  <c r="H1473" i="3"/>
  <c r="I1472" i="3"/>
  <c r="H1472" i="3"/>
  <c r="I1471" i="3"/>
  <c r="H1471" i="3"/>
  <c r="I1470" i="3"/>
  <c r="H1470" i="3"/>
  <c r="I1469" i="3"/>
  <c r="H1469" i="3"/>
  <c r="I1468" i="3"/>
  <c r="H1468" i="3"/>
  <c r="I1467" i="3"/>
  <c r="H1467" i="3"/>
  <c r="I1466" i="3"/>
  <c r="H1466" i="3"/>
  <c r="I1465" i="3"/>
  <c r="H1465" i="3"/>
  <c r="I1464" i="3"/>
  <c r="H1464" i="3"/>
  <c r="I1463" i="3"/>
  <c r="H1463" i="3"/>
  <c r="I1462" i="3"/>
  <c r="H1462" i="3"/>
  <c r="I1461" i="3"/>
  <c r="H1461" i="3"/>
  <c r="I1460" i="3"/>
  <c r="H1460" i="3"/>
  <c r="I1459" i="3"/>
  <c r="H1459" i="3"/>
  <c r="I1458" i="3"/>
  <c r="H1458" i="3"/>
  <c r="I1457" i="3"/>
  <c r="H1457" i="3"/>
  <c r="I1456" i="3"/>
  <c r="H1456" i="3"/>
  <c r="I1455" i="3"/>
  <c r="H1455" i="3"/>
  <c r="I1454" i="3"/>
  <c r="H1454" i="3"/>
  <c r="I1453" i="3"/>
  <c r="H1453" i="3"/>
  <c r="I1452" i="3"/>
  <c r="H1452" i="3"/>
  <c r="I1451" i="3"/>
  <c r="H1451" i="3"/>
  <c r="I1450" i="3"/>
  <c r="H1450" i="3"/>
  <c r="I1449" i="3"/>
  <c r="H1449" i="3"/>
  <c r="I1448" i="3"/>
  <c r="H1448" i="3"/>
  <c r="I1447" i="3"/>
  <c r="H1447" i="3"/>
  <c r="I1446" i="3"/>
  <c r="H1446" i="3"/>
  <c r="I1445" i="3"/>
  <c r="H1445" i="3"/>
  <c r="I1444" i="3"/>
  <c r="H1444" i="3"/>
  <c r="I1443" i="3"/>
  <c r="H1443" i="3"/>
  <c r="I1442" i="3"/>
  <c r="H1442" i="3"/>
  <c r="I1441" i="3"/>
  <c r="H1441" i="3"/>
  <c r="I1440" i="3"/>
  <c r="H1440" i="3"/>
  <c r="I1439" i="3"/>
  <c r="H1439" i="3"/>
  <c r="I1438" i="3"/>
  <c r="H1438" i="3"/>
  <c r="I1437" i="3"/>
  <c r="H1437" i="3"/>
  <c r="I1436" i="3"/>
  <c r="H1436" i="3"/>
  <c r="I1435" i="3"/>
  <c r="H1435" i="3"/>
  <c r="I1434" i="3"/>
  <c r="H1434" i="3"/>
  <c r="I1433" i="3"/>
  <c r="H1433" i="3"/>
  <c r="I1432" i="3"/>
  <c r="H1432" i="3"/>
  <c r="I1431" i="3"/>
  <c r="H1431" i="3"/>
  <c r="I1430" i="3"/>
  <c r="H1430" i="3"/>
  <c r="I1429" i="3"/>
  <c r="H1429" i="3"/>
  <c r="I1428" i="3"/>
  <c r="H1428" i="3"/>
  <c r="I1427" i="3"/>
  <c r="H1427" i="3"/>
  <c r="I1426" i="3"/>
  <c r="H1426" i="3"/>
  <c r="I1425" i="3"/>
  <c r="H1425" i="3"/>
  <c r="I1424" i="3"/>
  <c r="H1424" i="3"/>
  <c r="I1423" i="3"/>
  <c r="H1423" i="3"/>
  <c r="I1422" i="3"/>
  <c r="H1422" i="3"/>
  <c r="I1421" i="3"/>
  <c r="H1421" i="3"/>
  <c r="I1420" i="3"/>
  <c r="H1420" i="3"/>
  <c r="I1419" i="3"/>
  <c r="H1419" i="3"/>
  <c r="I1418" i="3"/>
  <c r="H1418" i="3"/>
  <c r="I1417" i="3"/>
  <c r="H1417" i="3"/>
  <c r="I1416" i="3"/>
  <c r="H1416" i="3"/>
  <c r="I1415" i="3"/>
  <c r="H1415" i="3"/>
  <c r="I1414" i="3"/>
  <c r="H1414" i="3"/>
  <c r="I1413" i="3"/>
  <c r="H1413" i="3"/>
  <c r="I1412" i="3"/>
  <c r="H1412" i="3"/>
  <c r="I1411" i="3"/>
  <c r="H1411" i="3"/>
  <c r="I1410" i="3"/>
  <c r="H1410" i="3"/>
  <c r="I1409" i="3"/>
  <c r="H1409" i="3"/>
  <c r="I1408" i="3"/>
  <c r="H1408" i="3"/>
  <c r="I1407" i="3"/>
  <c r="H1407" i="3"/>
  <c r="I1406" i="3"/>
  <c r="H1406" i="3"/>
  <c r="I1405" i="3"/>
  <c r="H1405" i="3"/>
  <c r="I1404" i="3"/>
  <c r="H1404" i="3"/>
  <c r="I1403" i="3"/>
  <c r="H1403" i="3"/>
  <c r="I1402" i="3"/>
  <c r="H1402" i="3"/>
  <c r="I1401" i="3"/>
  <c r="H1401" i="3"/>
  <c r="I1400" i="3"/>
  <c r="H1400" i="3"/>
  <c r="I1399" i="3"/>
  <c r="H1399" i="3"/>
  <c r="I1398" i="3"/>
  <c r="H1398" i="3"/>
  <c r="I1397" i="3"/>
  <c r="H1397" i="3"/>
  <c r="I1396" i="3"/>
  <c r="H1396" i="3"/>
  <c r="I1395" i="3"/>
  <c r="H1395" i="3"/>
  <c r="I1394" i="3"/>
  <c r="H1394" i="3"/>
  <c r="I1393" i="3"/>
  <c r="H1393" i="3"/>
  <c r="I1392" i="3"/>
  <c r="H1392" i="3"/>
  <c r="I1391" i="3"/>
  <c r="H1391" i="3"/>
  <c r="I1390" i="3"/>
  <c r="H1390" i="3"/>
  <c r="I1389" i="3"/>
  <c r="H1389" i="3"/>
  <c r="I1388" i="3"/>
  <c r="H1388" i="3"/>
  <c r="I1387" i="3"/>
  <c r="H1387" i="3"/>
  <c r="I1386" i="3"/>
  <c r="H1386" i="3"/>
  <c r="I1385" i="3"/>
  <c r="H1385" i="3"/>
  <c r="I1384" i="3"/>
  <c r="H1384" i="3"/>
  <c r="I1383" i="3"/>
  <c r="H1383" i="3"/>
  <c r="I1382" i="3"/>
  <c r="H1382" i="3"/>
  <c r="I1381" i="3"/>
  <c r="H1381" i="3"/>
  <c r="I1380" i="3"/>
  <c r="H1380" i="3"/>
  <c r="I1379" i="3"/>
  <c r="H1379" i="3"/>
  <c r="I1378" i="3"/>
  <c r="H1378" i="3"/>
  <c r="I1377" i="3"/>
  <c r="H1377" i="3"/>
  <c r="I1376" i="3"/>
  <c r="H1376" i="3"/>
  <c r="I1375" i="3"/>
  <c r="H1375" i="3"/>
  <c r="I1374" i="3"/>
  <c r="H1374" i="3"/>
  <c r="I1373" i="3"/>
  <c r="H1373" i="3"/>
  <c r="I1372" i="3"/>
  <c r="H1372" i="3"/>
  <c r="I1371" i="3"/>
  <c r="H1371" i="3"/>
  <c r="I1370" i="3"/>
  <c r="H1370" i="3"/>
  <c r="I1369" i="3"/>
  <c r="H1369" i="3"/>
  <c r="I1368" i="3"/>
  <c r="H1368" i="3"/>
  <c r="I1367" i="3"/>
  <c r="H1367" i="3"/>
  <c r="I1366" i="3"/>
  <c r="H1366" i="3"/>
  <c r="I1365" i="3"/>
  <c r="H1365" i="3"/>
  <c r="I1364" i="3"/>
  <c r="H1364" i="3"/>
  <c r="I1363" i="3"/>
  <c r="H1363" i="3"/>
  <c r="I1362" i="3"/>
  <c r="H1362" i="3"/>
  <c r="I1361" i="3"/>
  <c r="H1361" i="3"/>
  <c r="I1360" i="3"/>
  <c r="H1360" i="3"/>
  <c r="I1359" i="3"/>
  <c r="H1359" i="3"/>
  <c r="I1358" i="3"/>
  <c r="H1358" i="3"/>
  <c r="I1357" i="3"/>
  <c r="H1357" i="3"/>
  <c r="I1356" i="3"/>
  <c r="H1356" i="3"/>
  <c r="I1355" i="3"/>
  <c r="H1355" i="3"/>
  <c r="I1354" i="3"/>
  <c r="H1354" i="3"/>
  <c r="I1353" i="3"/>
  <c r="H1353" i="3"/>
  <c r="I1352" i="3"/>
  <c r="H1352" i="3"/>
  <c r="I1351" i="3"/>
  <c r="H1351" i="3"/>
  <c r="I1350" i="3"/>
  <c r="H1350" i="3"/>
  <c r="I1349" i="3"/>
  <c r="H1349" i="3"/>
  <c r="I1348" i="3"/>
  <c r="H1348" i="3"/>
  <c r="I1347" i="3"/>
  <c r="H1347" i="3"/>
  <c r="I1346" i="3"/>
  <c r="H1346" i="3"/>
  <c r="I1345" i="3"/>
  <c r="H1345" i="3"/>
  <c r="I1344" i="3"/>
  <c r="H1344" i="3"/>
  <c r="I1343" i="3"/>
  <c r="H1343" i="3"/>
  <c r="I1342" i="3"/>
  <c r="H1342" i="3"/>
  <c r="I1341" i="3"/>
  <c r="H1341" i="3"/>
  <c r="I1340" i="3"/>
  <c r="H1340" i="3"/>
  <c r="I1339" i="3"/>
  <c r="H1339" i="3"/>
  <c r="I1338" i="3"/>
  <c r="H1338" i="3"/>
  <c r="I1337" i="3"/>
  <c r="H1337" i="3"/>
  <c r="I1336" i="3"/>
  <c r="H1336" i="3"/>
  <c r="I1335" i="3"/>
  <c r="H1335" i="3"/>
  <c r="I1334" i="3"/>
  <c r="H1334" i="3"/>
  <c r="I1333" i="3"/>
  <c r="H1333" i="3"/>
  <c r="I1332" i="3"/>
  <c r="H1332" i="3"/>
  <c r="I1331" i="3"/>
  <c r="H1331" i="3"/>
  <c r="I1330" i="3"/>
  <c r="H1330" i="3"/>
  <c r="I1329" i="3"/>
  <c r="H1329" i="3"/>
  <c r="I1328" i="3"/>
  <c r="H1328" i="3"/>
  <c r="I1327" i="3"/>
  <c r="H1327" i="3"/>
  <c r="I1326" i="3"/>
  <c r="H1326" i="3"/>
  <c r="I1325" i="3"/>
  <c r="H1325" i="3"/>
  <c r="I1324" i="3"/>
  <c r="H1324" i="3"/>
  <c r="I1323" i="3"/>
  <c r="H1323" i="3"/>
  <c r="I1322" i="3"/>
  <c r="H1322" i="3"/>
  <c r="I1321" i="3"/>
  <c r="H1321" i="3"/>
  <c r="I1320" i="3"/>
  <c r="H1320" i="3"/>
  <c r="I1319" i="3"/>
  <c r="H1319" i="3"/>
  <c r="I1318" i="3"/>
  <c r="H1318" i="3"/>
  <c r="I1317" i="3"/>
  <c r="H1317" i="3"/>
  <c r="I1316" i="3"/>
  <c r="H1316" i="3"/>
  <c r="I1315" i="3"/>
  <c r="H1315" i="3"/>
  <c r="I1314" i="3"/>
  <c r="H1314" i="3"/>
  <c r="I1313" i="3"/>
  <c r="H1313" i="3"/>
  <c r="I1312" i="3"/>
  <c r="H1312" i="3"/>
  <c r="I1311" i="3"/>
  <c r="H1311" i="3"/>
  <c r="I1310" i="3"/>
  <c r="H1310" i="3"/>
  <c r="I1309" i="3"/>
  <c r="H1309" i="3"/>
  <c r="I1308" i="3"/>
  <c r="H1308" i="3"/>
  <c r="I1307" i="3"/>
  <c r="H1307" i="3"/>
  <c r="I1306" i="3"/>
  <c r="H1306" i="3"/>
  <c r="I1305" i="3"/>
  <c r="H1305" i="3"/>
  <c r="I1304" i="3"/>
  <c r="H1304" i="3"/>
  <c r="I1303" i="3"/>
  <c r="H1303" i="3"/>
  <c r="I1302" i="3"/>
  <c r="H1302" i="3"/>
  <c r="I1301" i="3"/>
  <c r="H1301" i="3"/>
  <c r="I1300" i="3"/>
  <c r="H1300" i="3"/>
  <c r="I1299" i="3"/>
  <c r="H1299" i="3"/>
  <c r="I1298" i="3"/>
  <c r="H1298" i="3"/>
  <c r="I1297" i="3"/>
  <c r="H1297" i="3"/>
  <c r="I1296" i="3"/>
  <c r="H1296" i="3"/>
  <c r="I1295" i="3"/>
  <c r="H1295" i="3"/>
  <c r="I1294" i="3"/>
  <c r="H1294" i="3"/>
  <c r="I1293" i="3"/>
  <c r="H1293" i="3"/>
  <c r="I1292" i="3"/>
  <c r="H1292" i="3"/>
  <c r="I1291" i="3"/>
  <c r="H1291" i="3"/>
  <c r="I1290" i="3"/>
  <c r="H1290" i="3"/>
  <c r="I1289" i="3"/>
  <c r="H1289" i="3"/>
  <c r="I1288" i="3"/>
  <c r="H1288" i="3"/>
  <c r="I1287" i="3"/>
  <c r="H1287" i="3"/>
  <c r="I1286" i="3"/>
  <c r="H1286" i="3"/>
  <c r="I1285" i="3"/>
  <c r="H1285" i="3"/>
  <c r="I1284" i="3"/>
  <c r="H1284" i="3"/>
  <c r="I1283" i="3"/>
  <c r="H1283" i="3"/>
  <c r="I1282" i="3"/>
  <c r="H1282" i="3"/>
  <c r="I1281" i="3"/>
  <c r="H1281" i="3"/>
  <c r="I1280" i="3"/>
  <c r="H1280" i="3"/>
  <c r="I1279" i="3"/>
  <c r="H1279" i="3"/>
  <c r="I1278" i="3"/>
  <c r="H1278" i="3"/>
  <c r="I1277" i="3"/>
  <c r="H1277" i="3"/>
  <c r="I1276" i="3"/>
  <c r="H1276" i="3"/>
  <c r="I1275" i="3"/>
  <c r="H1275" i="3"/>
  <c r="I1274" i="3"/>
  <c r="H1274" i="3"/>
  <c r="I1273" i="3"/>
  <c r="H1273" i="3"/>
  <c r="I1272" i="3"/>
  <c r="H1272" i="3"/>
  <c r="I1271" i="3"/>
  <c r="H1271" i="3"/>
  <c r="I1270" i="3"/>
  <c r="H1270" i="3"/>
  <c r="I1269" i="3"/>
  <c r="H1269" i="3"/>
  <c r="I1268" i="3"/>
  <c r="H1268" i="3"/>
  <c r="I1267" i="3"/>
  <c r="H1267" i="3"/>
  <c r="I1266" i="3"/>
  <c r="H1266" i="3"/>
  <c r="I1265" i="3"/>
  <c r="H1265" i="3"/>
  <c r="I1264" i="3"/>
  <c r="H1264" i="3"/>
  <c r="I1263" i="3"/>
  <c r="H1263" i="3"/>
  <c r="I1262" i="3"/>
  <c r="H1262" i="3"/>
  <c r="I1261" i="3"/>
  <c r="H1261" i="3"/>
  <c r="I1260" i="3"/>
  <c r="H1260" i="3"/>
  <c r="I1259" i="3"/>
  <c r="H1259" i="3"/>
  <c r="I1258" i="3"/>
  <c r="H1258" i="3"/>
  <c r="I1257" i="3"/>
  <c r="H1257" i="3"/>
  <c r="I1256" i="3"/>
  <c r="H1256" i="3"/>
  <c r="I1255" i="3"/>
  <c r="H1255" i="3"/>
  <c r="I1254" i="3"/>
  <c r="H1254" i="3"/>
  <c r="I1253" i="3"/>
  <c r="H1253" i="3"/>
  <c r="I1252" i="3"/>
  <c r="H1252" i="3"/>
  <c r="I1251" i="3"/>
  <c r="H1251" i="3"/>
  <c r="I1250" i="3"/>
  <c r="H1250" i="3"/>
  <c r="I1249" i="3"/>
  <c r="H1249" i="3"/>
  <c r="I1248" i="3"/>
  <c r="H1248" i="3"/>
  <c r="I1247" i="3"/>
  <c r="H1247" i="3"/>
  <c r="I1246" i="3"/>
  <c r="H1246" i="3"/>
  <c r="I1245" i="3"/>
  <c r="H1245" i="3"/>
  <c r="I1244" i="3"/>
  <c r="H1244" i="3"/>
  <c r="I1243" i="3"/>
  <c r="H1243" i="3"/>
  <c r="I1242" i="3"/>
  <c r="H1242" i="3"/>
  <c r="I1241" i="3"/>
  <c r="H1241" i="3"/>
  <c r="I1240" i="3"/>
  <c r="H1240" i="3"/>
  <c r="I1239" i="3"/>
  <c r="H1239" i="3"/>
  <c r="I1238" i="3"/>
  <c r="H1238" i="3"/>
  <c r="D20" i="7" s="1"/>
  <c r="I1237" i="3"/>
  <c r="H1237" i="3"/>
  <c r="I1236" i="3"/>
  <c r="H1236" i="3"/>
  <c r="I1235" i="3"/>
  <c r="H1235" i="3"/>
  <c r="I1234" i="3"/>
  <c r="H1234" i="3"/>
  <c r="I1233" i="3"/>
  <c r="H1233" i="3"/>
  <c r="I1232" i="3"/>
  <c r="H1232" i="3"/>
  <c r="I1231" i="3"/>
  <c r="H1231" i="3"/>
  <c r="I1230" i="3"/>
  <c r="H1230" i="3"/>
  <c r="I1229" i="3"/>
  <c r="H1229" i="3"/>
  <c r="I1228" i="3"/>
  <c r="H1228" i="3"/>
  <c r="I1227" i="3"/>
  <c r="H1227" i="3"/>
  <c r="I1226" i="3"/>
  <c r="H1226" i="3"/>
  <c r="I1225" i="3"/>
  <c r="H1225" i="3"/>
  <c r="I1224" i="3"/>
  <c r="H1224" i="3"/>
  <c r="I1223" i="3"/>
  <c r="H1223" i="3"/>
  <c r="I1222" i="3"/>
  <c r="H1222" i="3"/>
  <c r="I1221" i="3"/>
  <c r="H1221" i="3"/>
  <c r="I1220" i="3"/>
  <c r="H1220" i="3"/>
  <c r="I1219" i="3"/>
  <c r="H1219" i="3"/>
  <c r="I1218" i="3"/>
  <c r="H1218" i="3"/>
  <c r="I1217" i="3"/>
  <c r="H1217" i="3"/>
  <c r="I1216" i="3"/>
  <c r="H1216" i="3"/>
  <c r="I1215" i="3"/>
  <c r="H1215" i="3"/>
  <c r="I1214" i="3"/>
  <c r="H1214" i="3"/>
  <c r="I1213" i="3"/>
  <c r="H1213" i="3"/>
  <c r="I1212" i="3"/>
  <c r="H1212" i="3"/>
  <c r="I1211" i="3"/>
  <c r="H1211" i="3"/>
  <c r="I1210" i="3"/>
  <c r="H1210" i="3"/>
  <c r="I1209" i="3"/>
  <c r="H1209" i="3"/>
  <c r="I1208" i="3"/>
  <c r="H1208" i="3"/>
  <c r="I1207" i="3"/>
  <c r="H1207" i="3"/>
  <c r="I1206" i="3"/>
  <c r="H1206" i="3"/>
  <c r="I1205" i="3"/>
  <c r="H1205" i="3"/>
  <c r="I1204" i="3"/>
  <c r="H1204" i="3"/>
  <c r="I1203" i="3"/>
  <c r="H1203" i="3"/>
  <c r="I1202" i="3"/>
  <c r="H1202" i="3"/>
  <c r="I1201" i="3"/>
  <c r="H1201" i="3"/>
  <c r="I1200" i="3"/>
  <c r="H1200" i="3"/>
  <c r="I1199" i="3"/>
  <c r="H1199" i="3"/>
  <c r="I1198" i="3"/>
  <c r="H1198" i="3"/>
  <c r="I1197" i="3"/>
  <c r="H1197" i="3"/>
  <c r="I1196" i="3"/>
  <c r="H1196" i="3"/>
  <c r="I1195" i="3"/>
  <c r="H1195" i="3"/>
  <c r="I1194" i="3"/>
  <c r="H1194" i="3"/>
  <c r="I1193" i="3"/>
  <c r="H1193" i="3"/>
  <c r="I1192" i="3"/>
  <c r="H1192" i="3"/>
  <c r="I1191" i="3"/>
  <c r="H1191" i="3"/>
  <c r="I1190" i="3"/>
  <c r="H1190" i="3"/>
  <c r="I1189" i="3"/>
  <c r="H1189" i="3"/>
  <c r="I1188" i="3"/>
  <c r="H1188" i="3"/>
  <c r="I1187" i="3"/>
  <c r="H1187" i="3"/>
  <c r="I1186" i="3"/>
  <c r="H1186" i="3"/>
  <c r="I1185" i="3"/>
  <c r="H1185" i="3"/>
  <c r="I1184" i="3"/>
  <c r="H1184" i="3"/>
  <c r="I1183" i="3"/>
  <c r="H1183" i="3"/>
  <c r="I1182" i="3"/>
  <c r="H1182" i="3"/>
  <c r="I1181" i="3"/>
  <c r="H1181" i="3"/>
  <c r="I1180" i="3"/>
  <c r="H1180" i="3"/>
  <c r="I1179" i="3"/>
  <c r="H1179" i="3"/>
  <c r="I1178" i="3"/>
  <c r="H1178" i="3"/>
  <c r="I1177" i="3"/>
  <c r="H1177" i="3"/>
  <c r="I1176" i="3"/>
  <c r="H1176" i="3"/>
  <c r="I1175" i="3"/>
  <c r="H1175" i="3"/>
  <c r="I1174" i="3"/>
  <c r="H1174" i="3"/>
  <c r="I1173" i="3"/>
  <c r="H1173" i="3"/>
  <c r="I1172" i="3"/>
  <c r="H1172" i="3"/>
  <c r="I1171" i="3"/>
  <c r="H1171" i="3"/>
  <c r="I1170" i="3"/>
  <c r="H1170" i="3"/>
  <c r="I1169" i="3"/>
  <c r="H1169" i="3"/>
  <c r="I1168" i="3"/>
  <c r="H1168" i="3"/>
  <c r="I1167" i="3"/>
  <c r="H1167" i="3"/>
  <c r="I1166" i="3"/>
  <c r="H1166" i="3"/>
  <c r="I1165" i="3"/>
  <c r="H1165" i="3"/>
  <c r="I1164" i="3"/>
  <c r="H1164" i="3"/>
  <c r="I1163" i="3"/>
  <c r="H1163" i="3"/>
  <c r="I1162" i="3"/>
  <c r="H1162" i="3"/>
  <c r="I1161" i="3"/>
  <c r="H1161" i="3"/>
  <c r="I1160" i="3"/>
  <c r="H1160" i="3"/>
  <c r="I1159" i="3"/>
  <c r="H1159" i="3"/>
  <c r="I1158" i="3"/>
  <c r="H1158" i="3"/>
  <c r="I1157" i="3"/>
  <c r="H1157" i="3"/>
  <c r="I1156" i="3"/>
  <c r="H1156" i="3"/>
  <c r="I1155" i="3"/>
  <c r="H1155" i="3"/>
  <c r="I1154" i="3"/>
  <c r="H1154" i="3"/>
  <c r="I1153" i="3"/>
  <c r="H1153" i="3"/>
  <c r="I1152" i="3"/>
  <c r="H1152" i="3"/>
  <c r="I1151" i="3"/>
  <c r="H1151" i="3"/>
  <c r="I1150" i="3"/>
  <c r="H1150" i="3"/>
  <c r="I1149" i="3"/>
  <c r="H1149" i="3"/>
  <c r="I1148" i="3"/>
  <c r="H1148" i="3"/>
  <c r="I1147" i="3"/>
  <c r="H1147" i="3"/>
  <c r="I1146" i="3"/>
  <c r="H1146" i="3"/>
  <c r="I1145" i="3"/>
  <c r="H1145" i="3"/>
  <c r="I1144" i="3"/>
  <c r="H1144" i="3"/>
  <c r="I1143" i="3"/>
  <c r="H1143" i="3"/>
  <c r="I1142" i="3"/>
  <c r="H1142" i="3"/>
  <c r="I1141" i="3"/>
  <c r="H1141" i="3"/>
  <c r="I1140" i="3"/>
  <c r="H1140" i="3"/>
  <c r="I1139" i="3"/>
  <c r="H1139" i="3"/>
  <c r="I1138" i="3"/>
  <c r="H1138" i="3"/>
  <c r="I1137" i="3"/>
  <c r="H1137" i="3"/>
  <c r="I1136" i="3"/>
  <c r="H1136" i="3"/>
  <c r="I1135" i="3"/>
  <c r="H1135" i="3"/>
  <c r="I1134" i="3"/>
  <c r="H1134" i="3"/>
  <c r="I1133" i="3"/>
  <c r="H1133" i="3"/>
  <c r="I1132" i="3"/>
  <c r="H1132" i="3"/>
  <c r="I1131" i="3"/>
  <c r="H1131" i="3"/>
  <c r="I1130" i="3"/>
  <c r="H1130" i="3"/>
  <c r="I1129" i="3"/>
  <c r="H1129" i="3"/>
  <c r="I1128" i="3"/>
  <c r="H1128" i="3"/>
  <c r="I1127" i="3"/>
  <c r="H1127" i="3"/>
  <c r="I1126" i="3"/>
  <c r="H1126" i="3"/>
  <c r="I1125" i="3"/>
  <c r="H1125" i="3"/>
  <c r="I1124" i="3"/>
  <c r="H1124" i="3"/>
  <c r="I1123" i="3"/>
  <c r="H1123" i="3"/>
  <c r="I1122" i="3"/>
  <c r="H1122" i="3"/>
  <c r="I1121" i="3"/>
  <c r="H1121" i="3"/>
  <c r="I1120" i="3"/>
  <c r="H1120" i="3"/>
  <c r="I1119" i="3"/>
  <c r="H1119" i="3"/>
  <c r="I1118" i="3"/>
  <c r="H1118" i="3"/>
  <c r="I1117" i="3"/>
  <c r="H1117" i="3"/>
  <c r="I1116" i="3"/>
  <c r="H1116" i="3"/>
  <c r="I1115" i="3"/>
  <c r="H1115" i="3"/>
  <c r="I1114" i="3"/>
  <c r="H1114" i="3"/>
  <c r="I1113" i="3"/>
  <c r="H1113" i="3"/>
  <c r="I1112" i="3"/>
  <c r="H1112" i="3"/>
  <c r="I1111" i="3"/>
  <c r="H1111" i="3"/>
  <c r="I1110" i="3"/>
  <c r="H1110" i="3"/>
  <c r="I1109" i="3"/>
  <c r="H1109" i="3"/>
  <c r="I1108" i="3"/>
  <c r="H1108" i="3"/>
  <c r="I1107" i="3"/>
  <c r="H1107" i="3"/>
  <c r="I1106" i="3"/>
  <c r="H1106" i="3"/>
  <c r="D18" i="7" s="1"/>
  <c r="I1105" i="3"/>
  <c r="H1105" i="3"/>
  <c r="I1104" i="3"/>
  <c r="H1104" i="3"/>
  <c r="I1103" i="3"/>
  <c r="H1103" i="3"/>
  <c r="I1102" i="3"/>
  <c r="H1102" i="3"/>
  <c r="I1101" i="3"/>
  <c r="H1101" i="3"/>
  <c r="I1100" i="3"/>
  <c r="H1100" i="3"/>
  <c r="I1099" i="3"/>
  <c r="H1099" i="3"/>
  <c r="I1098" i="3"/>
  <c r="H1098" i="3"/>
  <c r="I1097" i="3"/>
  <c r="H1097" i="3"/>
  <c r="I1096" i="3"/>
  <c r="H1096" i="3"/>
  <c r="I1095" i="3"/>
  <c r="H1095" i="3"/>
  <c r="I1094" i="3"/>
  <c r="H1094" i="3"/>
  <c r="I1093" i="3"/>
  <c r="H1093" i="3"/>
  <c r="I1092" i="3"/>
  <c r="H1092" i="3"/>
  <c r="I1091" i="3"/>
  <c r="H1091" i="3"/>
  <c r="I1090" i="3"/>
  <c r="H1090" i="3"/>
  <c r="I1089" i="3"/>
  <c r="H1089" i="3"/>
  <c r="I1088" i="3"/>
  <c r="H1088" i="3"/>
  <c r="I1087" i="3"/>
  <c r="H1087" i="3"/>
  <c r="I1086" i="3"/>
  <c r="H1086" i="3"/>
  <c r="I1085" i="3"/>
  <c r="H1085" i="3"/>
  <c r="I1084" i="3"/>
  <c r="H1084" i="3"/>
  <c r="I1083" i="3"/>
  <c r="H1083" i="3"/>
  <c r="I1082" i="3"/>
  <c r="H1082" i="3"/>
  <c r="I1081" i="3"/>
  <c r="H1081" i="3"/>
  <c r="I1080" i="3"/>
  <c r="H1080" i="3"/>
  <c r="I1079" i="3"/>
  <c r="H1079" i="3"/>
  <c r="I1078" i="3"/>
  <c r="H1078" i="3"/>
  <c r="I1077" i="3"/>
  <c r="H1077" i="3"/>
  <c r="I1076" i="3"/>
  <c r="H1076" i="3"/>
  <c r="I1075" i="3"/>
  <c r="H1075" i="3"/>
  <c r="I1074" i="3"/>
  <c r="H1074" i="3"/>
  <c r="I1073" i="3"/>
  <c r="H1073" i="3"/>
  <c r="I1072" i="3"/>
  <c r="H1072" i="3"/>
  <c r="I1071" i="3"/>
  <c r="H1071" i="3"/>
  <c r="I1070" i="3"/>
  <c r="H1070" i="3"/>
  <c r="I1069" i="3"/>
  <c r="H1069" i="3"/>
  <c r="I1068" i="3"/>
  <c r="H1068" i="3"/>
  <c r="I1067" i="3"/>
  <c r="H1067" i="3"/>
  <c r="I1066" i="3"/>
  <c r="H1066" i="3"/>
  <c r="I1065" i="3"/>
  <c r="H1065" i="3"/>
  <c r="I1064" i="3"/>
  <c r="H1064" i="3"/>
  <c r="I1063" i="3"/>
  <c r="H1063" i="3"/>
  <c r="I1062" i="3"/>
  <c r="H1062" i="3"/>
  <c r="I1061" i="3"/>
  <c r="H1061" i="3"/>
  <c r="I1060" i="3"/>
  <c r="H1060" i="3"/>
  <c r="I1059" i="3"/>
  <c r="H1059" i="3"/>
  <c r="I1058" i="3"/>
  <c r="H1058" i="3"/>
  <c r="I1057" i="3"/>
  <c r="H1057" i="3"/>
  <c r="I1056" i="3"/>
  <c r="H1056" i="3"/>
  <c r="I1055" i="3"/>
  <c r="H1055" i="3"/>
  <c r="I1054" i="3"/>
  <c r="H1054" i="3"/>
  <c r="I1053" i="3"/>
  <c r="H1053" i="3"/>
  <c r="I1052" i="3"/>
  <c r="H1052" i="3"/>
  <c r="I1051" i="3"/>
  <c r="H1051" i="3"/>
  <c r="I1050" i="3"/>
  <c r="H1050" i="3"/>
  <c r="I1049" i="3"/>
  <c r="H1049" i="3"/>
  <c r="I1048" i="3"/>
  <c r="H1048" i="3"/>
  <c r="I1047" i="3"/>
  <c r="H1047" i="3"/>
  <c r="I1046" i="3"/>
  <c r="H1046" i="3"/>
  <c r="I1045" i="3"/>
  <c r="H1045" i="3"/>
  <c r="I1044" i="3"/>
  <c r="H1044" i="3"/>
  <c r="I1043" i="3"/>
  <c r="H1043" i="3"/>
  <c r="I1042" i="3"/>
  <c r="H1042" i="3"/>
  <c r="I1041" i="3"/>
  <c r="H1041" i="3"/>
  <c r="I1040" i="3"/>
  <c r="H1040" i="3"/>
  <c r="I1039" i="3"/>
  <c r="H1039" i="3"/>
  <c r="I1038" i="3"/>
  <c r="H1038" i="3"/>
  <c r="I1037" i="3"/>
  <c r="H1037" i="3"/>
  <c r="I1036" i="3"/>
  <c r="H1036" i="3"/>
  <c r="I1035" i="3"/>
  <c r="H1035" i="3"/>
  <c r="I1034" i="3"/>
  <c r="H1034" i="3"/>
  <c r="I1033" i="3"/>
  <c r="H1033" i="3"/>
  <c r="I1032" i="3"/>
  <c r="H1032" i="3"/>
  <c r="I1031" i="3"/>
  <c r="H1031" i="3"/>
  <c r="D17" i="7" s="1"/>
  <c r="I1030" i="3"/>
  <c r="H1030" i="3"/>
  <c r="I1029" i="3"/>
  <c r="H1029" i="3"/>
  <c r="I1028" i="3"/>
  <c r="H1028" i="3"/>
  <c r="I1027" i="3"/>
  <c r="H1027" i="3"/>
  <c r="I1026" i="3"/>
  <c r="H1026" i="3"/>
  <c r="I1025" i="3"/>
  <c r="H1025" i="3"/>
  <c r="I1024" i="3"/>
  <c r="H1024" i="3"/>
  <c r="I1023" i="3"/>
  <c r="H1023" i="3"/>
  <c r="I1022" i="3"/>
  <c r="H1022" i="3"/>
  <c r="I1021" i="3"/>
  <c r="H1021" i="3"/>
  <c r="I1020" i="3"/>
  <c r="H1020" i="3"/>
  <c r="I1019" i="3"/>
  <c r="H1019" i="3"/>
  <c r="I1018" i="3"/>
  <c r="H1018" i="3"/>
  <c r="I1017" i="3"/>
  <c r="H1017" i="3"/>
  <c r="I1016" i="3"/>
  <c r="H1016" i="3"/>
  <c r="I1015" i="3"/>
  <c r="H1015" i="3"/>
  <c r="I1014" i="3"/>
  <c r="H1014" i="3"/>
  <c r="I1013" i="3"/>
  <c r="H1013" i="3"/>
  <c r="I1012" i="3"/>
  <c r="H1012" i="3"/>
  <c r="I1011" i="3"/>
  <c r="H1011" i="3"/>
  <c r="I1010" i="3"/>
  <c r="H1010" i="3"/>
  <c r="I1009" i="3"/>
  <c r="H1009" i="3"/>
  <c r="I1008" i="3"/>
  <c r="H1008" i="3"/>
  <c r="I1007" i="3"/>
  <c r="H1007" i="3"/>
  <c r="I1006" i="3"/>
  <c r="H1006" i="3"/>
  <c r="I1005" i="3"/>
  <c r="H1005" i="3"/>
  <c r="I1004" i="3"/>
  <c r="H1004" i="3"/>
  <c r="I1003" i="3"/>
  <c r="H1003" i="3"/>
  <c r="I1002" i="3"/>
  <c r="H1002" i="3"/>
  <c r="I1001" i="3"/>
  <c r="H1001" i="3"/>
  <c r="I1000" i="3"/>
  <c r="H1000" i="3"/>
  <c r="I999" i="3"/>
  <c r="H999" i="3"/>
  <c r="I998" i="3"/>
  <c r="H998" i="3"/>
  <c r="I997" i="3"/>
  <c r="H997" i="3"/>
  <c r="I996" i="3"/>
  <c r="H996" i="3"/>
  <c r="I995" i="3"/>
  <c r="H995" i="3"/>
  <c r="I994" i="3"/>
  <c r="H994" i="3"/>
  <c r="I993" i="3"/>
  <c r="H993" i="3"/>
  <c r="I992" i="3"/>
  <c r="H992" i="3"/>
  <c r="I991" i="3"/>
  <c r="H991" i="3"/>
  <c r="I990" i="3"/>
  <c r="H990" i="3"/>
  <c r="I989" i="3"/>
  <c r="H989" i="3"/>
  <c r="I988" i="3"/>
  <c r="H988" i="3"/>
  <c r="I987" i="3"/>
  <c r="H987" i="3"/>
  <c r="I986" i="3"/>
  <c r="H986" i="3"/>
  <c r="I985" i="3"/>
  <c r="H985" i="3"/>
  <c r="I984" i="3"/>
  <c r="H984" i="3"/>
  <c r="I983" i="3"/>
  <c r="H983" i="3"/>
  <c r="I982" i="3"/>
  <c r="H982" i="3"/>
  <c r="I981" i="3"/>
  <c r="H981" i="3"/>
  <c r="I980" i="3"/>
  <c r="H980" i="3"/>
  <c r="I979" i="3"/>
  <c r="H979" i="3"/>
  <c r="I978" i="3"/>
  <c r="H978" i="3"/>
  <c r="I977" i="3"/>
  <c r="H977" i="3"/>
  <c r="I976" i="3"/>
  <c r="H976" i="3"/>
  <c r="I975" i="3"/>
  <c r="H975" i="3"/>
  <c r="I974" i="3"/>
  <c r="H974" i="3"/>
  <c r="I973" i="3"/>
  <c r="H973" i="3"/>
  <c r="I972" i="3"/>
  <c r="H972" i="3"/>
  <c r="I971" i="3"/>
  <c r="H971" i="3"/>
  <c r="I970" i="3"/>
  <c r="H970" i="3"/>
  <c r="I969" i="3"/>
  <c r="H969" i="3"/>
  <c r="I968" i="3"/>
  <c r="H968" i="3"/>
  <c r="I967" i="3"/>
  <c r="H967" i="3"/>
  <c r="I966" i="3"/>
  <c r="H966" i="3"/>
  <c r="I965" i="3"/>
  <c r="H965" i="3"/>
  <c r="I964" i="3"/>
  <c r="H964" i="3"/>
  <c r="I963" i="3"/>
  <c r="H963" i="3"/>
  <c r="I962" i="3"/>
  <c r="H962" i="3"/>
  <c r="I961" i="3"/>
  <c r="H961" i="3"/>
  <c r="I960" i="3"/>
  <c r="H960" i="3"/>
  <c r="I959" i="3"/>
  <c r="H959" i="3"/>
  <c r="I958" i="3"/>
  <c r="H958" i="3"/>
  <c r="I957" i="3"/>
  <c r="H957" i="3"/>
  <c r="I956" i="3"/>
  <c r="H956" i="3"/>
  <c r="I955" i="3"/>
  <c r="H955" i="3"/>
  <c r="I954" i="3"/>
  <c r="H954" i="3"/>
  <c r="I953" i="3"/>
  <c r="H953" i="3"/>
  <c r="I952" i="3"/>
  <c r="H952" i="3"/>
  <c r="I951" i="3"/>
  <c r="H951" i="3"/>
  <c r="I950" i="3"/>
  <c r="H950" i="3"/>
  <c r="I949" i="3"/>
  <c r="H949" i="3"/>
  <c r="I948" i="3"/>
  <c r="H948" i="3"/>
  <c r="I947" i="3"/>
  <c r="H947" i="3"/>
  <c r="I946" i="3"/>
  <c r="H946" i="3"/>
  <c r="I945" i="3"/>
  <c r="H945" i="3"/>
  <c r="I944" i="3"/>
  <c r="H944" i="3"/>
  <c r="I943" i="3"/>
  <c r="H943" i="3"/>
  <c r="I942" i="3"/>
  <c r="H942" i="3"/>
  <c r="I941" i="3"/>
  <c r="H941" i="3"/>
  <c r="I940" i="3"/>
  <c r="H940" i="3"/>
  <c r="I939" i="3"/>
  <c r="H939" i="3"/>
  <c r="I938" i="3"/>
  <c r="H938" i="3"/>
  <c r="I937" i="3"/>
  <c r="H937" i="3"/>
  <c r="I936" i="3"/>
  <c r="H936" i="3"/>
  <c r="I935" i="3"/>
  <c r="H935" i="3"/>
  <c r="I934" i="3"/>
  <c r="H934" i="3"/>
  <c r="I933" i="3"/>
  <c r="H933" i="3"/>
  <c r="I932" i="3"/>
  <c r="H932" i="3"/>
  <c r="I931" i="3"/>
  <c r="H931" i="3"/>
  <c r="I930" i="3"/>
  <c r="H930" i="3"/>
  <c r="I929" i="3"/>
  <c r="H929" i="3"/>
  <c r="I928" i="3"/>
  <c r="H928" i="3"/>
  <c r="I927" i="3"/>
  <c r="H927" i="3"/>
  <c r="I926" i="3"/>
  <c r="H926" i="3"/>
  <c r="I925" i="3"/>
  <c r="H925" i="3"/>
  <c r="I924" i="3"/>
  <c r="H924" i="3"/>
  <c r="I923" i="3"/>
  <c r="H923" i="3"/>
  <c r="I922" i="3"/>
  <c r="H922" i="3"/>
  <c r="I921" i="3"/>
  <c r="H921" i="3"/>
  <c r="I920" i="3"/>
  <c r="H920" i="3"/>
  <c r="I919" i="3"/>
  <c r="H919" i="3"/>
  <c r="I918" i="3"/>
  <c r="H918" i="3"/>
  <c r="I917" i="3"/>
  <c r="H917" i="3"/>
  <c r="I916" i="3"/>
  <c r="H916" i="3"/>
  <c r="I915" i="3"/>
  <c r="H915" i="3"/>
  <c r="I914" i="3"/>
  <c r="H914" i="3"/>
  <c r="I913" i="3"/>
  <c r="H913" i="3"/>
  <c r="I912" i="3"/>
  <c r="H912" i="3"/>
  <c r="I911" i="3"/>
  <c r="H911" i="3"/>
  <c r="I910" i="3"/>
  <c r="H910" i="3"/>
  <c r="I909" i="3"/>
  <c r="H909" i="3"/>
  <c r="I908" i="3"/>
  <c r="H908" i="3"/>
  <c r="I907" i="3"/>
  <c r="H907" i="3"/>
  <c r="I906" i="3"/>
  <c r="H906" i="3"/>
  <c r="I905" i="3"/>
  <c r="H905" i="3"/>
  <c r="I904" i="3"/>
  <c r="H904" i="3"/>
  <c r="I903" i="3"/>
  <c r="H903" i="3"/>
  <c r="I902" i="3"/>
  <c r="H902" i="3"/>
  <c r="I901" i="3"/>
  <c r="H901" i="3"/>
  <c r="I900" i="3"/>
  <c r="H900" i="3"/>
  <c r="I899" i="3"/>
  <c r="H899" i="3"/>
  <c r="I898" i="3"/>
  <c r="H898" i="3"/>
  <c r="I897" i="3"/>
  <c r="H897" i="3"/>
  <c r="I896" i="3"/>
  <c r="H896" i="3"/>
  <c r="I895" i="3"/>
  <c r="H895" i="3"/>
  <c r="I894" i="3"/>
  <c r="H894" i="3"/>
  <c r="I893" i="3"/>
  <c r="H893" i="3"/>
  <c r="I892" i="3"/>
  <c r="H892" i="3"/>
  <c r="I891" i="3"/>
  <c r="H891" i="3"/>
  <c r="I890" i="3"/>
  <c r="H890" i="3"/>
  <c r="I889" i="3"/>
  <c r="H889" i="3"/>
  <c r="I888" i="3"/>
  <c r="H888" i="3"/>
  <c r="I887" i="3"/>
  <c r="H887" i="3"/>
  <c r="I886" i="3"/>
  <c r="H886" i="3"/>
  <c r="I885" i="3"/>
  <c r="H885" i="3"/>
  <c r="I884" i="3"/>
  <c r="H884" i="3"/>
  <c r="I883" i="3"/>
  <c r="H883" i="3"/>
  <c r="I882" i="3"/>
  <c r="H882" i="3"/>
  <c r="I881" i="3"/>
  <c r="H881" i="3"/>
  <c r="D15" i="7" s="1"/>
  <c r="I880" i="3"/>
  <c r="H880" i="3"/>
  <c r="I879" i="3"/>
  <c r="H879" i="3"/>
  <c r="I878" i="3"/>
  <c r="H878" i="3"/>
  <c r="I877" i="3"/>
  <c r="H877" i="3"/>
  <c r="I876" i="3"/>
  <c r="H876" i="3"/>
  <c r="I875" i="3"/>
  <c r="H875" i="3"/>
  <c r="I874" i="3"/>
  <c r="H874" i="3"/>
  <c r="I873" i="3"/>
  <c r="H873" i="3"/>
  <c r="I872" i="3"/>
  <c r="H872" i="3"/>
  <c r="I871" i="3"/>
  <c r="H871" i="3"/>
  <c r="I870" i="3"/>
  <c r="H870" i="3"/>
  <c r="I869" i="3"/>
  <c r="H869" i="3"/>
  <c r="I868" i="3"/>
  <c r="H868" i="3"/>
  <c r="I867" i="3"/>
  <c r="H867" i="3"/>
  <c r="I866" i="3"/>
  <c r="H866" i="3"/>
  <c r="I865" i="3"/>
  <c r="H865" i="3"/>
  <c r="I864" i="3"/>
  <c r="H864" i="3"/>
  <c r="I863" i="3"/>
  <c r="H863" i="3"/>
  <c r="I862" i="3"/>
  <c r="H862" i="3"/>
  <c r="I861" i="3"/>
  <c r="H861" i="3"/>
  <c r="I860" i="3"/>
  <c r="H860" i="3"/>
  <c r="I859" i="3"/>
  <c r="H859" i="3"/>
  <c r="I858" i="3"/>
  <c r="H858" i="3"/>
  <c r="I857" i="3"/>
  <c r="H857" i="3"/>
  <c r="I856" i="3"/>
  <c r="H856" i="3"/>
  <c r="I855" i="3"/>
  <c r="H855" i="3"/>
  <c r="I854" i="3"/>
  <c r="H854" i="3"/>
  <c r="I853" i="3"/>
  <c r="H853" i="3"/>
  <c r="I852" i="3"/>
  <c r="H852" i="3"/>
  <c r="I851" i="3"/>
  <c r="H851" i="3"/>
  <c r="I850" i="3"/>
  <c r="H850" i="3"/>
  <c r="I849" i="3"/>
  <c r="H849" i="3"/>
  <c r="I848" i="3"/>
  <c r="H848" i="3"/>
  <c r="I847" i="3"/>
  <c r="H847" i="3"/>
  <c r="I846" i="3"/>
  <c r="H846" i="3"/>
  <c r="I845" i="3"/>
  <c r="H845" i="3"/>
  <c r="I844" i="3"/>
  <c r="H844" i="3"/>
  <c r="I843" i="3"/>
  <c r="H843" i="3"/>
  <c r="I842" i="3"/>
  <c r="H842" i="3"/>
  <c r="I841" i="3"/>
  <c r="H841" i="3"/>
  <c r="I840" i="3"/>
  <c r="H840" i="3"/>
  <c r="I839" i="3"/>
  <c r="H839" i="3"/>
  <c r="I838" i="3"/>
  <c r="H838" i="3"/>
  <c r="I837" i="3"/>
  <c r="H837" i="3"/>
  <c r="I836" i="3"/>
  <c r="H836" i="3"/>
  <c r="I835" i="3"/>
  <c r="H835" i="3"/>
  <c r="I834" i="3"/>
  <c r="H834" i="3"/>
  <c r="I833" i="3"/>
  <c r="H833" i="3"/>
  <c r="I832" i="3"/>
  <c r="H832" i="3"/>
  <c r="I831" i="3"/>
  <c r="H831" i="3"/>
  <c r="I830" i="3"/>
  <c r="H830" i="3"/>
  <c r="I829" i="3"/>
  <c r="H829" i="3"/>
  <c r="I828" i="3"/>
  <c r="H828" i="3"/>
  <c r="I827" i="3"/>
  <c r="H827" i="3"/>
  <c r="I826" i="3"/>
  <c r="H826" i="3"/>
  <c r="I825" i="3"/>
  <c r="H825" i="3"/>
  <c r="I824" i="3"/>
  <c r="H824" i="3"/>
  <c r="I823" i="3"/>
  <c r="H823" i="3"/>
  <c r="I822" i="3"/>
  <c r="H822" i="3"/>
  <c r="I821" i="3"/>
  <c r="H821" i="3"/>
  <c r="I820" i="3"/>
  <c r="H820" i="3"/>
  <c r="I819" i="3"/>
  <c r="H819" i="3"/>
  <c r="I818" i="3"/>
  <c r="H818" i="3"/>
  <c r="I817" i="3"/>
  <c r="H817" i="3"/>
  <c r="I816" i="3"/>
  <c r="H816" i="3"/>
  <c r="D14" i="7" s="1"/>
  <c r="I815" i="3"/>
  <c r="H815" i="3"/>
  <c r="I814" i="3"/>
  <c r="H814" i="3"/>
  <c r="I813" i="3"/>
  <c r="H813" i="3"/>
  <c r="I812" i="3"/>
  <c r="H812" i="3"/>
  <c r="I811" i="3"/>
  <c r="H811" i="3"/>
  <c r="I810" i="3"/>
  <c r="H810" i="3"/>
  <c r="I809" i="3"/>
  <c r="H809" i="3"/>
  <c r="I808" i="3"/>
  <c r="H808" i="3"/>
  <c r="I807" i="3"/>
  <c r="H807" i="3"/>
  <c r="I806" i="3"/>
  <c r="H806" i="3"/>
  <c r="I805" i="3"/>
  <c r="H805" i="3"/>
  <c r="I804" i="3"/>
  <c r="H804" i="3"/>
  <c r="I803" i="3"/>
  <c r="H803" i="3"/>
  <c r="I802" i="3"/>
  <c r="H802" i="3"/>
  <c r="I801" i="3"/>
  <c r="H801" i="3"/>
  <c r="I800" i="3"/>
  <c r="H800" i="3"/>
  <c r="I799" i="3"/>
  <c r="H799" i="3"/>
  <c r="I798" i="3"/>
  <c r="H798" i="3"/>
  <c r="I797" i="3"/>
  <c r="H797" i="3"/>
  <c r="I796" i="3"/>
  <c r="H796" i="3"/>
  <c r="I795" i="3"/>
  <c r="H795" i="3"/>
  <c r="I794" i="3"/>
  <c r="H794" i="3"/>
  <c r="I793" i="3"/>
  <c r="H793" i="3"/>
  <c r="I792" i="3"/>
  <c r="H792" i="3"/>
  <c r="I791" i="3"/>
  <c r="H791" i="3"/>
  <c r="I790" i="3"/>
  <c r="H790" i="3"/>
  <c r="I789" i="3"/>
  <c r="H789" i="3"/>
  <c r="I788" i="3"/>
  <c r="H788" i="3"/>
  <c r="I787" i="3"/>
  <c r="H787" i="3"/>
  <c r="I786" i="3"/>
  <c r="H786" i="3"/>
  <c r="I785" i="3"/>
  <c r="H785" i="3"/>
  <c r="I784" i="3"/>
  <c r="H784" i="3"/>
  <c r="I783" i="3"/>
  <c r="H783" i="3"/>
  <c r="I782" i="3"/>
  <c r="H782" i="3"/>
  <c r="I781" i="3"/>
  <c r="H781" i="3"/>
  <c r="I780" i="3"/>
  <c r="H780" i="3"/>
  <c r="I779" i="3"/>
  <c r="H779" i="3"/>
  <c r="I778" i="3"/>
  <c r="H778" i="3"/>
  <c r="I777" i="3"/>
  <c r="H777" i="3"/>
  <c r="I776" i="3"/>
  <c r="H776" i="3"/>
  <c r="I775" i="3"/>
  <c r="H775" i="3"/>
  <c r="I774" i="3"/>
  <c r="H774" i="3"/>
  <c r="I773" i="3"/>
  <c r="H773" i="3"/>
  <c r="I772" i="3"/>
  <c r="H772" i="3"/>
  <c r="I771" i="3"/>
  <c r="H771" i="3"/>
  <c r="I770" i="3"/>
  <c r="H770" i="3"/>
  <c r="I769" i="3"/>
  <c r="H769" i="3"/>
  <c r="I768" i="3"/>
  <c r="H768" i="3"/>
  <c r="I767" i="3"/>
  <c r="H767" i="3"/>
  <c r="I766" i="3"/>
  <c r="H766" i="3"/>
  <c r="I765" i="3"/>
  <c r="H765" i="3"/>
  <c r="I764" i="3"/>
  <c r="H764" i="3"/>
  <c r="I763" i="3"/>
  <c r="H763" i="3"/>
  <c r="I762" i="3"/>
  <c r="H762" i="3"/>
  <c r="I761" i="3"/>
  <c r="H761" i="3"/>
  <c r="I760" i="3"/>
  <c r="H760" i="3"/>
  <c r="I759" i="3"/>
  <c r="H759" i="3"/>
  <c r="D13" i="7" s="1"/>
  <c r="I758" i="3"/>
  <c r="H758" i="3"/>
  <c r="I757" i="3"/>
  <c r="H757" i="3"/>
  <c r="I756" i="3"/>
  <c r="H756" i="3"/>
  <c r="I755" i="3"/>
  <c r="H755" i="3"/>
  <c r="I754" i="3"/>
  <c r="H754" i="3"/>
  <c r="I753" i="3"/>
  <c r="H753" i="3"/>
  <c r="I752" i="3"/>
  <c r="H752" i="3"/>
  <c r="I751" i="3"/>
  <c r="H751" i="3"/>
  <c r="I750" i="3"/>
  <c r="H750" i="3"/>
  <c r="I749" i="3"/>
  <c r="H749" i="3"/>
  <c r="I748" i="3"/>
  <c r="H748" i="3"/>
  <c r="I747" i="3"/>
  <c r="H747" i="3"/>
  <c r="I746" i="3"/>
  <c r="H746" i="3"/>
  <c r="I745" i="3"/>
  <c r="H745" i="3"/>
  <c r="I744" i="3"/>
  <c r="H744" i="3"/>
  <c r="I743" i="3"/>
  <c r="H743" i="3"/>
  <c r="I742" i="3"/>
  <c r="H742" i="3"/>
  <c r="I741" i="3"/>
  <c r="H741" i="3"/>
  <c r="I740" i="3"/>
  <c r="H740" i="3"/>
  <c r="I739" i="3"/>
  <c r="H739" i="3"/>
  <c r="I738" i="3"/>
  <c r="H738" i="3"/>
  <c r="I737" i="3"/>
  <c r="H737" i="3"/>
  <c r="I736" i="3"/>
  <c r="H736" i="3"/>
  <c r="I735" i="3"/>
  <c r="H735" i="3"/>
  <c r="I734" i="3"/>
  <c r="H734" i="3"/>
  <c r="I733" i="3"/>
  <c r="H733" i="3"/>
  <c r="I732" i="3"/>
  <c r="H732" i="3"/>
  <c r="I731" i="3"/>
  <c r="H731" i="3"/>
  <c r="I730" i="3"/>
  <c r="H730" i="3"/>
  <c r="I729" i="3"/>
  <c r="H729" i="3"/>
  <c r="I728" i="3"/>
  <c r="H728" i="3"/>
  <c r="I727" i="3"/>
  <c r="H727" i="3"/>
  <c r="I726" i="3"/>
  <c r="H726" i="3"/>
  <c r="I725" i="3"/>
  <c r="H725" i="3"/>
  <c r="I724" i="3"/>
  <c r="H724" i="3"/>
  <c r="I723" i="3"/>
  <c r="H723" i="3"/>
  <c r="I722" i="3"/>
  <c r="H722" i="3"/>
  <c r="I721" i="3"/>
  <c r="H721" i="3"/>
  <c r="I720" i="3"/>
  <c r="H720" i="3"/>
  <c r="I719" i="3"/>
  <c r="H719" i="3"/>
  <c r="I718" i="3"/>
  <c r="H718" i="3"/>
  <c r="I717" i="3"/>
  <c r="H717" i="3"/>
  <c r="I716" i="3"/>
  <c r="H716" i="3"/>
  <c r="I715" i="3"/>
  <c r="H715" i="3"/>
  <c r="I714" i="3"/>
  <c r="H714" i="3"/>
  <c r="I713" i="3"/>
  <c r="H713" i="3"/>
  <c r="I712" i="3"/>
  <c r="H712" i="3"/>
  <c r="I711" i="3"/>
  <c r="H711" i="3"/>
  <c r="I710" i="3"/>
  <c r="H710" i="3"/>
  <c r="I709" i="3"/>
  <c r="H709" i="3"/>
  <c r="I708" i="3"/>
  <c r="H708" i="3"/>
  <c r="I707" i="3"/>
  <c r="H707" i="3"/>
  <c r="I706" i="3"/>
  <c r="H706" i="3"/>
  <c r="I705" i="3"/>
  <c r="H705" i="3"/>
  <c r="I704" i="3"/>
  <c r="H704" i="3"/>
  <c r="I703" i="3"/>
  <c r="H703" i="3"/>
  <c r="I702" i="3"/>
  <c r="H702" i="3"/>
  <c r="I701" i="3"/>
  <c r="H701" i="3"/>
  <c r="I700" i="3"/>
  <c r="H700" i="3"/>
  <c r="I699" i="3"/>
  <c r="H699" i="3"/>
  <c r="I698" i="3"/>
  <c r="H698" i="3"/>
  <c r="D12" i="7" s="1"/>
  <c r="I697" i="3"/>
  <c r="H697" i="3"/>
  <c r="I696" i="3"/>
  <c r="H696" i="3"/>
  <c r="I695" i="3"/>
  <c r="H695" i="3"/>
  <c r="I694" i="3"/>
  <c r="H694" i="3"/>
  <c r="I693" i="3"/>
  <c r="H693" i="3"/>
  <c r="I692" i="3"/>
  <c r="H692" i="3"/>
  <c r="I691" i="3"/>
  <c r="H691" i="3"/>
  <c r="I690" i="3"/>
  <c r="H690" i="3"/>
  <c r="I689" i="3"/>
  <c r="H689" i="3"/>
  <c r="I688" i="3"/>
  <c r="H688" i="3"/>
  <c r="I687" i="3"/>
  <c r="H687" i="3"/>
  <c r="I686" i="3"/>
  <c r="H686" i="3"/>
  <c r="I685" i="3"/>
  <c r="H685" i="3"/>
  <c r="I684" i="3"/>
  <c r="H684" i="3"/>
  <c r="I683" i="3"/>
  <c r="H683" i="3"/>
  <c r="I682" i="3"/>
  <c r="H682" i="3"/>
  <c r="I681" i="3"/>
  <c r="H681" i="3"/>
  <c r="I680" i="3"/>
  <c r="H680" i="3"/>
  <c r="I679" i="3"/>
  <c r="H679" i="3"/>
  <c r="I678" i="3"/>
  <c r="H678" i="3"/>
  <c r="I677" i="3"/>
  <c r="H677" i="3"/>
  <c r="I676" i="3"/>
  <c r="H676" i="3"/>
  <c r="I675" i="3"/>
  <c r="H675" i="3"/>
  <c r="I674" i="3"/>
  <c r="H674" i="3"/>
  <c r="I673" i="3"/>
  <c r="H673" i="3"/>
  <c r="I672" i="3"/>
  <c r="H672" i="3"/>
  <c r="I671" i="3"/>
  <c r="H671" i="3"/>
  <c r="I670" i="3"/>
  <c r="H670" i="3"/>
  <c r="I669" i="3"/>
  <c r="H669" i="3"/>
  <c r="I668" i="3"/>
  <c r="H668" i="3"/>
  <c r="I667" i="3"/>
  <c r="H667" i="3"/>
  <c r="I666" i="3"/>
  <c r="H666" i="3"/>
  <c r="I665" i="3"/>
  <c r="H665" i="3"/>
  <c r="I664" i="3"/>
  <c r="H664" i="3"/>
  <c r="I663" i="3"/>
  <c r="H663" i="3"/>
  <c r="I662" i="3"/>
  <c r="H662" i="3"/>
  <c r="I661" i="3"/>
  <c r="H661" i="3"/>
  <c r="I660" i="3"/>
  <c r="H660" i="3"/>
  <c r="I659" i="3"/>
  <c r="H659" i="3"/>
  <c r="I658" i="3"/>
  <c r="H658" i="3"/>
  <c r="I657" i="3"/>
  <c r="H657" i="3"/>
  <c r="I656" i="3"/>
  <c r="H656" i="3"/>
  <c r="I655" i="3"/>
  <c r="H655" i="3"/>
  <c r="I654" i="3"/>
  <c r="H654" i="3"/>
  <c r="I653" i="3"/>
  <c r="H653" i="3"/>
  <c r="I652" i="3"/>
  <c r="H652" i="3"/>
  <c r="I651" i="3"/>
  <c r="H651" i="3"/>
  <c r="I650" i="3"/>
  <c r="H650" i="3"/>
  <c r="I649" i="3"/>
  <c r="H649" i="3"/>
  <c r="I648" i="3"/>
  <c r="H648" i="3"/>
  <c r="I647" i="3"/>
  <c r="H647" i="3"/>
  <c r="I646" i="3"/>
  <c r="H646" i="3"/>
  <c r="I645" i="3"/>
  <c r="H645" i="3"/>
  <c r="I644" i="3"/>
  <c r="H644" i="3"/>
  <c r="I643" i="3"/>
  <c r="H643" i="3"/>
  <c r="I642" i="3"/>
  <c r="H642" i="3"/>
  <c r="I641" i="3"/>
  <c r="H641" i="3"/>
  <c r="I640" i="3"/>
  <c r="H640" i="3"/>
  <c r="I639" i="3"/>
  <c r="H639" i="3"/>
  <c r="I638" i="3"/>
  <c r="H638" i="3"/>
  <c r="I637" i="3"/>
  <c r="H637" i="3"/>
  <c r="I636" i="3"/>
  <c r="H636" i="3"/>
  <c r="I635" i="3"/>
  <c r="H635" i="3"/>
  <c r="I634" i="3"/>
  <c r="H634" i="3"/>
  <c r="I633" i="3"/>
  <c r="H633" i="3"/>
  <c r="I632" i="3"/>
  <c r="H632" i="3"/>
  <c r="I631" i="3"/>
  <c r="H631" i="3"/>
  <c r="I630" i="3"/>
  <c r="H630" i="3"/>
  <c r="I629" i="3"/>
  <c r="H629" i="3"/>
  <c r="I628" i="3"/>
  <c r="H628" i="3"/>
  <c r="D11" i="7" s="1"/>
  <c r="I627" i="3"/>
  <c r="H627" i="3"/>
  <c r="I626" i="3"/>
  <c r="H626" i="3"/>
  <c r="I625" i="3"/>
  <c r="H625" i="3"/>
  <c r="I624" i="3"/>
  <c r="H624" i="3"/>
  <c r="I623" i="3"/>
  <c r="H623" i="3"/>
  <c r="I622" i="3"/>
  <c r="H622" i="3"/>
  <c r="I621" i="3"/>
  <c r="H621" i="3"/>
  <c r="I620" i="3"/>
  <c r="H620" i="3"/>
  <c r="I619" i="3"/>
  <c r="H619" i="3"/>
  <c r="I618" i="3"/>
  <c r="H618" i="3"/>
  <c r="I617" i="3"/>
  <c r="H617" i="3"/>
  <c r="I616" i="3"/>
  <c r="H616" i="3"/>
  <c r="I615" i="3"/>
  <c r="H615" i="3"/>
  <c r="I614" i="3"/>
  <c r="H614" i="3"/>
  <c r="I613" i="3"/>
  <c r="H613" i="3"/>
  <c r="I612" i="3"/>
  <c r="H612" i="3"/>
  <c r="I611" i="3"/>
  <c r="H611" i="3"/>
  <c r="I610" i="3"/>
  <c r="H610" i="3"/>
  <c r="I609" i="3"/>
  <c r="H609" i="3"/>
  <c r="I608" i="3"/>
  <c r="H608" i="3"/>
  <c r="I607" i="3"/>
  <c r="H607" i="3"/>
  <c r="I606" i="3"/>
  <c r="H606" i="3"/>
  <c r="I605" i="3"/>
  <c r="H605" i="3"/>
  <c r="I604" i="3"/>
  <c r="H604" i="3"/>
  <c r="I603" i="3"/>
  <c r="H603" i="3"/>
  <c r="I602" i="3"/>
  <c r="H602" i="3"/>
  <c r="I601" i="3"/>
  <c r="H601" i="3"/>
  <c r="I600" i="3"/>
  <c r="H600" i="3"/>
  <c r="I599" i="3"/>
  <c r="H599" i="3"/>
  <c r="I598" i="3"/>
  <c r="H598" i="3"/>
  <c r="I597" i="3"/>
  <c r="H597" i="3"/>
  <c r="I596" i="3"/>
  <c r="H596" i="3"/>
  <c r="I595" i="3"/>
  <c r="H595" i="3"/>
  <c r="I594" i="3"/>
  <c r="H594" i="3"/>
  <c r="I593" i="3"/>
  <c r="H593" i="3"/>
  <c r="I592" i="3"/>
  <c r="H592" i="3"/>
  <c r="I591" i="3"/>
  <c r="H591" i="3"/>
  <c r="I590" i="3"/>
  <c r="H590" i="3"/>
  <c r="I589" i="3"/>
  <c r="H589" i="3"/>
  <c r="I588" i="3"/>
  <c r="H588" i="3"/>
  <c r="I587" i="3"/>
  <c r="H587" i="3"/>
  <c r="I586" i="3"/>
  <c r="H586" i="3"/>
  <c r="I585" i="3"/>
  <c r="H585" i="3"/>
  <c r="I584" i="3"/>
  <c r="H584" i="3"/>
  <c r="I583" i="3"/>
  <c r="H583" i="3"/>
  <c r="I582" i="3"/>
  <c r="H582" i="3"/>
  <c r="I581" i="3"/>
  <c r="H581" i="3"/>
  <c r="I580" i="3"/>
  <c r="H580" i="3"/>
  <c r="I579" i="3"/>
  <c r="H579" i="3"/>
  <c r="I578" i="3"/>
  <c r="H578" i="3"/>
  <c r="I577" i="3"/>
  <c r="H577" i="3"/>
  <c r="I576" i="3"/>
  <c r="H576" i="3"/>
  <c r="I575" i="3"/>
  <c r="H575" i="3"/>
  <c r="I574" i="3"/>
  <c r="H574" i="3"/>
  <c r="I573" i="3"/>
  <c r="H573" i="3"/>
  <c r="I572" i="3"/>
  <c r="H572" i="3"/>
  <c r="I571" i="3"/>
  <c r="H571" i="3"/>
  <c r="I570" i="3"/>
  <c r="H570" i="3"/>
  <c r="I569" i="3"/>
  <c r="H569" i="3"/>
  <c r="I568" i="3"/>
  <c r="H568" i="3"/>
  <c r="I567" i="3"/>
  <c r="H567" i="3"/>
  <c r="I566" i="3"/>
  <c r="H566" i="3"/>
  <c r="I565" i="3"/>
  <c r="H565" i="3"/>
  <c r="I564" i="3"/>
  <c r="H564" i="3"/>
  <c r="I563" i="3"/>
  <c r="H563" i="3"/>
  <c r="I562" i="3"/>
  <c r="H562" i="3"/>
  <c r="I561" i="3"/>
  <c r="H561" i="3"/>
  <c r="I560" i="3"/>
  <c r="H560" i="3"/>
  <c r="I559" i="3"/>
  <c r="H559" i="3"/>
  <c r="I558" i="3"/>
  <c r="H558" i="3"/>
  <c r="I557" i="3"/>
  <c r="H557" i="3"/>
  <c r="I556" i="3"/>
  <c r="H556" i="3"/>
  <c r="I555" i="3"/>
  <c r="H555" i="3"/>
  <c r="I554" i="3"/>
  <c r="H554" i="3"/>
  <c r="I553" i="3"/>
  <c r="H553" i="3"/>
  <c r="I552" i="3"/>
  <c r="H552" i="3"/>
  <c r="I551" i="3"/>
  <c r="H551" i="3"/>
  <c r="I550" i="3"/>
  <c r="H550" i="3"/>
  <c r="D10" i="7" s="1"/>
  <c r="I549" i="3"/>
  <c r="H549" i="3"/>
  <c r="I548" i="3"/>
  <c r="H548" i="3"/>
  <c r="I547" i="3"/>
  <c r="H547" i="3"/>
  <c r="I546" i="3"/>
  <c r="H546" i="3"/>
  <c r="I545" i="3"/>
  <c r="H545" i="3"/>
  <c r="I544" i="3"/>
  <c r="H544" i="3"/>
  <c r="I543" i="3"/>
  <c r="H543" i="3"/>
  <c r="I542" i="3"/>
  <c r="H542" i="3"/>
  <c r="I541" i="3"/>
  <c r="H541" i="3"/>
  <c r="I540" i="3"/>
  <c r="H540" i="3"/>
  <c r="I539" i="3"/>
  <c r="H539" i="3"/>
  <c r="I538" i="3"/>
  <c r="H538" i="3"/>
  <c r="I537" i="3"/>
  <c r="H537" i="3"/>
  <c r="I536" i="3"/>
  <c r="H536" i="3"/>
  <c r="I535" i="3"/>
  <c r="H535" i="3"/>
  <c r="I534" i="3"/>
  <c r="H534" i="3"/>
  <c r="I533" i="3"/>
  <c r="H533" i="3"/>
  <c r="I532" i="3"/>
  <c r="H532" i="3"/>
  <c r="I531" i="3"/>
  <c r="H531" i="3"/>
  <c r="I530" i="3"/>
  <c r="H530" i="3"/>
  <c r="I529" i="3"/>
  <c r="H529" i="3"/>
  <c r="I528" i="3"/>
  <c r="H528" i="3"/>
  <c r="I527" i="3"/>
  <c r="H527" i="3"/>
  <c r="I526" i="3"/>
  <c r="H526" i="3"/>
  <c r="I525" i="3"/>
  <c r="H525" i="3"/>
  <c r="I524" i="3"/>
  <c r="H524" i="3"/>
  <c r="I523" i="3"/>
  <c r="H523" i="3"/>
  <c r="I522" i="3"/>
  <c r="H522" i="3"/>
  <c r="I521" i="3"/>
  <c r="H521" i="3"/>
  <c r="I520" i="3"/>
  <c r="H520" i="3"/>
  <c r="I519" i="3"/>
  <c r="H519" i="3"/>
  <c r="I518" i="3"/>
  <c r="H518" i="3"/>
  <c r="I517" i="3"/>
  <c r="H517" i="3"/>
  <c r="I516" i="3"/>
  <c r="H516" i="3"/>
  <c r="I515" i="3"/>
  <c r="H515" i="3"/>
  <c r="I514" i="3"/>
  <c r="H514" i="3"/>
  <c r="I513" i="3"/>
  <c r="H513" i="3"/>
  <c r="I512" i="3"/>
  <c r="H512" i="3"/>
  <c r="I511" i="3"/>
  <c r="H511" i="3"/>
  <c r="I510" i="3"/>
  <c r="H510" i="3"/>
  <c r="I509" i="3"/>
  <c r="H509" i="3"/>
  <c r="I508" i="3"/>
  <c r="H508" i="3"/>
  <c r="I507" i="3"/>
  <c r="H507" i="3"/>
  <c r="I506" i="3"/>
  <c r="H506" i="3"/>
  <c r="I505" i="3"/>
  <c r="H505" i="3"/>
  <c r="I504" i="3"/>
  <c r="H504" i="3"/>
  <c r="I503" i="3"/>
  <c r="H503" i="3"/>
  <c r="I502" i="3"/>
  <c r="H502" i="3"/>
  <c r="I501" i="3"/>
  <c r="H501" i="3"/>
  <c r="I500" i="3"/>
  <c r="H500" i="3"/>
  <c r="I499" i="3"/>
  <c r="H499" i="3"/>
  <c r="I498" i="3"/>
  <c r="H498" i="3"/>
  <c r="I497" i="3"/>
  <c r="H497" i="3"/>
  <c r="I496" i="3"/>
  <c r="H496" i="3"/>
  <c r="I495" i="3"/>
  <c r="H495" i="3"/>
  <c r="I494" i="3"/>
  <c r="H494" i="3"/>
  <c r="I493" i="3"/>
  <c r="H493" i="3"/>
  <c r="I492" i="3"/>
  <c r="H492" i="3"/>
  <c r="I491" i="3"/>
  <c r="H491" i="3"/>
  <c r="I490" i="3"/>
  <c r="H490" i="3"/>
  <c r="I489" i="3"/>
  <c r="H489" i="3"/>
  <c r="I488" i="3"/>
  <c r="H488" i="3"/>
  <c r="I487" i="3"/>
  <c r="H487" i="3"/>
  <c r="I486" i="3"/>
  <c r="H486" i="3"/>
  <c r="I485" i="3"/>
  <c r="H485" i="3"/>
  <c r="I484" i="3"/>
  <c r="H484" i="3"/>
  <c r="I483" i="3"/>
  <c r="H483" i="3"/>
  <c r="I482" i="3"/>
  <c r="H482" i="3"/>
  <c r="I481" i="3"/>
  <c r="H481" i="3"/>
  <c r="I480" i="3"/>
  <c r="H480" i="3"/>
  <c r="I479" i="3"/>
  <c r="H479" i="3"/>
  <c r="I478" i="3"/>
  <c r="H478" i="3"/>
  <c r="I477" i="3"/>
  <c r="H477" i="3"/>
  <c r="I476" i="3"/>
  <c r="H476" i="3"/>
  <c r="D9" i="7" s="1"/>
  <c r="I475" i="3"/>
  <c r="H475" i="3"/>
  <c r="I474" i="3"/>
  <c r="H474" i="3"/>
  <c r="I473" i="3"/>
  <c r="H473" i="3"/>
  <c r="I472" i="3"/>
  <c r="H472" i="3"/>
  <c r="I471" i="3"/>
  <c r="H471" i="3"/>
  <c r="I470" i="3"/>
  <c r="H470" i="3"/>
  <c r="I469" i="3"/>
  <c r="H469" i="3"/>
  <c r="I468" i="3"/>
  <c r="H468" i="3"/>
  <c r="I467" i="3"/>
  <c r="H467" i="3"/>
  <c r="I466" i="3"/>
  <c r="H466" i="3"/>
  <c r="I465" i="3"/>
  <c r="H465" i="3"/>
  <c r="I464" i="3"/>
  <c r="H464" i="3"/>
  <c r="I463" i="3"/>
  <c r="H463" i="3"/>
  <c r="I462" i="3"/>
  <c r="H462" i="3"/>
  <c r="I461" i="3"/>
  <c r="H461" i="3"/>
  <c r="I460" i="3"/>
  <c r="H460" i="3"/>
  <c r="I459" i="3"/>
  <c r="H459" i="3"/>
  <c r="I458" i="3"/>
  <c r="H458" i="3"/>
  <c r="I457" i="3"/>
  <c r="H457" i="3"/>
  <c r="I456" i="3"/>
  <c r="H456" i="3"/>
  <c r="I455" i="3"/>
  <c r="H455" i="3"/>
  <c r="I454" i="3"/>
  <c r="H454" i="3"/>
  <c r="I453" i="3"/>
  <c r="H453" i="3"/>
  <c r="I452" i="3"/>
  <c r="H452" i="3"/>
  <c r="I451" i="3"/>
  <c r="H451" i="3"/>
  <c r="I450" i="3"/>
  <c r="H450" i="3"/>
  <c r="I449" i="3"/>
  <c r="H449" i="3"/>
  <c r="I448" i="3"/>
  <c r="H448" i="3"/>
  <c r="I447" i="3"/>
  <c r="H447" i="3"/>
  <c r="I446" i="3"/>
  <c r="H446" i="3"/>
  <c r="I445" i="3"/>
  <c r="H445" i="3"/>
  <c r="I444" i="3"/>
  <c r="H444" i="3"/>
  <c r="I443" i="3"/>
  <c r="H443" i="3"/>
  <c r="I442" i="3"/>
  <c r="H442" i="3"/>
  <c r="I441" i="3"/>
  <c r="H441" i="3"/>
  <c r="I440" i="3"/>
  <c r="H440" i="3"/>
  <c r="I439" i="3"/>
  <c r="H439" i="3"/>
  <c r="I438" i="3"/>
  <c r="H438" i="3"/>
  <c r="I437" i="3"/>
  <c r="H437" i="3"/>
  <c r="I436" i="3"/>
  <c r="H436" i="3"/>
  <c r="I435" i="3"/>
  <c r="H435" i="3"/>
  <c r="I434" i="3"/>
  <c r="H434" i="3"/>
  <c r="I433" i="3"/>
  <c r="H433" i="3"/>
  <c r="I432" i="3"/>
  <c r="H432" i="3"/>
  <c r="I431" i="3"/>
  <c r="H431" i="3"/>
  <c r="I430" i="3"/>
  <c r="H430" i="3"/>
  <c r="I429" i="3"/>
  <c r="H429" i="3"/>
  <c r="I428" i="3"/>
  <c r="H428" i="3"/>
  <c r="I427" i="3"/>
  <c r="H427" i="3"/>
  <c r="I426" i="3"/>
  <c r="H426" i="3"/>
  <c r="I425" i="3"/>
  <c r="H425" i="3"/>
  <c r="I424" i="3"/>
  <c r="H424" i="3"/>
  <c r="I423" i="3"/>
  <c r="H423" i="3"/>
  <c r="I422" i="3"/>
  <c r="H422" i="3"/>
  <c r="I421" i="3"/>
  <c r="H421" i="3"/>
  <c r="I420" i="3"/>
  <c r="H420" i="3"/>
  <c r="I419" i="3"/>
  <c r="H419" i="3"/>
  <c r="I418" i="3"/>
  <c r="H418" i="3"/>
  <c r="I417" i="3"/>
  <c r="H417" i="3"/>
  <c r="D8" i="7" s="1"/>
  <c r="I416" i="3"/>
  <c r="H416" i="3"/>
  <c r="I415" i="3"/>
  <c r="H415" i="3"/>
  <c r="I414" i="3"/>
  <c r="H414" i="3"/>
  <c r="I413" i="3"/>
  <c r="H413" i="3"/>
  <c r="I412" i="3"/>
  <c r="H412" i="3"/>
  <c r="I411" i="3"/>
  <c r="H411" i="3"/>
  <c r="I410" i="3"/>
  <c r="H410" i="3"/>
  <c r="I409" i="3"/>
  <c r="H409" i="3"/>
  <c r="I408" i="3"/>
  <c r="H408" i="3"/>
  <c r="I407" i="3"/>
  <c r="H407" i="3"/>
  <c r="I406" i="3"/>
  <c r="H406" i="3"/>
  <c r="I405" i="3"/>
  <c r="H405" i="3"/>
  <c r="I404" i="3"/>
  <c r="H404" i="3"/>
  <c r="I403" i="3"/>
  <c r="H403" i="3"/>
  <c r="I402" i="3"/>
  <c r="H402" i="3"/>
  <c r="I401" i="3"/>
  <c r="H401" i="3"/>
  <c r="I400" i="3"/>
  <c r="H400" i="3"/>
  <c r="I399" i="3"/>
  <c r="H399" i="3"/>
  <c r="I398" i="3"/>
  <c r="H398" i="3"/>
  <c r="I397" i="3"/>
  <c r="H397" i="3"/>
  <c r="I396" i="3"/>
  <c r="H396" i="3"/>
  <c r="I395" i="3"/>
  <c r="H395" i="3"/>
  <c r="I394" i="3"/>
  <c r="H394" i="3"/>
  <c r="I393" i="3"/>
  <c r="H393" i="3"/>
  <c r="I392" i="3"/>
  <c r="H392" i="3"/>
  <c r="I391" i="3"/>
  <c r="H391" i="3"/>
  <c r="I390" i="3"/>
  <c r="H390" i="3"/>
  <c r="I389" i="3"/>
  <c r="H389" i="3"/>
  <c r="I388" i="3"/>
  <c r="H388" i="3"/>
  <c r="I387" i="3"/>
  <c r="H387" i="3"/>
  <c r="I386" i="3"/>
  <c r="H386" i="3"/>
  <c r="I385" i="3"/>
  <c r="H385" i="3"/>
  <c r="I384" i="3"/>
  <c r="H384" i="3"/>
  <c r="I383" i="3"/>
  <c r="H383" i="3"/>
  <c r="I382" i="3"/>
  <c r="H382" i="3"/>
  <c r="I381" i="3"/>
  <c r="H381" i="3"/>
  <c r="I380" i="3"/>
  <c r="H380" i="3"/>
  <c r="I379" i="3"/>
  <c r="H379" i="3"/>
  <c r="I378" i="3"/>
  <c r="H378" i="3"/>
  <c r="I377" i="3"/>
  <c r="H377" i="3"/>
  <c r="I376" i="3"/>
  <c r="H376" i="3"/>
  <c r="I375" i="3"/>
  <c r="H375" i="3"/>
  <c r="I374" i="3"/>
  <c r="H374" i="3"/>
  <c r="I373" i="3"/>
  <c r="H373" i="3"/>
  <c r="I372" i="3"/>
  <c r="H372" i="3"/>
  <c r="I371" i="3"/>
  <c r="H371" i="3"/>
  <c r="I370" i="3"/>
  <c r="H370" i="3"/>
  <c r="I369" i="3"/>
  <c r="H369" i="3"/>
  <c r="I368" i="3"/>
  <c r="H368" i="3"/>
  <c r="I367" i="3"/>
  <c r="H367" i="3"/>
  <c r="I366" i="3"/>
  <c r="H366" i="3"/>
  <c r="I365" i="3"/>
  <c r="H365" i="3"/>
  <c r="I364" i="3"/>
  <c r="H364" i="3"/>
  <c r="I363" i="3"/>
  <c r="H363" i="3"/>
  <c r="I362" i="3"/>
  <c r="H362" i="3"/>
  <c r="I361" i="3"/>
  <c r="H361" i="3"/>
  <c r="I360" i="3"/>
  <c r="H360" i="3"/>
  <c r="I359" i="3"/>
  <c r="H359" i="3"/>
  <c r="I358" i="3"/>
  <c r="H358" i="3"/>
  <c r="I357" i="3"/>
  <c r="H357" i="3"/>
  <c r="I356" i="3"/>
  <c r="H356" i="3"/>
  <c r="I355" i="3"/>
  <c r="H355" i="3"/>
  <c r="I354" i="3"/>
  <c r="H354" i="3"/>
  <c r="I353" i="3"/>
  <c r="H353" i="3"/>
  <c r="I352" i="3"/>
  <c r="H352" i="3"/>
  <c r="D7" i="7" s="1"/>
  <c r="I351" i="3"/>
  <c r="H351" i="3"/>
  <c r="I350" i="3"/>
  <c r="H350" i="3"/>
  <c r="I349" i="3"/>
  <c r="H349" i="3"/>
  <c r="I348" i="3"/>
  <c r="H348" i="3"/>
  <c r="I347" i="3"/>
  <c r="H347" i="3"/>
  <c r="I346" i="3"/>
  <c r="H346" i="3"/>
  <c r="I345" i="3"/>
  <c r="H345" i="3"/>
  <c r="I344" i="3"/>
  <c r="H344" i="3"/>
  <c r="I343" i="3"/>
  <c r="H343" i="3"/>
  <c r="I342" i="3"/>
  <c r="H342" i="3"/>
  <c r="I341" i="3"/>
  <c r="H341" i="3"/>
  <c r="I340" i="3"/>
  <c r="H340" i="3"/>
  <c r="I339" i="3"/>
  <c r="H339" i="3"/>
  <c r="I338" i="3"/>
  <c r="H338" i="3"/>
  <c r="I337" i="3"/>
  <c r="H337" i="3"/>
  <c r="I336" i="3"/>
  <c r="H336" i="3"/>
  <c r="I335" i="3"/>
  <c r="H335" i="3"/>
  <c r="I334" i="3"/>
  <c r="H334" i="3"/>
  <c r="I333" i="3"/>
  <c r="H333" i="3"/>
  <c r="I332" i="3"/>
  <c r="H332" i="3"/>
  <c r="I331" i="3"/>
  <c r="H331" i="3"/>
  <c r="I330" i="3"/>
  <c r="H330" i="3"/>
  <c r="I329" i="3"/>
  <c r="H329" i="3"/>
  <c r="I328" i="3"/>
  <c r="H328" i="3"/>
  <c r="I327" i="3"/>
  <c r="H327" i="3"/>
  <c r="I326" i="3"/>
  <c r="H326" i="3"/>
  <c r="I325" i="3"/>
  <c r="H325" i="3"/>
  <c r="I324" i="3"/>
  <c r="H324" i="3"/>
  <c r="I323" i="3"/>
  <c r="H323" i="3"/>
  <c r="I322" i="3"/>
  <c r="H322" i="3"/>
  <c r="I321" i="3"/>
  <c r="H321" i="3"/>
  <c r="I320" i="3"/>
  <c r="H320" i="3"/>
  <c r="I319" i="3"/>
  <c r="H319" i="3"/>
  <c r="I318" i="3"/>
  <c r="H318" i="3"/>
  <c r="I317" i="3"/>
  <c r="H317" i="3"/>
  <c r="I316" i="3"/>
  <c r="H316" i="3"/>
  <c r="I315" i="3"/>
  <c r="H315" i="3"/>
  <c r="I314" i="3"/>
  <c r="H314" i="3"/>
  <c r="I313" i="3"/>
  <c r="H313" i="3"/>
  <c r="I312" i="3"/>
  <c r="H312" i="3"/>
  <c r="I311" i="3"/>
  <c r="H311" i="3"/>
  <c r="I310" i="3"/>
  <c r="H310" i="3"/>
  <c r="I309" i="3"/>
  <c r="H309" i="3"/>
  <c r="I308" i="3"/>
  <c r="H308" i="3"/>
  <c r="I307" i="3"/>
  <c r="H307" i="3"/>
  <c r="I306" i="3"/>
  <c r="H306" i="3"/>
  <c r="I305" i="3"/>
  <c r="H305" i="3"/>
  <c r="I304" i="3"/>
  <c r="H304" i="3"/>
  <c r="I303" i="3"/>
  <c r="H303" i="3"/>
  <c r="I302" i="3"/>
  <c r="H302" i="3"/>
  <c r="I301" i="3"/>
  <c r="H301" i="3"/>
  <c r="I300" i="3"/>
  <c r="H300" i="3"/>
  <c r="I299" i="3"/>
  <c r="H299" i="3"/>
  <c r="I298" i="3"/>
  <c r="H298" i="3"/>
  <c r="I297" i="3"/>
  <c r="H297" i="3"/>
  <c r="I296" i="3"/>
  <c r="H296" i="3"/>
  <c r="I295" i="3"/>
  <c r="H295" i="3"/>
  <c r="I294" i="3"/>
  <c r="H294" i="3"/>
  <c r="I293" i="3"/>
  <c r="H293" i="3"/>
  <c r="I292" i="3"/>
  <c r="H292" i="3"/>
  <c r="I291" i="3"/>
  <c r="H291" i="3"/>
  <c r="I290" i="3"/>
  <c r="H290" i="3"/>
  <c r="I289" i="3"/>
  <c r="H289" i="3"/>
  <c r="I288" i="3"/>
  <c r="H288" i="3"/>
  <c r="I287" i="3"/>
  <c r="H287" i="3"/>
  <c r="I286" i="3"/>
  <c r="H286" i="3"/>
  <c r="I285" i="3"/>
  <c r="H285" i="3"/>
  <c r="I284" i="3"/>
  <c r="H284" i="3"/>
  <c r="I283" i="3"/>
  <c r="H283" i="3"/>
  <c r="I282" i="3"/>
  <c r="H282" i="3"/>
  <c r="I281" i="3"/>
  <c r="H281" i="3"/>
  <c r="I280" i="3"/>
  <c r="H280" i="3"/>
  <c r="I279" i="3"/>
  <c r="H279" i="3"/>
  <c r="I278" i="3"/>
  <c r="H278" i="3"/>
  <c r="I277" i="3"/>
  <c r="H277" i="3"/>
  <c r="I276" i="3"/>
  <c r="H276" i="3"/>
  <c r="I275" i="3"/>
  <c r="H275" i="3"/>
  <c r="I274" i="3"/>
  <c r="H274" i="3"/>
  <c r="D6" i="7" s="1"/>
  <c r="I273" i="3"/>
  <c r="H273" i="3"/>
  <c r="I272" i="3"/>
  <c r="H272" i="3"/>
  <c r="I271" i="3"/>
  <c r="H271" i="3"/>
  <c r="I270" i="3"/>
  <c r="H270" i="3"/>
  <c r="I269" i="3"/>
  <c r="H269" i="3"/>
  <c r="I268" i="3"/>
  <c r="H268" i="3"/>
  <c r="I267" i="3"/>
  <c r="H267" i="3"/>
  <c r="I266" i="3"/>
  <c r="H266" i="3"/>
  <c r="I265" i="3"/>
  <c r="H265" i="3"/>
  <c r="I264" i="3"/>
  <c r="H264" i="3"/>
  <c r="I263" i="3"/>
  <c r="H263" i="3"/>
  <c r="I262" i="3"/>
  <c r="H262" i="3"/>
  <c r="I261" i="3"/>
  <c r="H261" i="3"/>
  <c r="I260" i="3"/>
  <c r="H260" i="3"/>
  <c r="I259" i="3"/>
  <c r="H259" i="3"/>
  <c r="I258" i="3"/>
  <c r="H258" i="3"/>
  <c r="I257" i="3"/>
  <c r="H257" i="3"/>
  <c r="I256" i="3"/>
  <c r="H256" i="3"/>
  <c r="I255" i="3"/>
  <c r="H255" i="3"/>
  <c r="I254" i="3"/>
  <c r="H254" i="3"/>
  <c r="I253" i="3"/>
  <c r="H253" i="3"/>
  <c r="I252" i="3"/>
  <c r="H252" i="3"/>
  <c r="I251" i="3"/>
  <c r="H251" i="3"/>
  <c r="I250" i="3"/>
  <c r="H250" i="3"/>
  <c r="I249" i="3"/>
  <c r="H249" i="3"/>
  <c r="I248" i="3"/>
  <c r="H248" i="3"/>
  <c r="I247" i="3"/>
  <c r="H247" i="3"/>
  <c r="I246" i="3"/>
  <c r="H246" i="3"/>
  <c r="I245" i="3"/>
  <c r="H245" i="3"/>
  <c r="I244" i="3"/>
  <c r="H244" i="3"/>
  <c r="I243" i="3"/>
  <c r="H243" i="3"/>
  <c r="I242" i="3"/>
  <c r="H242" i="3"/>
  <c r="I241" i="3"/>
  <c r="H241" i="3"/>
  <c r="I240" i="3"/>
  <c r="H240" i="3"/>
  <c r="I239" i="3"/>
  <c r="H239" i="3"/>
  <c r="I238" i="3"/>
  <c r="H238" i="3"/>
  <c r="I237" i="3"/>
  <c r="H237" i="3"/>
  <c r="I236" i="3"/>
  <c r="H236" i="3"/>
  <c r="I235" i="3"/>
  <c r="H235" i="3"/>
  <c r="I234" i="3"/>
  <c r="H234" i="3"/>
  <c r="I233" i="3"/>
  <c r="H233" i="3"/>
  <c r="I232" i="3"/>
  <c r="H232" i="3"/>
  <c r="I231" i="3"/>
  <c r="H231" i="3"/>
  <c r="I230" i="3"/>
  <c r="H230" i="3"/>
  <c r="I229" i="3"/>
  <c r="H229" i="3"/>
  <c r="I228" i="3"/>
  <c r="H228" i="3"/>
  <c r="I227" i="3"/>
  <c r="H227" i="3"/>
  <c r="I226" i="3"/>
  <c r="H226" i="3"/>
  <c r="I225" i="3"/>
  <c r="H225" i="3"/>
  <c r="I224" i="3"/>
  <c r="H224" i="3"/>
  <c r="I223" i="3"/>
  <c r="H223" i="3"/>
  <c r="I222" i="3"/>
  <c r="H222" i="3"/>
  <c r="I221" i="3"/>
  <c r="H221" i="3"/>
  <c r="I220" i="3"/>
  <c r="H220" i="3"/>
  <c r="I219" i="3"/>
  <c r="H219" i="3"/>
  <c r="I218" i="3"/>
  <c r="H218" i="3"/>
  <c r="I217" i="3"/>
  <c r="H217" i="3"/>
  <c r="I216" i="3"/>
  <c r="H216" i="3"/>
  <c r="D5" i="7" s="1"/>
  <c r="I215" i="3"/>
  <c r="H215" i="3"/>
  <c r="I214" i="3"/>
  <c r="H214" i="3"/>
  <c r="I213" i="3"/>
  <c r="H213" i="3"/>
  <c r="I212" i="3"/>
  <c r="H212" i="3"/>
  <c r="I211" i="3"/>
  <c r="H211" i="3"/>
  <c r="I210" i="3"/>
  <c r="H210" i="3"/>
  <c r="I209" i="3"/>
  <c r="H209" i="3"/>
  <c r="I208" i="3"/>
  <c r="H208" i="3"/>
  <c r="I207" i="3"/>
  <c r="H207" i="3"/>
  <c r="I206" i="3"/>
  <c r="H206" i="3"/>
  <c r="I205" i="3"/>
  <c r="H205" i="3"/>
  <c r="I204" i="3"/>
  <c r="H204" i="3"/>
  <c r="I203" i="3"/>
  <c r="H203" i="3"/>
  <c r="I202" i="3"/>
  <c r="H202" i="3"/>
  <c r="I201" i="3"/>
  <c r="H201" i="3"/>
  <c r="I200" i="3"/>
  <c r="H200" i="3"/>
  <c r="I199" i="3"/>
  <c r="H199" i="3"/>
  <c r="I198" i="3"/>
  <c r="H198" i="3"/>
  <c r="I197" i="3"/>
  <c r="H197" i="3"/>
  <c r="I196" i="3"/>
  <c r="H196" i="3"/>
  <c r="I195" i="3"/>
  <c r="H195" i="3"/>
  <c r="I194" i="3"/>
  <c r="H194" i="3"/>
  <c r="I193" i="3"/>
  <c r="H193" i="3"/>
  <c r="I192" i="3"/>
  <c r="H192" i="3"/>
  <c r="I191" i="3"/>
  <c r="H191" i="3"/>
  <c r="I190" i="3"/>
  <c r="H190" i="3"/>
  <c r="I189" i="3"/>
  <c r="H189" i="3"/>
  <c r="I188" i="3"/>
  <c r="H188" i="3"/>
  <c r="I187" i="3"/>
  <c r="H187" i="3"/>
  <c r="I186" i="3"/>
  <c r="H186" i="3"/>
  <c r="I185" i="3"/>
  <c r="H185" i="3"/>
  <c r="I184" i="3"/>
  <c r="H184" i="3"/>
  <c r="I183" i="3"/>
  <c r="H183" i="3"/>
  <c r="I182" i="3"/>
  <c r="H182" i="3"/>
  <c r="I181" i="3"/>
  <c r="H181" i="3"/>
  <c r="I180" i="3"/>
  <c r="H180" i="3"/>
  <c r="I179" i="3"/>
  <c r="H179" i="3"/>
  <c r="I178" i="3"/>
  <c r="H178" i="3"/>
  <c r="I177" i="3"/>
  <c r="H177" i="3"/>
  <c r="I176" i="3"/>
  <c r="H176" i="3"/>
  <c r="I175" i="3"/>
  <c r="H175" i="3"/>
  <c r="I174" i="3"/>
  <c r="H174" i="3"/>
  <c r="I173" i="3"/>
  <c r="H173" i="3"/>
  <c r="I172" i="3"/>
  <c r="H172" i="3"/>
  <c r="I171" i="3"/>
  <c r="H171" i="3"/>
  <c r="I170" i="3"/>
  <c r="H170" i="3"/>
  <c r="I169" i="3"/>
  <c r="H169" i="3"/>
  <c r="I168" i="3"/>
  <c r="H168" i="3"/>
  <c r="I167" i="3"/>
  <c r="H167" i="3"/>
  <c r="I166" i="3"/>
  <c r="H166" i="3"/>
  <c r="I165" i="3"/>
  <c r="H165" i="3"/>
  <c r="I164" i="3"/>
  <c r="H164" i="3"/>
  <c r="I163" i="3"/>
  <c r="H163" i="3"/>
  <c r="I162" i="3"/>
  <c r="H162" i="3"/>
  <c r="I161" i="3"/>
  <c r="H161" i="3"/>
  <c r="I160" i="3"/>
  <c r="H160" i="3"/>
  <c r="I159" i="3"/>
  <c r="H159" i="3"/>
  <c r="I158" i="3"/>
  <c r="H158" i="3"/>
  <c r="I157" i="3"/>
  <c r="H157" i="3"/>
  <c r="I156" i="3"/>
  <c r="H156" i="3"/>
  <c r="I155" i="3"/>
  <c r="H155" i="3"/>
  <c r="I154" i="3"/>
  <c r="H154" i="3"/>
  <c r="I153" i="3"/>
  <c r="H153" i="3"/>
  <c r="I152" i="3"/>
  <c r="H152" i="3"/>
  <c r="I151" i="3"/>
  <c r="H151" i="3"/>
  <c r="I150" i="3"/>
  <c r="H150" i="3"/>
  <c r="I149" i="3"/>
  <c r="H149" i="3"/>
  <c r="I148" i="3"/>
  <c r="H148" i="3"/>
  <c r="I147" i="3"/>
  <c r="H147" i="3"/>
  <c r="I146" i="3"/>
  <c r="H146" i="3"/>
  <c r="I145" i="3"/>
  <c r="H145" i="3"/>
  <c r="I144" i="3"/>
  <c r="H144" i="3"/>
  <c r="I143" i="3"/>
  <c r="H143" i="3"/>
  <c r="I142" i="3"/>
  <c r="H142" i="3"/>
  <c r="I141" i="3"/>
  <c r="H141" i="3"/>
  <c r="I140" i="3"/>
  <c r="H140" i="3"/>
  <c r="D4" i="7" s="1"/>
  <c r="I139" i="3"/>
  <c r="H139" i="3"/>
  <c r="I138" i="3"/>
  <c r="H138" i="3"/>
  <c r="I137" i="3"/>
  <c r="H137" i="3"/>
  <c r="I136" i="3"/>
  <c r="H136" i="3"/>
  <c r="I135" i="3"/>
  <c r="H135" i="3"/>
  <c r="I134" i="3"/>
  <c r="H134" i="3"/>
  <c r="I133" i="3"/>
  <c r="H133" i="3"/>
  <c r="I132" i="3"/>
  <c r="H132" i="3"/>
  <c r="I131" i="3"/>
  <c r="H131" i="3"/>
  <c r="I130" i="3"/>
  <c r="H130" i="3"/>
  <c r="I129" i="3"/>
  <c r="H129" i="3"/>
  <c r="I128" i="3"/>
  <c r="H128" i="3"/>
  <c r="I127" i="3"/>
  <c r="H127" i="3"/>
  <c r="I126" i="3"/>
  <c r="H126" i="3"/>
  <c r="I125" i="3"/>
  <c r="H125" i="3"/>
  <c r="I124" i="3"/>
  <c r="H124" i="3"/>
  <c r="I123" i="3"/>
  <c r="H123" i="3"/>
  <c r="I122" i="3"/>
  <c r="H122" i="3"/>
  <c r="I121" i="3"/>
  <c r="H121" i="3"/>
  <c r="I120" i="3"/>
  <c r="H120" i="3"/>
  <c r="I119" i="3"/>
  <c r="H119" i="3"/>
  <c r="I118" i="3"/>
  <c r="H118" i="3"/>
  <c r="I117" i="3"/>
  <c r="H117" i="3"/>
  <c r="I116" i="3"/>
  <c r="H116" i="3"/>
  <c r="I115" i="3"/>
  <c r="H115" i="3"/>
  <c r="I114" i="3"/>
  <c r="H114" i="3"/>
  <c r="I113" i="3"/>
  <c r="H113" i="3"/>
  <c r="I112" i="3"/>
  <c r="H112" i="3"/>
  <c r="I111" i="3"/>
  <c r="H111" i="3"/>
  <c r="I110" i="3"/>
  <c r="H110" i="3"/>
  <c r="I109" i="3"/>
  <c r="H109" i="3"/>
  <c r="I108" i="3"/>
  <c r="H108" i="3"/>
  <c r="I107" i="3"/>
  <c r="H107" i="3"/>
  <c r="I106" i="3"/>
  <c r="H106" i="3"/>
  <c r="I105" i="3"/>
  <c r="H105" i="3"/>
  <c r="I104" i="3"/>
  <c r="H104" i="3"/>
  <c r="I103" i="3"/>
  <c r="H103" i="3"/>
  <c r="I102" i="3"/>
  <c r="H102" i="3"/>
  <c r="I101" i="3"/>
  <c r="H101" i="3"/>
  <c r="I100" i="3"/>
  <c r="H100" i="3"/>
  <c r="I99" i="3"/>
  <c r="H99" i="3"/>
  <c r="I98" i="3"/>
  <c r="H98" i="3"/>
  <c r="I97" i="3"/>
  <c r="H97" i="3"/>
  <c r="I96" i="3"/>
  <c r="H96" i="3"/>
  <c r="I95" i="3"/>
  <c r="H95" i="3"/>
  <c r="I94" i="3"/>
  <c r="H94" i="3"/>
  <c r="I93" i="3"/>
  <c r="H93" i="3"/>
  <c r="I92" i="3"/>
  <c r="H92" i="3"/>
  <c r="I91" i="3"/>
  <c r="H91" i="3"/>
  <c r="I90" i="3"/>
  <c r="H90" i="3"/>
  <c r="I89" i="3"/>
  <c r="H89" i="3"/>
  <c r="I88" i="3"/>
  <c r="H88" i="3"/>
  <c r="I87" i="3"/>
  <c r="H87" i="3"/>
  <c r="I86" i="3"/>
  <c r="H86" i="3"/>
  <c r="I85" i="3"/>
  <c r="H85" i="3"/>
  <c r="I84" i="3"/>
  <c r="H84" i="3"/>
  <c r="I83" i="3"/>
  <c r="H83" i="3"/>
  <c r="I82" i="3"/>
  <c r="H82" i="3"/>
  <c r="I81" i="3"/>
  <c r="H81" i="3"/>
  <c r="I80" i="3"/>
  <c r="H80" i="3"/>
  <c r="I79" i="3"/>
  <c r="H79" i="3"/>
  <c r="I78" i="3"/>
  <c r="H78" i="3"/>
  <c r="I77" i="3"/>
  <c r="H77" i="3"/>
  <c r="I76" i="3"/>
  <c r="H76" i="3"/>
  <c r="I75" i="3"/>
  <c r="H75" i="3"/>
  <c r="I74" i="3"/>
  <c r="H74" i="3"/>
  <c r="I73" i="3"/>
  <c r="H73" i="3"/>
  <c r="I72" i="3"/>
  <c r="H72" i="3"/>
  <c r="I71" i="3"/>
  <c r="H71" i="3"/>
  <c r="I70" i="3"/>
  <c r="H70" i="3"/>
  <c r="I69" i="3"/>
  <c r="H69" i="3"/>
  <c r="I68" i="3"/>
  <c r="H68" i="3"/>
  <c r="I67" i="3"/>
  <c r="H67" i="3"/>
  <c r="I66" i="3"/>
  <c r="H66" i="3"/>
  <c r="I65" i="3"/>
  <c r="H65" i="3"/>
  <c r="I64" i="3"/>
  <c r="H64" i="3"/>
  <c r="I63" i="3"/>
  <c r="H63" i="3"/>
  <c r="I62" i="3"/>
  <c r="H62" i="3"/>
  <c r="I61" i="3"/>
  <c r="H61" i="3"/>
  <c r="D3" i="7" s="1"/>
  <c r="I60" i="3"/>
  <c r="H60" i="3"/>
  <c r="I59" i="3"/>
  <c r="H59" i="3"/>
  <c r="I58" i="3"/>
  <c r="H58" i="3"/>
  <c r="I57" i="3"/>
  <c r="H57" i="3"/>
  <c r="I56" i="3"/>
  <c r="H56" i="3"/>
  <c r="I55" i="3"/>
  <c r="H55" i="3"/>
  <c r="I54" i="3"/>
  <c r="H54" i="3"/>
  <c r="I53" i="3"/>
  <c r="H53" i="3"/>
  <c r="I52" i="3"/>
  <c r="H52" i="3"/>
  <c r="I51" i="3"/>
  <c r="H51" i="3"/>
  <c r="I50" i="3"/>
  <c r="H50" i="3"/>
  <c r="I49" i="3"/>
  <c r="H49" i="3"/>
  <c r="I48" i="3"/>
  <c r="H48" i="3"/>
  <c r="I47" i="3"/>
  <c r="H47" i="3"/>
  <c r="I46" i="3"/>
  <c r="H46" i="3"/>
  <c r="I45" i="3"/>
  <c r="H45" i="3"/>
  <c r="I44" i="3"/>
  <c r="H44" i="3"/>
  <c r="I43" i="3"/>
  <c r="H43" i="3"/>
  <c r="I42" i="3"/>
  <c r="H42" i="3"/>
  <c r="I41" i="3"/>
  <c r="H41" i="3"/>
  <c r="I40" i="3"/>
  <c r="H40" i="3"/>
  <c r="I39" i="3"/>
  <c r="H39" i="3"/>
  <c r="I38" i="3"/>
  <c r="H38" i="3"/>
  <c r="I37" i="3"/>
  <c r="H37" i="3"/>
  <c r="I36" i="3"/>
  <c r="H36" i="3"/>
  <c r="I35" i="3"/>
  <c r="H35" i="3"/>
  <c r="I34" i="3"/>
  <c r="H34" i="3"/>
  <c r="I33" i="3"/>
  <c r="H33" i="3"/>
  <c r="I32" i="3"/>
  <c r="H32" i="3"/>
  <c r="I31" i="3"/>
  <c r="H31" i="3"/>
  <c r="I30" i="3"/>
  <c r="H30" i="3"/>
  <c r="I29" i="3"/>
  <c r="H29" i="3"/>
  <c r="I28" i="3"/>
  <c r="H28" i="3"/>
  <c r="I27" i="3"/>
  <c r="H27" i="3"/>
  <c r="I26" i="3"/>
  <c r="H26" i="3"/>
  <c r="I25" i="3"/>
  <c r="H25" i="3"/>
  <c r="I24" i="3"/>
  <c r="H24" i="3"/>
  <c r="I23" i="3"/>
  <c r="H23" i="3"/>
  <c r="I22" i="3"/>
  <c r="H22" i="3"/>
  <c r="I21" i="3"/>
  <c r="H21" i="3"/>
  <c r="I20" i="3"/>
  <c r="H20" i="3"/>
  <c r="I19" i="3"/>
  <c r="H19" i="3"/>
  <c r="I18" i="3"/>
  <c r="H18" i="3"/>
  <c r="I17" i="3"/>
  <c r="H17" i="3"/>
  <c r="I16" i="3"/>
  <c r="H16" i="3"/>
  <c r="I15" i="3"/>
  <c r="H15" i="3"/>
  <c r="I14" i="3"/>
  <c r="H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I5" i="3"/>
  <c r="H5" i="3"/>
  <c r="I4" i="3"/>
  <c r="H4" i="3"/>
  <c r="I3" i="3"/>
  <c r="H3" i="3"/>
  <c r="I2" i="3"/>
  <c r="H2" i="3"/>
  <c r="D2" i="7" s="1"/>
  <c r="A10" i="1"/>
  <c r="G7" i="1"/>
  <c r="E7" i="1"/>
  <c r="C7" i="1"/>
  <c r="A7" i="1"/>
  <c r="D19" i="7" l="1"/>
  <c r="E20" i="7"/>
  <c r="D10" i="1"/>
  <c r="D16" i="7"/>
  <c r="E14" i="7"/>
  <c r="E12" i="7"/>
  <c r="E19" i="7"/>
  <c r="E18" i="7"/>
  <c r="E8" i="7"/>
  <c r="E4" i="7"/>
  <c r="E10" i="7"/>
  <c r="E7" i="7"/>
  <c r="G13" i="15"/>
  <c r="G12" i="15"/>
  <c r="K11" i="15"/>
  <c r="G11" i="15"/>
  <c r="K10" i="15"/>
  <c r="G10" i="15"/>
  <c r="K9" i="15"/>
  <c r="G9" i="15"/>
  <c r="C9" i="15"/>
  <c r="K8" i="15"/>
  <c r="G8" i="15"/>
  <c r="K7" i="15"/>
  <c r="G7" i="15"/>
  <c r="K6" i="15"/>
  <c r="G6" i="15"/>
  <c r="E17" i="7"/>
  <c r="E16" i="7"/>
  <c r="E15" i="7"/>
  <c r="E13" i="7"/>
  <c r="E6" i="7"/>
  <c r="E2" i="7"/>
  <c r="I7" i="1" s="1"/>
  <c r="E11" i="7"/>
  <c r="E5" i="7"/>
  <c r="E25" i="7"/>
  <c r="E24" i="7"/>
  <c r="E23" i="7"/>
  <c r="E22" i="7"/>
  <c r="E21" i="7"/>
  <c r="E9" i="7"/>
  <c r="F10" i="1"/>
  <c r="H10" i="1" s="1"/>
  <c r="L1300" i="3"/>
  <c r="K1300" i="3"/>
  <c r="J1300" i="3"/>
  <c r="J10" i="1"/>
  <c r="E3" i="7"/>
  <c r="J1642" i="3"/>
  <c r="K1642" i="3"/>
  <c r="L1642" i="3"/>
  <c r="K1641" i="3"/>
  <c r="J1641" i="3"/>
  <c r="L1641" i="3"/>
  <c r="J1640" i="3"/>
  <c r="K1640" i="3"/>
  <c r="L1640" i="3"/>
  <c r="J1639" i="3"/>
  <c r="K1639" i="3"/>
  <c r="L1639" i="3" s="1"/>
  <c r="K1638" i="3"/>
  <c r="J1638" i="3"/>
  <c r="L1638" i="3"/>
  <c r="L1637" i="3"/>
  <c r="K1637" i="3"/>
  <c r="J1637" i="3"/>
  <c r="L1636" i="3"/>
  <c r="K1636" i="3"/>
  <c r="J1636" i="3"/>
  <c r="K1635" i="3"/>
  <c r="L1635" i="3" s="1"/>
  <c r="J1635" i="3"/>
  <c r="J1634" i="3"/>
  <c r="L1634" i="3"/>
  <c r="K1634" i="3"/>
  <c r="L1633" i="3"/>
  <c r="J1633" i="3"/>
  <c r="K1633" i="3"/>
  <c r="J1632" i="3"/>
  <c r="K1632" i="3"/>
  <c r="L1632" i="3"/>
  <c r="J1631" i="3"/>
  <c r="L1631" i="3"/>
  <c r="K1631" i="3"/>
  <c r="K1630" i="3"/>
  <c r="J1630" i="3"/>
  <c r="L1630" i="3"/>
  <c r="J1629" i="3"/>
  <c r="K1629" i="3"/>
  <c r="L1629" i="3" s="1"/>
  <c r="J1628" i="3"/>
  <c r="K1628" i="3"/>
  <c r="L1628" i="3" s="1"/>
  <c r="K1627" i="3"/>
  <c r="L1627" i="3" s="1"/>
  <c r="J1627" i="3"/>
  <c r="J1626" i="3"/>
  <c r="K1626" i="3"/>
  <c r="L1626" i="3" s="1"/>
  <c r="L1625" i="3"/>
  <c r="K1625" i="3"/>
  <c r="J1625" i="3"/>
  <c r="L1624" i="3"/>
  <c r="K1624" i="3"/>
  <c r="J1624" i="3"/>
  <c r="K1623" i="3"/>
  <c r="L1623" i="3"/>
  <c r="J1623" i="3"/>
  <c r="K1622" i="3"/>
  <c r="J1622" i="3"/>
  <c r="L1622" i="3"/>
  <c r="K1621" i="3"/>
  <c r="L1621" i="3"/>
  <c r="J1621" i="3"/>
  <c r="K1620" i="3"/>
  <c r="J1620" i="3"/>
  <c r="L1620" i="3"/>
  <c r="K1619" i="3"/>
  <c r="L1619" i="3" s="1"/>
  <c r="J1619" i="3"/>
  <c r="K1618" i="3"/>
  <c r="L1618" i="3" s="1"/>
  <c r="J1618" i="3"/>
  <c r="L1617" i="3"/>
  <c r="J1617" i="3"/>
  <c r="K1617" i="3"/>
  <c r="K1616" i="3"/>
  <c r="J1616" i="3"/>
  <c r="L1616" i="3"/>
  <c r="J1615" i="3"/>
  <c r="L1615" i="3"/>
  <c r="K1615" i="3"/>
  <c r="J1614" i="3"/>
  <c r="L1614" i="3"/>
  <c r="K1614" i="3"/>
  <c r="K1613" i="3"/>
  <c r="L1613" i="3"/>
  <c r="J1613" i="3"/>
  <c r="J1612" i="3"/>
  <c r="K1612" i="3"/>
  <c r="L1612" i="3" s="1"/>
  <c r="J1611" i="3"/>
  <c r="K1611" i="3"/>
  <c r="L1611" i="3"/>
  <c r="J1610" i="3"/>
  <c r="K1610" i="3"/>
  <c r="L1610" i="3"/>
  <c r="J1609" i="3"/>
  <c r="L1609" i="3"/>
  <c r="K1609" i="3"/>
  <c r="K1608" i="3"/>
  <c r="L1608" i="3" s="1"/>
  <c r="J1608" i="3"/>
  <c r="K1607" i="3"/>
  <c r="L1607" i="3"/>
  <c r="J1607" i="3"/>
  <c r="L1606" i="3"/>
  <c r="K1606" i="3"/>
  <c r="J1606" i="3"/>
  <c r="L1605" i="3"/>
  <c r="J1605" i="3"/>
  <c r="K1605" i="3"/>
  <c r="J1604" i="3"/>
  <c r="L1604" i="3"/>
  <c r="K1604" i="3"/>
  <c r="K1603" i="3"/>
  <c r="J1603" i="3"/>
  <c r="L1603" i="3"/>
  <c r="J1602" i="3"/>
  <c r="K1602" i="3"/>
  <c r="L1602" i="3" s="1"/>
  <c r="J1601" i="3"/>
  <c r="K1601" i="3"/>
  <c r="L1601" i="3" s="1"/>
  <c r="K1600" i="3"/>
  <c r="L1600" i="3"/>
  <c r="J1600" i="3"/>
  <c r="J1599" i="3"/>
  <c r="K1599" i="3"/>
  <c r="L1599" i="3"/>
  <c r="K1598" i="3"/>
  <c r="L1598" i="3"/>
  <c r="J1598" i="3"/>
  <c r="K1597" i="3"/>
  <c r="L1597" i="3"/>
  <c r="J1597" i="3"/>
  <c r="J1596" i="3"/>
  <c r="K1596" i="3"/>
  <c r="L1596" i="3" s="1"/>
  <c r="K1595" i="3"/>
  <c r="L1595" i="3"/>
  <c r="J1595" i="3"/>
  <c r="L1594" i="3"/>
  <c r="J1594" i="3"/>
  <c r="K1594" i="3"/>
  <c r="L1593" i="3"/>
  <c r="J1593" i="3"/>
  <c r="K1593" i="3"/>
  <c r="L1592" i="3"/>
  <c r="K1592" i="3"/>
  <c r="J1592" i="3"/>
  <c r="J1591" i="3"/>
  <c r="L1591" i="3"/>
  <c r="K1591" i="3"/>
  <c r="L1590" i="3"/>
  <c r="J1590" i="3"/>
  <c r="K1590" i="3"/>
  <c r="L1589" i="3"/>
  <c r="J1589" i="3"/>
  <c r="K1589" i="3"/>
  <c r="L1588" i="3"/>
  <c r="J1588" i="3"/>
  <c r="K1588" i="3"/>
  <c r="L1587" i="3"/>
  <c r="J1587" i="3"/>
  <c r="K1587" i="3"/>
  <c r="L1586" i="3"/>
  <c r="J1586" i="3"/>
  <c r="K1586" i="3"/>
  <c r="J1585" i="3"/>
  <c r="K1585" i="3"/>
  <c r="L1585" i="3" s="1"/>
  <c r="J1584" i="3"/>
  <c r="K1584" i="3"/>
  <c r="L1584" i="3" s="1"/>
  <c r="L1583" i="3"/>
  <c r="K1583" i="3"/>
  <c r="J1583" i="3"/>
  <c r="L1582" i="3"/>
  <c r="K1582" i="3"/>
  <c r="J1582" i="3"/>
  <c r="L1581" i="3"/>
  <c r="K1581" i="3"/>
  <c r="J1581" i="3"/>
  <c r="J1580" i="3"/>
  <c r="K1580" i="3"/>
  <c r="L1580" i="3" s="1"/>
  <c r="K1579" i="3"/>
  <c r="J1579" i="3"/>
  <c r="L1579" i="3"/>
  <c r="J1578" i="3"/>
  <c r="L1578" i="3"/>
  <c r="K1578" i="3"/>
  <c r="J1577" i="3"/>
  <c r="L1577" i="3"/>
  <c r="K1577" i="3"/>
  <c r="J1576" i="3"/>
  <c r="K1576" i="3"/>
  <c r="L1576" i="3" s="1"/>
  <c r="K1575" i="3"/>
  <c r="L1575" i="3"/>
  <c r="J1575" i="3"/>
  <c r="J1574" i="3"/>
  <c r="K1574" i="3"/>
  <c r="L1574" i="3" s="1"/>
  <c r="L1573" i="3"/>
  <c r="K1573" i="3"/>
  <c r="J1573" i="3"/>
  <c r="L1572" i="3"/>
  <c r="K1572" i="3"/>
  <c r="J1572" i="3"/>
  <c r="K1571" i="3"/>
  <c r="L1571" i="3"/>
  <c r="J1571" i="3"/>
  <c r="D25" i="7"/>
  <c r="K1570" i="3"/>
  <c r="L1570" i="3" s="1"/>
  <c r="J1570" i="3"/>
  <c r="L1569" i="3"/>
  <c r="K1569" i="3"/>
  <c r="J1569" i="3"/>
  <c r="L1568" i="3"/>
  <c r="K1568" i="3"/>
  <c r="J1568" i="3"/>
  <c r="K1567" i="3"/>
  <c r="L1567" i="3" s="1"/>
  <c r="J1567" i="3"/>
  <c r="K1566" i="3"/>
  <c r="L1566" i="3" s="1"/>
  <c r="J1566" i="3"/>
  <c r="J1565" i="3"/>
  <c r="K1565" i="3"/>
  <c r="L1565" i="3"/>
  <c r="J1564" i="3"/>
  <c r="K1564" i="3"/>
  <c r="L1564" i="3"/>
  <c r="J1563" i="3"/>
  <c r="K1563" i="3"/>
  <c r="L1563" i="3"/>
  <c r="J1562" i="3"/>
  <c r="L1562" i="3"/>
  <c r="K1562" i="3"/>
  <c r="L1561" i="3"/>
  <c r="J1561" i="3"/>
  <c r="K1561" i="3"/>
  <c r="K1560" i="3"/>
  <c r="J1560" i="3"/>
  <c r="L1560" i="3"/>
  <c r="L1559" i="3"/>
  <c r="K1559" i="3"/>
  <c r="J1559" i="3"/>
  <c r="J1558" i="3"/>
  <c r="L1558" i="3"/>
  <c r="K1558" i="3"/>
  <c r="J1557" i="3"/>
  <c r="L1557" i="3"/>
  <c r="K1557" i="3"/>
  <c r="L1556" i="3"/>
  <c r="J1556" i="3"/>
  <c r="K1556" i="3"/>
  <c r="L1555" i="3"/>
  <c r="K1555" i="3"/>
  <c r="J1555" i="3"/>
  <c r="J1554" i="3"/>
  <c r="L1554" i="3"/>
  <c r="K1554" i="3"/>
  <c r="J1553" i="3"/>
  <c r="L1553" i="3"/>
  <c r="K1553" i="3"/>
  <c r="J1552" i="3"/>
  <c r="K1552" i="3"/>
  <c r="L1552" i="3"/>
  <c r="K1551" i="3"/>
  <c r="L1551" i="3"/>
  <c r="J1551" i="3"/>
  <c r="J1550" i="3"/>
  <c r="K1550" i="3"/>
  <c r="L1550" i="3"/>
  <c r="J1549" i="3"/>
  <c r="K1549" i="3"/>
  <c r="L1549" i="3" s="1"/>
  <c r="L1548" i="3"/>
  <c r="K1548" i="3"/>
  <c r="J1548" i="3"/>
  <c r="J1547" i="3"/>
  <c r="K1547" i="3"/>
  <c r="L1547" i="3" s="1"/>
  <c r="K1546" i="3"/>
  <c r="L1546" i="3"/>
  <c r="J1546" i="3"/>
  <c r="J1545" i="3"/>
  <c r="K1545" i="3"/>
  <c r="L1545" i="3"/>
  <c r="J1544" i="3"/>
  <c r="K1544" i="3"/>
  <c r="L1544" i="3"/>
  <c r="K1543" i="3"/>
  <c r="L1543" i="3" s="1"/>
  <c r="J1543" i="3"/>
  <c r="K1542" i="3"/>
  <c r="J1542" i="3"/>
  <c r="L1542" i="3"/>
  <c r="L1541" i="3"/>
  <c r="K1541" i="3"/>
  <c r="J1541" i="3"/>
  <c r="J1540" i="3"/>
  <c r="L1540" i="3"/>
  <c r="K1540" i="3"/>
  <c r="K1539" i="3"/>
  <c r="J1539" i="3"/>
  <c r="L1539" i="3"/>
  <c r="K1538" i="3"/>
  <c r="L1538" i="3" s="1"/>
  <c r="J1538" i="3"/>
  <c r="K1537" i="3"/>
  <c r="L1537" i="3"/>
  <c r="J1537" i="3"/>
  <c r="J1536" i="3"/>
  <c r="L1536" i="3"/>
  <c r="K1536" i="3"/>
  <c r="K1535" i="3"/>
  <c r="J1535" i="3"/>
  <c r="L1535" i="3"/>
  <c r="L1534" i="3"/>
  <c r="J1534" i="3"/>
  <c r="K1534" i="3"/>
  <c r="J1533" i="3"/>
  <c r="K1533" i="3"/>
  <c r="L1533" i="3"/>
  <c r="K1532" i="3"/>
  <c r="J1532" i="3"/>
  <c r="L1532" i="3"/>
  <c r="L1531" i="3"/>
  <c r="K1531" i="3"/>
  <c r="J1531" i="3"/>
  <c r="L1530" i="3"/>
  <c r="K1530" i="3"/>
  <c r="J1530" i="3"/>
  <c r="L1529" i="3"/>
  <c r="K1529" i="3"/>
  <c r="J1529" i="3"/>
  <c r="J1528" i="3"/>
  <c r="K1528" i="3"/>
  <c r="L1528" i="3" s="1"/>
  <c r="K1527" i="3"/>
  <c r="L1527" i="3"/>
  <c r="J1527" i="3"/>
  <c r="K1526" i="3"/>
  <c r="J1526" i="3"/>
  <c r="L1526" i="3"/>
  <c r="L1525" i="3"/>
  <c r="K1525" i="3"/>
  <c r="J1525" i="3"/>
  <c r="J1524" i="3"/>
  <c r="L1524" i="3"/>
  <c r="K1524" i="3"/>
  <c r="J1523" i="3"/>
  <c r="K1523" i="3"/>
  <c r="L1523" i="3"/>
  <c r="L1522" i="3"/>
  <c r="J1522" i="3"/>
  <c r="K1522" i="3"/>
  <c r="L1521" i="3"/>
  <c r="K1521" i="3"/>
  <c r="J1521" i="3"/>
  <c r="J1520" i="3"/>
  <c r="L1520" i="3"/>
  <c r="K1520" i="3"/>
  <c r="K1519" i="3"/>
  <c r="J1519" i="3"/>
  <c r="L1519" i="3"/>
  <c r="L1518" i="3"/>
  <c r="K1518" i="3"/>
  <c r="J1518" i="3"/>
  <c r="K1517" i="3"/>
  <c r="L1517" i="3"/>
  <c r="J1517" i="3"/>
  <c r="L1516" i="3"/>
  <c r="K1516" i="3"/>
  <c r="J1516" i="3"/>
  <c r="J1515" i="3"/>
  <c r="K1515" i="3"/>
  <c r="L1515" i="3"/>
  <c r="K1514" i="3"/>
  <c r="L1514" i="3"/>
  <c r="J1514" i="3"/>
  <c r="L1513" i="3"/>
  <c r="K1513" i="3"/>
  <c r="J1513" i="3"/>
  <c r="J1512" i="3"/>
  <c r="K1512" i="3"/>
  <c r="L1512" i="3"/>
  <c r="J1511" i="3"/>
  <c r="K1511" i="3"/>
  <c r="L1511" i="3"/>
  <c r="J1510" i="3"/>
  <c r="K1510" i="3"/>
  <c r="L1510" i="3"/>
  <c r="J1509" i="3"/>
  <c r="L1509" i="3"/>
  <c r="K1509" i="3"/>
  <c r="J1508" i="3"/>
  <c r="K1508" i="3"/>
  <c r="L1508" i="3" s="1"/>
  <c r="J1507" i="3"/>
  <c r="K1507" i="3"/>
  <c r="L1507" i="3" s="1"/>
  <c r="J1506" i="3"/>
  <c r="K1506" i="3"/>
  <c r="L1506" i="3"/>
  <c r="J1505" i="3"/>
  <c r="K1505" i="3"/>
  <c r="L1505" i="3" s="1"/>
  <c r="J1504" i="3"/>
  <c r="K1504" i="3"/>
  <c r="L1504" i="3"/>
  <c r="K1503" i="3"/>
  <c r="L1503" i="3" s="1"/>
  <c r="J1503" i="3"/>
  <c r="K1502" i="3"/>
  <c r="L1502" i="3" s="1"/>
  <c r="J1502" i="3"/>
  <c r="J1501" i="3"/>
  <c r="L1501" i="3"/>
  <c r="K1501" i="3"/>
  <c r="K1500" i="3"/>
  <c r="L1500" i="3" s="1"/>
  <c r="J1500" i="3"/>
  <c r="L1499" i="3"/>
  <c r="K1499" i="3"/>
  <c r="J1499" i="3"/>
  <c r="J1498" i="3"/>
  <c r="L1498" i="3"/>
  <c r="K1498" i="3"/>
  <c r="K1497" i="3"/>
  <c r="J1497" i="3"/>
  <c r="L1497" i="3"/>
  <c r="K1496" i="3"/>
  <c r="L1496" i="3" s="1"/>
  <c r="J1496" i="3"/>
  <c r="K1495" i="3"/>
  <c r="L1495" i="3" s="1"/>
  <c r="J1495" i="3"/>
  <c r="J1494" i="3"/>
  <c r="K1494" i="3"/>
  <c r="L1494" i="3" s="1"/>
  <c r="L1493" i="3"/>
  <c r="K1493" i="3"/>
  <c r="J1493" i="3"/>
  <c r="K1492" i="3"/>
  <c r="L1492" i="3" s="1"/>
  <c r="J1492" i="3"/>
  <c r="K1491" i="3"/>
  <c r="L1491" i="3" s="1"/>
  <c r="J1491" i="3"/>
  <c r="J1490" i="3"/>
  <c r="L1490" i="3"/>
  <c r="K1490" i="3"/>
  <c r="J1489" i="3"/>
  <c r="K1489" i="3"/>
  <c r="L1489" i="3" s="1"/>
  <c r="J1488" i="3"/>
  <c r="K1488" i="3"/>
  <c r="L1488" i="3"/>
  <c r="J1487" i="3"/>
  <c r="K1487" i="3"/>
  <c r="L1487" i="3"/>
  <c r="J1486" i="3"/>
  <c r="K1486" i="3"/>
  <c r="L1486" i="3" s="1"/>
  <c r="D24" i="7"/>
  <c r="J1485" i="3"/>
  <c r="K1485" i="3"/>
  <c r="L1485" i="3"/>
  <c r="J1484" i="3"/>
  <c r="K1484" i="3"/>
  <c r="L1484" i="3" s="1"/>
  <c r="L1483" i="3"/>
  <c r="J1483" i="3"/>
  <c r="K1483" i="3"/>
  <c r="J1482" i="3"/>
  <c r="K1482" i="3"/>
  <c r="L1482" i="3"/>
  <c r="J1481" i="3"/>
  <c r="L1481" i="3"/>
  <c r="K1481" i="3"/>
  <c r="J1480" i="3"/>
  <c r="K1480" i="3"/>
  <c r="L1480" i="3"/>
  <c r="J1479" i="3"/>
  <c r="L1479" i="3"/>
  <c r="K1479" i="3"/>
  <c r="J1478" i="3"/>
  <c r="K1478" i="3"/>
  <c r="L1478" i="3"/>
  <c r="K1477" i="3"/>
  <c r="J1477" i="3"/>
  <c r="L1477" i="3"/>
  <c r="J1476" i="3"/>
  <c r="K1476" i="3"/>
  <c r="L1476" i="3"/>
  <c r="K1475" i="3"/>
  <c r="L1475" i="3"/>
  <c r="J1475" i="3"/>
  <c r="K1474" i="3"/>
  <c r="L1474" i="3" s="1"/>
  <c r="J1474" i="3"/>
  <c r="K1473" i="3"/>
  <c r="L1473" i="3" s="1"/>
  <c r="J1473" i="3"/>
  <c r="L1472" i="3"/>
  <c r="K1472" i="3"/>
  <c r="J1472" i="3"/>
  <c r="K1471" i="3"/>
  <c r="J1471" i="3"/>
  <c r="L1471" i="3"/>
  <c r="J1470" i="3"/>
  <c r="K1470" i="3"/>
  <c r="L1470" i="3"/>
  <c r="L1469" i="3"/>
  <c r="K1469" i="3"/>
  <c r="J1469" i="3"/>
  <c r="K1468" i="3"/>
  <c r="J1468" i="3"/>
  <c r="L1468" i="3"/>
  <c r="J1467" i="3"/>
  <c r="K1467" i="3"/>
  <c r="L1467" i="3" s="1"/>
  <c r="L1466" i="3"/>
  <c r="J1466" i="3"/>
  <c r="K1466" i="3"/>
  <c r="J1465" i="3"/>
  <c r="K1465" i="3"/>
  <c r="L1465" i="3" s="1"/>
  <c r="J1464" i="3"/>
  <c r="K1464" i="3"/>
  <c r="L1464" i="3"/>
  <c r="J1463" i="3"/>
  <c r="L1463" i="3"/>
  <c r="K1463" i="3"/>
  <c r="L1462" i="3"/>
  <c r="K1462" i="3"/>
  <c r="J1462" i="3"/>
  <c r="J1461" i="3"/>
  <c r="K1461" i="3"/>
  <c r="L1461" i="3" s="1"/>
  <c r="K1460" i="3"/>
  <c r="L1460" i="3"/>
  <c r="J1460" i="3"/>
  <c r="K1459" i="3"/>
  <c r="J1459" i="3"/>
  <c r="L1459" i="3"/>
  <c r="J1458" i="3"/>
  <c r="L1458" i="3"/>
  <c r="K1458" i="3"/>
  <c r="J1457" i="3"/>
  <c r="L1457" i="3"/>
  <c r="K1457" i="3"/>
  <c r="J1456" i="3"/>
  <c r="K1456" i="3"/>
  <c r="L1456" i="3"/>
  <c r="J1455" i="3"/>
  <c r="K1455" i="3"/>
  <c r="L1455" i="3"/>
  <c r="J1454" i="3"/>
  <c r="K1454" i="3"/>
  <c r="L1454" i="3"/>
  <c r="J1453" i="3"/>
  <c r="K1453" i="3"/>
  <c r="L1453" i="3"/>
  <c r="J1452" i="3"/>
  <c r="K1452" i="3"/>
  <c r="L1452" i="3" s="1"/>
  <c r="K1451" i="3"/>
  <c r="L1451" i="3" s="1"/>
  <c r="J1451" i="3"/>
  <c r="K1450" i="3"/>
  <c r="L1450" i="3" s="1"/>
  <c r="J1450" i="3"/>
  <c r="L1449" i="3"/>
  <c r="K1449" i="3"/>
  <c r="J1449" i="3"/>
  <c r="L1448" i="3"/>
  <c r="J1448" i="3"/>
  <c r="K1448" i="3"/>
  <c r="L1447" i="3"/>
  <c r="J1447" i="3"/>
  <c r="K1447" i="3"/>
  <c r="J1446" i="3"/>
  <c r="K1446" i="3"/>
  <c r="L1446" i="3"/>
  <c r="J1445" i="3"/>
  <c r="L1445" i="3"/>
  <c r="K1445" i="3"/>
  <c r="L1444" i="3"/>
  <c r="K1444" i="3"/>
  <c r="J1444" i="3"/>
  <c r="K1443" i="3"/>
  <c r="J1443" i="3"/>
  <c r="L1443" i="3"/>
  <c r="L1442" i="3"/>
  <c r="K1442" i="3"/>
  <c r="J1442" i="3"/>
  <c r="J1441" i="3"/>
  <c r="K1441" i="3"/>
  <c r="L1441" i="3"/>
  <c r="K1440" i="3"/>
  <c r="L1440" i="3" s="1"/>
  <c r="J1440" i="3"/>
  <c r="J1439" i="3"/>
  <c r="K1439" i="3"/>
  <c r="L1439" i="3" s="1"/>
  <c r="J1438" i="3"/>
  <c r="K1438" i="3"/>
  <c r="L1438" i="3"/>
  <c r="J1437" i="3"/>
  <c r="K1437" i="3"/>
  <c r="L1437" i="3"/>
  <c r="J1436" i="3"/>
  <c r="L1436" i="3"/>
  <c r="K1436" i="3"/>
  <c r="K1435" i="3"/>
  <c r="L1435" i="3" s="1"/>
  <c r="J1435" i="3"/>
  <c r="K1434" i="3"/>
  <c r="L1434" i="3"/>
  <c r="J1434" i="3"/>
  <c r="L1433" i="3"/>
  <c r="K1433" i="3"/>
  <c r="J1433" i="3"/>
  <c r="J1432" i="3"/>
  <c r="L1432" i="3"/>
  <c r="K1432" i="3"/>
  <c r="J1431" i="3"/>
  <c r="K1431" i="3"/>
  <c r="L1431" i="3"/>
  <c r="L1430" i="3"/>
  <c r="K1430" i="3"/>
  <c r="J1430" i="3"/>
  <c r="L1429" i="3"/>
  <c r="J1429" i="3"/>
  <c r="K1429" i="3"/>
  <c r="K1428" i="3"/>
  <c r="L1428" i="3"/>
  <c r="J1428" i="3"/>
  <c r="K1427" i="3"/>
  <c r="L1427" i="3"/>
  <c r="J1427" i="3"/>
  <c r="K1426" i="3"/>
  <c r="L1426" i="3"/>
  <c r="J1426" i="3"/>
  <c r="L1425" i="3"/>
  <c r="J1425" i="3"/>
  <c r="K1425" i="3"/>
  <c r="L1424" i="3"/>
  <c r="K1424" i="3"/>
  <c r="J1424" i="3"/>
  <c r="K1423" i="3"/>
  <c r="L1423" i="3"/>
  <c r="J1423" i="3"/>
  <c r="K1422" i="3"/>
  <c r="J1422" i="3"/>
  <c r="L1422" i="3"/>
  <c r="K1421" i="3"/>
  <c r="L1421" i="3"/>
  <c r="J1421" i="3"/>
  <c r="J1420" i="3"/>
  <c r="K1420" i="3"/>
  <c r="L1420" i="3" s="1"/>
  <c r="J1419" i="3"/>
  <c r="K1419" i="3"/>
  <c r="L1419" i="3"/>
  <c r="J1418" i="3"/>
  <c r="L1418" i="3"/>
  <c r="K1418" i="3"/>
  <c r="J1417" i="3"/>
  <c r="K1417" i="3"/>
  <c r="L1417" i="3"/>
  <c r="L1416" i="3"/>
  <c r="K1416" i="3"/>
  <c r="J1416" i="3"/>
  <c r="J1415" i="3"/>
  <c r="K1415" i="3"/>
  <c r="L1415" i="3"/>
  <c r="J1414" i="3"/>
  <c r="K1414" i="3"/>
  <c r="L1414" i="3" s="1"/>
  <c r="D23" i="7"/>
  <c r="K1413" i="3"/>
  <c r="J1413" i="3"/>
  <c r="L1413" i="3"/>
  <c r="K1412" i="3"/>
  <c r="J1412" i="3"/>
  <c r="L1412" i="3"/>
  <c r="K1411" i="3"/>
  <c r="J1411" i="3"/>
  <c r="L1411" i="3"/>
  <c r="J1410" i="3"/>
  <c r="K1410" i="3"/>
  <c r="L1410" i="3"/>
  <c r="K1409" i="3"/>
  <c r="L1409" i="3"/>
  <c r="J1409" i="3"/>
  <c r="K1408" i="3"/>
  <c r="L1408" i="3" s="1"/>
  <c r="J1408" i="3"/>
  <c r="K1407" i="3"/>
  <c r="L1407" i="3" s="1"/>
  <c r="J1407" i="3"/>
  <c r="K1406" i="3"/>
  <c r="L1406" i="3"/>
  <c r="J1406" i="3"/>
  <c r="J1405" i="3"/>
  <c r="L1405" i="3"/>
  <c r="K1405" i="3"/>
  <c r="J1404" i="3"/>
  <c r="K1404" i="3"/>
  <c r="L1404" i="3"/>
  <c r="L1403" i="3"/>
  <c r="J1403" i="3"/>
  <c r="K1403" i="3"/>
  <c r="L1402" i="3"/>
  <c r="J1402" i="3"/>
  <c r="K1402" i="3"/>
  <c r="K1401" i="3"/>
  <c r="J1401" i="3"/>
  <c r="L1401" i="3"/>
  <c r="L1400" i="3"/>
  <c r="J1400" i="3"/>
  <c r="K1400" i="3"/>
  <c r="J1399" i="3"/>
  <c r="K1399" i="3"/>
  <c r="L1399" i="3" s="1"/>
  <c r="K1398" i="3"/>
  <c r="J1398" i="3"/>
  <c r="L1398" i="3"/>
  <c r="K1397" i="3"/>
  <c r="L1397" i="3" s="1"/>
  <c r="J1397" i="3"/>
  <c r="K1396" i="3"/>
  <c r="J1396" i="3"/>
  <c r="L1396" i="3"/>
  <c r="J1395" i="3"/>
  <c r="K1395" i="3"/>
  <c r="L1395" i="3" s="1"/>
  <c r="L1394" i="3"/>
  <c r="J1394" i="3"/>
  <c r="K1394" i="3"/>
  <c r="J1393" i="3"/>
  <c r="K1393" i="3"/>
  <c r="L1393" i="3" s="1"/>
  <c r="K1392" i="3"/>
  <c r="L1392" i="3"/>
  <c r="J1392" i="3"/>
  <c r="K1391" i="3"/>
  <c r="L1391" i="3" s="1"/>
  <c r="J1391" i="3"/>
  <c r="L1390" i="3"/>
  <c r="K1390" i="3"/>
  <c r="J1390" i="3"/>
  <c r="J1389" i="3"/>
  <c r="K1389" i="3"/>
  <c r="L1389" i="3"/>
  <c r="J1388" i="3"/>
  <c r="L1388" i="3"/>
  <c r="K1388" i="3"/>
  <c r="J1387" i="3"/>
  <c r="K1387" i="3"/>
  <c r="L1387" i="3" s="1"/>
  <c r="K1386" i="3"/>
  <c r="L1386" i="3" s="1"/>
  <c r="J1386" i="3"/>
  <c r="J1385" i="3"/>
  <c r="K1385" i="3"/>
  <c r="L1385" i="3"/>
  <c r="K1384" i="3"/>
  <c r="J1384" i="3"/>
  <c r="L1384" i="3"/>
  <c r="K1383" i="3"/>
  <c r="L1383" i="3"/>
  <c r="J1383" i="3"/>
  <c r="K1382" i="3"/>
  <c r="L1382" i="3"/>
  <c r="J1382" i="3"/>
  <c r="J1381" i="3"/>
  <c r="L1381" i="3"/>
  <c r="K1381" i="3"/>
  <c r="K1380" i="3"/>
  <c r="J1380" i="3"/>
  <c r="L1380" i="3"/>
  <c r="J1379" i="3"/>
  <c r="L1379" i="3"/>
  <c r="K1379" i="3"/>
  <c r="J1378" i="3"/>
  <c r="K1378" i="3"/>
  <c r="L1378" i="3"/>
  <c r="K1377" i="3"/>
  <c r="L1377" i="3"/>
  <c r="J1377" i="3"/>
  <c r="K1376" i="3"/>
  <c r="L1376" i="3"/>
  <c r="J1376" i="3"/>
  <c r="J1375" i="3"/>
  <c r="K1375" i="3"/>
  <c r="L1375" i="3"/>
  <c r="K1374" i="3"/>
  <c r="L1374" i="3"/>
  <c r="J1374" i="3"/>
  <c r="K1373" i="3"/>
  <c r="L1373" i="3" s="1"/>
  <c r="J1373" i="3"/>
  <c r="L1372" i="3"/>
  <c r="K1372" i="3"/>
  <c r="J1372" i="3"/>
  <c r="L1371" i="3"/>
  <c r="J1371" i="3"/>
  <c r="K1371" i="3"/>
  <c r="L1370" i="3"/>
  <c r="J1370" i="3"/>
  <c r="K1370" i="3"/>
  <c r="K1369" i="3"/>
  <c r="J1369" i="3"/>
  <c r="L1369" i="3"/>
  <c r="J1368" i="3"/>
  <c r="K1368" i="3"/>
  <c r="L1368" i="3" s="1"/>
  <c r="K1367" i="3"/>
  <c r="L1367" i="3"/>
  <c r="J1367" i="3"/>
  <c r="J1366" i="3"/>
  <c r="L1366" i="3"/>
  <c r="K1366" i="3"/>
  <c r="L1365" i="3"/>
  <c r="K1365" i="3"/>
  <c r="J1365" i="3"/>
  <c r="J1364" i="3"/>
  <c r="L1364" i="3"/>
  <c r="K1364" i="3"/>
  <c r="K1363" i="3"/>
  <c r="L1363" i="3" s="1"/>
  <c r="J1363" i="3"/>
  <c r="K1362" i="3"/>
  <c r="L1362" i="3"/>
  <c r="J1362" i="3"/>
  <c r="K1361" i="3"/>
  <c r="J1361" i="3"/>
  <c r="L1361" i="3"/>
  <c r="J1360" i="3"/>
  <c r="L1360" i="3"/>
  <c r="K1360" i="3"/>
  <c r="J1359" i="3"/>
  <c r="L1359" i="3"/>
  <c r="K1359" i="3"/>
  <c r="L1358" i="3"/>
  <c r="J1358" i="3"/>
  <c r="K1358" i="3"/>
  <c r="L1357" i="3"/>
  <c r="K1357" i="3"/>
  <c r="J1357" i="3"/>
  <c r="J1356" i="3"/>
  <c r="K1356" i="3"/>
  <c r="L1356" i="3" s="1"/>
  <c r="L1355" i="3"/>
  <c r="K1355" i="3"/>
  <c r="J1355" i="3"/>
  <c r="K1354" i="3"/>
  <c r="L1354" i="3"/>
  <c r="J1354" i="3"/>
  <c r="D22" i="7"/>
  <c r="K1353" i="3"/>
  <c r="L1353" i="3" s="1"/>
  <c r="J1353" i="3"/>
  <c r="J1352" i="3"/>
  <c r="K1352" i="3"/>
  <c r="L1352" i="3" s="1"/>
  <c r="L1351" i="3"/>
  <c r="J1351" i="3"/>
  <c r="K1351" i="3"/>
  <c r="L1350" i="3"/>
  <c r="K1350" i="3"/>
  <c r="J1350" i="3"/>
  <c r="K1349" i="3"/>
  <c r="L1349" i="3" s="1"/>
  <c r="J1349" i="3"/>
  <c r="K1348" i="3"/>
  <c r="L1348" i="3" s="1"/>
  <c r="J1348" i="3"/>
  <c r="K1347" i="3"/>
  <c r="L1347" i="3"/>
  <c r="J1347" i="3"/>
  <c r="L1346" i="3"/>
  <c r="K1346" i="3"/>
  <c r="J1346" i="3"/>
  <c r="L1345" i="3"/>
  <c r="K1345" i="3"/>
  <c r="J1345" i="3"/>
  <c r="K1344" i="3"/>
  <c r="L1344" i="3"/>
  <c r="J1344" i="3"/>
  <c r="K1343" i="3"/>
  <c r="L1343" i="3"/>
  <c r="J1343" i="3"/>
  <c r="L1342" i="3"/>
  <c r="K1342" i="3"/>
  <c r="J1342" i="3"/>
  <c r="K1341" i="3"/>
  <c r="L1341" i="3"/>
  <c r="J1341" i="3"/>
  <c r="J1340" i="3"/>
  <c r="L1340" i="3"/>
  <c r="K1340" i="3"/>
  <c r="J1339" i="3"/>
  <c r="L1339" i="3"/>
  <c r="K1339" i="3"/>
  <c r="J1338" i="3"/>
  <c r="L1338" i="3"/>
  <c r="K1338" i="3"/>
  <c r="L1337" i="3"/>
  <c r="K1337" i="3"/>
  <c r="J1337" i="3"/>
  <c r="K1336" i="3"/>
  <c r="J1336" i="3"/>
  <c r="L1336" i="3"/>
  <c r="J1335" i="3"/>
  <c r="K1335" i="3"/>
  <c r="L1335" i="3"/>
  <c r="K1334" i="3"/>
  <c r="L1334" i="3" s="1"/>
  <c r="J1334" i="3"/>
  <c r="K1333" i="3"/>
  <c r="L1333" i="3"/>
  <c r="J1333" i="3"/>
  <c r="K1332" i="3"/>
  <c r="L1332" i="3" s="1"/>
  <c r="J1332" i="3"/>
  <c r="K1331" i="3"/>
  <c r="L1331" i="3"/>
  <c r="J1331" i="3"/>
  <c r="J1330" i="3"/>
  <c r="K1330" i="3"/>
  <c r="L1330" i="3" s="1"/>
  <c r="J1329" i="3"/>
  <c r="L1329" i="3"/>
  <c r="K1329" i="3"/>
  <c r="L1328" i="3"/>
  <c r="K1328" i="3"/>
  <c r="J1328" i="3"/>
  <c r="J1327" i="3"/>
  <c r="L1327" i="3"/>
  <c r="K1327" i="3"/>
  <c r="J1326" i="3"/>
  <c r="K1326" i="3"/>
  <c r="L1326" i="3" s="1"/>
  <c r="K1325" i="3"/>
  <c r="L1325" i="3"/>
  <c r="J1325" i="3"/>
  <c r="J1324" i="3"/>
  <c r="K1324" i="3"/>
  <c r="L1324" i="3" s="1"/>
  <c r="K1323" i="3"/>
  <c r="L1323" i="3" s="1"/>
  <c r="J1323" i="3"/>
  <c r="K1322" i="3"/>
  <c r="L1322" i="3"/>
  <c r="J1322" i="3"/>
  <c r="L1321" i="3"/>
  <c r="J1321" i="3"/>
  <c r="K1321" i="3"/>
  <c r="J1320" i="3"/>
  <c r="K1320" i="3"/>
  <c r="L1320" i="3"/>
  <c r="J1319" i="3"/>
  <c r="K1319" i="3"/>
  <c r="L1319" i="3" s="1"/>
  <c r="K1318" i="3"/>
  <c r="L1318" i="3" s="1"/>
  <c r="J1318" i="3"/>
  <c r="J1317" i="3"/>
  <c r="K1317" i="3"/>
  <c r="L1317" i="3" s="1"/>
  <c r="J1316" i="3"/>
  <c r="L1316" i="3"/>
  <c r="K1316" i="3"/>
  <c r="K1315" i="3"/>
  <c r="L1315" i="3" s="1"/>
  <c r="J1315" i="3"/>
  <c r="K1314" i="3"/>
  <c r="J1314" i="3"/>
  <c r="L1314" i="3"/>
  <c r="J1313" i="3"/>
  <c r="K1313" i="3"/>
  <c r="L1313" i="3" s="1"/>
  <c r="L1312" i="3"/>
  <c r="J1312" i="3"/>
  <c r="K1312" i="3"/>
  <c r="K1311" i="3"/>
  <c r="L1311" i="3" s="1"/>
  <c r="J1311" i="3"/>
  <c r="K1310" i="3"/>
  <c r="L1310" i="3" s="1"/>
  <c r="J1310" i="3"/>
  <c r="J1309" i="3"/>
  <c r="K1309" i="3"/>
  <c r="L1309" i="3" s="1"/>
  <c r="K1308" i="3"/>
  <c r="L1308" i="3"/>
  <c r="J1308" i="3"/>
  <c r="L1307" i="3"/>
  <c r="K1307" i="3"/>
  <c r="J1307" i="3"/>
  <c r="J1306" i="3"/>
  <c r="K1306" i="3"/>
  <c r="L1306" i="3" s="1"/>
  <c r="L1305" i="3"/>
  <c r="K1305" i="3"/>
  <c r="J1305" i="3"/>
  <c r="K1304" i="3"/>
  <c r="L1304" i="3" s="1"/>
  <c r="J1304" i="3"/>
  <c r="L1303" i="3"/>
  <c r="K1303" i="3"/>
  <c r="J1303" i="3"/>
  <c r="J1302" i="3"/>
  <c r="K1302" i="3"/>
  <c r="L1302" i="3"/>
  <c r="K1301" i="3"/>
  <c r="L1301" i="3"/>
  <c r="J1301" i="3"/>
  <c r="D21" i="7"/>
  <c r="L1299" i="3"/>
  <c r="K1299" i="3"/>
  <c r="J1299" i="3"/>
  <c r="J1298" i="3"/>
  <c r="L1298" i="3"/>
  <c r="K1298" i="3"/>
  <c r="K1297" i="3"/>
  <c r="L1297" i="3" s="1"/>
  <c r="J1297" i="3"/>
  <c r="L1296" i="3"/>
  <c r="K1296" i="3"/>
  <c r="J1296" i="3"/>
  <c r="K1295" i="3"/>
  <c r="L1295" i="3" s="1"/>
  <c r="J1295" i="3"/>
  <c r="K1294" i="3"/>
  <c r="L1294" i="3" s="1"/>
  <c r="J1294" i="3"/>
  <c r="L1293" i="3"/>
  <c r="J1293" i="3"/>
  <c r="K1293" i="3"/>
  <c r="K1292" i="3"/>
  <c r="L1292" i="3"/>
  <c r="J1292" i="3"/>
  <c r="K1291" i="3"/>
  <c r="L1291" i="3"/>
  <c r="J1291" i="3"/>
  <c r="J1290" i="3"/>
  <c r="K1290" i="3"/>
  <c r="L1290" i="3"/>
  <c r="L1289" i="3"/>
  <c r="K1289" i="3"/>
  <c r="J1289" i="3"/>
  <c r="L1288" i="3"/>
  <c r="K1288" i="3"/>
  <c r="J1288" i="3"/>
  <c r="L1287" i="3"/>
  <c r="K1287" i="3"/>
  <c r="J1287" i="3"/>
  <c r="J1286" i="3"/>
  <c r="K1286" i="3"/>
  <c r="L1286" i="3" s="1"/>
  <c r="J1285" i="3"/>
  <c r="K1285" i="3"/>
  <c r="L1285" i="3" s="1"/>
  <c r="J1284" i="3"/>
  <c r="L1284" i="3"/>
  <c r="K1284" i="3"/>
  <c r="K1283" i="3"/>
  <c r="L1283" i="3"/>
  <c r="J1283" i="3"/>
  <c r="J1282" i="3"/>
  <c r="K1282" i="3"/>
  <c r="L1282" i="3"/>
  <c r="J1281" i="3"/>
  <c r="K1281" i="3"/>
  <c r="L1281" i="3" s="1"/>
  <c r="L1280" i="3"/>
  <c r="K1280" i="3"/>
  <c r="J1280" i="3"/>
  <c r="K1279" i="3"/>
  <c r="L1279" i="3" s="1"/>
  <c r="J1279" i="3"/>
  <c r="L1278" i="3"/>
  <c r="K1278" i="3"/>
  <c r="J1278" i="3"/>
  <c r="K1277" i="3"/>
  <c r="J1277" i="3"/>
  <c r="L1277" i="3"/>
  <c r="L1276" i="3"/>
  <c r="K1276" i="3"/>
  <c r="J1276" i="3"/>
  <c r="L1275" i="3"/>
  <c r="K1275" i="3"/>
  <c r="J1275" i="3"/>
  <c r="L1274" i="3"/>
  <c r="K1274" i="3"/>
  <c r="J1274" i="3"/>
  <c r="K1273" i="3"/>
  <c r="J1273" i="3"/>
  <c r="L1273" i="3"/>
  <c r="L1272" i="3"/>
  <c r="K1272" i="3"/>
  <c r="J1272" i="3"/>
  <c r="L1271" i="3"/>
  <c r="J1271" i="3"/>
  <c r="K1271" i="3"/>
  <c r="J1270" i="3"/>
  <c r="K1270" i="3"/>
  <c r="L1270" i="3"/>
  <c r="J1269" i="3"/>
  <c r="K1269" i="3"/>
  <c r="L1269" i="3"/>
  <c r="K1268" i="3"/>
  <c r="L1268" i="3" s="1"/>
  <c r="J1268" i="3"/>
  <c r="L1267" i="3"/>
  <c r="K1267" i="3"/>
  <c r="J1267" i="3"/>
  <c r="J1266" i="3"/>
  <c r="K1266" i="3"/>
  <c r="L1266" i="3" s="1"/>
  <c r="J1265" i="3"/>
  <c r="K1265" i="3"/>
  <c r="L1265" i="3"/>
  <c r="J1264" i="3"/>
  <c r="K1264" i="3"/>
  <c r="L1264" i="3" s="1"/>
  <c r="J1263" i="3"/>
  <c r="L1263" i="3"/>
  <c r="K1263" i="3"/>
  <c r="J1262" i="3"/>
  <c r="L1262" i="3"/>
  <c r="K1262" i="3"/>
  <c r="J1261" i="3"/>
  <c r="L1261" i="3"/>
  <c r="K1261" i="3"/>
  <c r="K1260" i="3"/>
  <c r="L1260" i="3" s="1"/>
  <c r="J1260" i="3"/>
  <c r="L1259" i="3"/>
  <c r="J1259" i="3"/>
  <c r="K1259" i="3"/>
  <c r="J1258" i="3"/>
  <c r="K1258" i="3"/>
  <c r="L1258" i="3" s="1"/>
  <c r="J1257" i="3"/>
  <c r="K1257" i="3"/>
  <c r="L1257" i="3" s="1"/>
  <c r="K1256" i="3"/>
  <c r="J1256" i="3"/>
  <c r="L1256" i="3"/>
  <c r="L1255" i="3"/>
  <c r="K1255" i="3"/>
  <c r="J1255" i="3"/>
  <c r="L1254" i="3"/>
  <c r="J1254" i="3"/>
  <c r="K1254" i="3"/>
  <c r="J1253" i="3"/>
  <c r="K1253" i="3"/>
  <c r="L1253" i="3" s="1"/>
  <c r="L1252" i="3"/>
  <c r="K1252" i="3"/>
  <c r="J1252" i="3"/>
  <c r="L1251" i="3"/>
  <c r="K1251" i="3"/>
  <c r="J1251" i="3"/>
  <c r="L1250" i="3"/>
  <c r="K1250" i="3"/>
  <c r="J1250" i="3"/>
  <c r="K1249" i="3"/>
  <c r="L1249" i="3" s="1"/>
  <c r="J1249" i="3"/>
  <c r="K1248" i="3"/>
  <c r="L1248" i="3"/>
  <c r="J1248" i="3"/>
  <c r="L1247" i="3"/>
  <c r="K1247" i="3"/>
  <c r="J1247" i="3"/>
  <c r="L1246" i="3"/>
  <c r="K1246" i="3"/>
  <c r="J1246" i="3"/>
  <c r="L1245" i="3"/>
  <c r="K1245" i="3"/>
  <c r="J1245" i="3"/>
  <c r="L1244" i="3"/>
  <c r="K1244" i="3"/>
  <c r="J1244" i="3"/>
  <c r="L1243" i="3"/>
  <c r="K1243" i="3"/>
  <c r="J1243" i="3"/>
  <c r="K1242" i="3"/>
  <c r="L1242" i="3" s="1"/>
  <c r="J1242" i="3"/>
  <c r="L1241" i="3"/>
  <c r="K1241" i="3"/>
  <c r="J1241" i="3"/>
  <c r="L1240" i="3"/>
  <c r="K1240" i="3"/>
  <c r="J1240" i="3"/>
  <c r="K1239" i="3"/>
  <c r="L1239" i="3" s="1"/>
  <c r="J1239" i="3"/>
  <c r="J1238" i="3"/>
  <c r="K1238" i="3"/>
  <c r="L1238" i="3"/>
  <c r="J1237" i="3"/>
  <c r="K1237" i="3"/>
  <c r="L1237" i="3"/>
  <c r="L1236" i="3"/>
  <c r="K1236" i="3"/>
  <c r="J1236" i="3"/>
  <c r="L1235" i="3"/>
  <c r="K1235" i="3"/>
  <c r="J1235" i="3"/>
  <c r="L1234" i="3"/>
  <c r="K1234" i="3"/>
  <c r="J1234" i="3"/>
  <c r="L1233" i="3"/>
  <c r="J1233" i="3"/>
  <c r="K1233" i="3"/>
  <c r="K1232" i="3"/>
  <c r="L1232" i="3" s="1"/>
  <c r="J1232" i="3"/>
  <c r="K1231" i="3"/>
  <c r="J1231" i="3"/>
  <c r="L1231" i="3"/>
  <c r="L1230" i="3"/>
  <c r="K1230" i="3"/>
  <c r="J1230" i="3"/>
  <c r="L1229" i="3"/>
  <c r="K1229" i="3"/>
  <c r="J1229" i="3"/>
  <c r="K1228" i="3"/>
  <c r="L1228" i="3"/>
  <c r="J1228" i="3"/>
  <c r="J1227" i="3"/>
  <c r="K1227" i="3"/>
  <c r="L1227" i="3" s="1"/>
  <c r="J1226" i="3"/>
  <c r="L1226" i="3"/>
  <c r="K1226" i="3"/>
  <c r="J1225" i="3"/>
  <c r="K1225" i="3"/>
  <c r="L1225" i="3"/>
  <c r="L1224" i="3"/>
  <c r="K1224" i="3"/>
  <c r="J1224" i="3"/>
  <c r="L1223" i="3"/>
  <c r="K1223" i="3"/>
  <c r="J1223" i="3"/>
  <c r="J1222" i="3"/>
  <c r="K1222" i="3"/>
  <c r="L1222" i="3" s="1"/>
  <c r="L1221" i="3"/>
  <c r="K1221" i="3"/>
  <c r="J1221" i="3"/>
  <c r="K1220" i="3"/>
  <c r="L1220" i="3" s="1"/>
  <c r="J1220" i="3"/>
  <c r="L1219" i="3"/>
  <c r="K1219" i="3"/>
  <c r="J1219" i="3"/>
  <c r="L1218" i="3"/>
  <c r="K1218" i="3"/>
  <c r="J1218" i="3"/>
  <c r="K1217" i="3"/>
  <c r="L1217" i="3" s="1"/>
  <c r="J1217" i="3"/>
  <c r="J1216" i="3"/>
  <c r="K1216" i="3"/>
  <c r="L1216" i="3"/>
  <c r="J1215" i="3"/>
  <c r="K1215" i="3"/>
  <c r="L1215" i="3"/>
  <c r="L1214" i="3"/>
  <c r="J1214" i="3"/>
  <c r="K1214" i="3"/>
  <c r="K1213" i="3"/>
  <c r="J1213" i="3"/>
  <c r="L1213" i="3"/>
  <c r="J1212" i="3"/>
  <c r="K1212" i="3"/>
  <c r="L1212" i="3"/>
  <c r="K1211" i="3"/>
  <c r="J1211" i="3"/>
  <c r="L1211" i="3"/>
  <c r="K1210" i="3"/>
  <c r="L1210" i="3" s="1"/>
  <c r="J1210" i="3"/>
  <c r="L1209" i="3"/>
  <c r="K1209" i="3"/>
  <c r="J1209" i="3"/>
  <c r="K1208" i="3"/>
  <c r="L1208" i="3"/>
  <c r="J1208" i="3"/>
  <c r="L1207" i="3"/>
  <c r="K1207" i="3"/>
  <c r="J1207" i="3"/>
  <c r="J1206" i="3"/>
  <c r="L1206" i="3"/>
  <c r="K1206" i="3"/>
  <c r="K1205" i="3"/>
  <c r="L1205" i="3" s="1"/>
  <c r="J1205" i="3"/>
  <c r="K1204" i="3"/>
  <c r="L1204" i="3"/>
  <c r="J1204" i="3"/>
  <c r="J1203" i="3"/>
  <c r="K1203" i="3"/>
  <c r="L1203" i="3" s="1"/>
  <c r="L1202" i="3"/>
  <c r="J1202" i="3"/>
  <c r="K1202" i="3"/>
  <c r="L1201" i="3"/>
  <c r="K1201" i="3"/>
  <c r="J1201" i="3"/>
  <c r="L1200" i="3"/>
  <c r="J1200" i="3"/>
  <c r="K1200" i="3"/>
  <c r="J1199" i="3"/>
  <c r="K1199" i="3"/>
  <c r="L1199" i="3"/>
  <c r="J1198" i="3"/>
  <c r="L1198" i="3"/>
  <c r="K1198" i="3"/>
  <c r="J1197" i="3"/>
  <c r="K1197" i="3"/>
  <c r="L1197" i="3"/>
  <c r="K1196" i="3"/>
  <c r="L1196" i="3" s="1"/>
  <c r="J1196" i="3"/>
  <c r="K1195" i="3"/>
  <c r="J1195" i="3"/>
  <c r="L1195" i="3"/>
  <c r="L1194" i="3"/>
  <c r="K1194" i="3"/>
  <c r="J1194" i="3"/>
  <c r="K1193" i="3"/>
  <c r="L1193" i="3" s="1"/>
  <c r="J1193" i="3"/>
  <c r="J1192" i="3"/>
  <c r="K1192" i="3"/>
  <c r="L1192" i="3"/>
  <c r="L1191" i="3"/>
  <c r="K1191" i="3"/>
  <c r="J1191" i="3"/>
  <c r="L1190" i="3"/>
  <c r="K1190" i="3"/>
  <c r="J1190" i="3"/>
  <c r="L1189" i="3"/>
  <c r="J1189" i="3"/>
  <c r="K1189" i="3"/>
  <c r="K1188" i="3"/>
  <c r="L1188" i="3" s="1"/>
  <c r="J1188" i="3"/>
  <c r="L1187" i="3"/>
  <c r="K1187" i="3"/>
  <c r="J1187" i="3"/>
  <c r="L1186" i="3"/>
  <c r="K1186" i="3"/>
  <c r="J1186" i="3"/>
  <c r="J1185" i="3"/>
  <c r="K1185" i="3"/>
  <c r="L1185" i="3"/>
  <c r="J1184" i="3"/>
  <c r="K1184" i="3"/>
  <c r="L1184" i="3"/>
  <c r="J1183" i="3"/>
  <c r="K1183" i="3"/>
  <c r="L1183" i="3"/>
  <c r="J1182" i="3"/>
  <c r="K1182" i="3"/>
  <c r="L1182" i="3"/>
  <c r="K1181" i="3"/>
  <c r="L1181" i="3" s="1"/>
  <c r="J1181" i="3"/>
  <c r="L1180" i="3"/>
  <c r="K1180" i="3"/>
  <c r="J1180" i="3"/>
  <c r="L1179" i="3"/>
  <c r="K1179" i="3"/>
  <c r="J1179" i="3"/>
  <c r="K1178" i="3"/>
  <c r="L1178" i="3" s="1"/>
  <c r="J1178" i="3"/>
  <c r="J1177" i="3"/>
  <c r="K1177" i="3"/>
  <c r="L1177" i="3"/>
  <c r="J1176" i="3"/>
  <c r="K1176" i="3"/>
  <c r="L1176" i="3" s="1"/>
  <c r="J1175" i="3"/>
  <c r="K1175" i="3"/>
  <c r="L1175" i="3" s="1"/>
  <c r="K1174" i="3"/>
  <c r="L1174" i="3" s="1"/>
  <c r="J1174" i="3"/>
  <c r="K1173" i="3"/>
  <c r="J1173" i="3"/>
  <c r="L1173" i="3"/>
  <c r="K1172" i="3"/>
  <c r="L1172" i="3"/>
  <c r="J1172" i="3"/>
  <c r="L1171" i="3"/>
  <c r="J1171" i="3"/>
  <c r="K1171" i="3"/>
  <c r="L1170" i="3"/>
  <c r="K1170" i="3"/>
  <c r="J1170" i="3"/>
  <c r="K1169" i="3"/>
  <c r="L1169" i="3" s="1"/>
  <c r="J1169" i="3"/>
  <c r="L1168" i="3"/>
  <c r="K1168" i="3"/>
  <c r="J1168" i="3"/>
  <c r="K1167" i="3"/>
  <c r="L1167" i="3" s="1"/>
  <c r="J1167" i="3"/>
  <c r="L1166" i="3"/>
  <c r="K1166" i="3"/>
  <c r="J1166" i="3"/>
  <c r="J1165" i="3"/>
  <c r="K1165" i="3"/>
  <c r="L1165" i="3"/>
  <c r="L1164" i="3"/>
  <c r="K1164" i="3"/>
  <c r="J1164" i="3"/>
  <c r="K1163" i="3"/>
  <c r="L1163" i="3" s="1"/>
  <c r="J1163" i="3"/>
  <c r="K1162" i="3"/>
  <c r="L1162" i="3" s="1"/>
  <c r="J1162" i="3"/>
  <c r="J1161" i="3"/>
  <c r="L1161" i="3"/>
  <c r="K1161" i="3"/>
  <c r="J1160" i="3"/>
  <c r="K1160" i="3"/>
  <c r="L1160" i="3" s="1"/>
  <c r="J1159" i="3"/>
  <c r="K1159" i="3"/>
  <c r="L1159" i="3" s="1"/>
  <c r="K1158" i="3"/>
  <c r="L1158" i="3"/>
  <c r="J1158" i="3"/>
  <c r="K1157" i="3"/>
  <c r="L1157" i="3" s="1"/>
  <c r="J1157" i="3"/>
  <c r="L1156" i="3"/>
  <c r="K1156" i="3"/>
  <c r="J1156" i="3"/>
  <c r="J1155" i="3"/>
  <c r="L1155" i="3"/>
  <c r="K1155" i="3"/>
  <c r="L1154" i="3"/>
  <c r="K1154" i="3"/>
  <c r="J1154" i="3"/>
  <c r="J1153" i="3"/>
  <c r="L1153" i="3"/>
  <c r="K1153" i="3"/>
  <c r="K1152" i="3"/>
  <c r="J1152" i="3"/>
  <c r="L1152" i="3"/>
  <c r="L1151" i="3"/>
  <c r="K1151" i="3"/>
  <c r="J1151" i="3"/>
  <c r="L1150" i="3"/>
  <c r="K1150" i="3"/>
  <c r="J1150" i="3"/>
  <c r="K1149" i="3"/>
  <c r="L1149" i="3" s="1"/>
  <c r="J1149" i="3"/>
  <c r="J1148" i="3"/>
  <c r="K1148" i="3"/>
  <c r="L1148" i="3" s="1"/>
  <c r="L1147" i="3"/>
  <c r="K1147" i="3"/>
  <c r="J1147" i="3"/>
  <c r="J1146" i="3"/>
  <c r="K1146" i="3"/>
  <c r="L1146" i="3"/>
  <c r="J1145" i="3"/>
  <c r="K1145" i="3"/>
  <c r="L1145" i="3"/>
  <c r="J1144" i="3"/>
  <c r="K1144" i="3"/>
  <c r="L1144" i="3" s="1"/>
  <c r="K1143" i="3"/>
  <c r="J1143" i="3"/>
  <c r="L1143" i="3"/>
  <c r="L1142" i="3"/>
  <c r="K1142" i="3"/>
  <c r="J1142" i="3"/>
  <c r="K1141" i="3"/>
  <c r="L1141" i="3" s="1"/>
  <c r="J1141" i="3"/>
  <c r="J1140" i="3"/>
  <c r="K1140" i="3"/>
  <c r="L1140" i="3"/>
  <c r="K1139" i="3"/>
  <c r="L1139" i="3" s="1"/>
  <c r="J1139" i="3"/>
  <c r="L1138" i="3"/>
  <c r="K1138" i="3"/>
  <c r="J1138" i="3"/>
  <c r="K1137" i="3"/>
  <c r="L1137" i="3" s="1"/>
  <c r="J1137" i="3"/>
  <c r="K1136" i="3"/>
  <c r="L1136" i="3" s="1"/>
  <c r="J1136" i="3"/>
  <c r="K1135" i="3"/>
  <c r="L1135" i="3"/>
  <c r="J1135" i="3"/>
  <c r="J1134" i="3"/>
  <c r="K1134" i="3"/>
  <c r="L1134" i="3" s="1"/>
  <c r="K1133" i="3"/>
  <c r="J1133" i="3"/>
  <c r="L1133" i="3"/>
  <c r="J1132" i="3"/>
  <c r="K1132" i="3"/>
  <c r="L1132" i="3"/>
  <c r="J1131" i="3"/>
  <c r="K1131" i="3"/>
  <c r="L1131" i="3"/>
  <c r="J1130" i="3"/>
  <c r="K1130" i="3"/>
  <c r="L1130" i="3"/>
  <c r="J1129" i="3"/>
  <c r="K1129" i="3"/>
  <c r="L1129" i="3"/>
  <c r="K1128" i="3"/>
  <c r="J1128" i="3"/>
  <c r="L1128" i="3"/>
  <c r="L1127" i="3"/>
  <c r="K1127" i="3"/>
  <c r="J1127" i="3"/>
  <c r="K1126" i="3"/>
  <c r="L1126" i="3" s="1"/>
  <c r="J1126" i="3"/>
  <c r="K1125" i="3"/>
  <c r="L1125" i="3"/>
  <c r="J1125" i="3"/>
  <c r="J1124" i="3"/>
  <c r="K1124" i="3"/>
  <c r="L1124" i="3"/>
  <c r="J1123" i="3"/>
  <c r="K1123" i="3"/>
  <c r="L1123" i="3"/>
  <c r="J1122" i="3"/>
  <c r="K1122" i="3"/>
  <c r="L1122" i="3"/>
  <c r="J1121" i="3"/>
  <c r="K1121" i="3"/>
  <c r="L1121" i="3"/>
  <c r="K1120" i="3"/>
  <c r="L1120" i="3" s="1"/>
  <c r="J1120" i="3"/>
  <c r="L1119" i="3"/>
  <c r="K1119" i="3"/>
  <c r="J1119" i="3"/>
  <c r="J1118" i="3"/>
  <c r="K1118" i="3"/>
  <c r="L1118" i="3"/>
  <c r="J1117" i="3"/>
  <c r="K1117" i="3"/>
  <c r="L1117" i="3"/>
  <c r="J1116" i="3"/>
  <c r="K1116" i="3"/>
  <c r="L1116" i="3"/>
  <c r="J1115" i="3"/>
  <c r="K1115" i="3"/>
  <c r="L1115" i="3"/>
  <c r="J1114" i="3"/>
  <c r="K1114" i="3"/>
  <c r="L1114" i="3"/>
  <c r="K1113" i="3"/>
  <c r="L1113" i="3"/>
  <c r="J1113" i="3"/>
  <c r="J1112" i="3"/>
  <c r="K1112" i="3"/>
  <c r="L1112" i="3"/>
  <c r="J1111" i="3"/>
  <c r="K1111" i="3"/>
  <c r="L1111" i="3" s="1"/>
  <c r="L1110" i="3"/>
  <c r="K1110" i="3"/>
  <c r="J1110" i="3"/>
  <c r="L1109" i="3"/>
  <c r="K1109" i="3"/>
  <c r="J1109" i="3"/>
  <c r="J1108" i="3"/>
  <c r="K1108" i="3"/>
  <c r="L1108" i="3"/>
  <c r="K1107" i="3"/>
  <c r="L1107" i="3" s="1"/>
  <c r="J1107" i="3"/>
  <c r="L1106" i="3"/>
  <c r="K1106" i="3"/>
  <c r="J1106" i="3"/>
  <c r="J1105" i="3"/>
  <c r="L1105" i="3"/>
  <c r="K1105" i="3"/>
  <c r="J1104" i="3"/>
  <c r="L1104" i="3"/>
  <c r="K1104" i="3"/>
  <c r="L1103" i="3"/>
  <c r="J1103" i="3"/>
  <c r="K1103" i="3"/>
  <c r="K1102" i="3"/>
  <c r="L1102" i="3" s="1"/>
  <c r="J1102" i="3"/>
  <c r="K1101" i="3"/>
  <c r="L1101" i="3" s="1"/>
  <c r="J1101" i="3"/>
  <c r="K1100" i="3"/>
  <c r="J1100" i="3"/>
  <c r="L1100" i="3"/>
  <c r="J1099" i="3"/>
  <c r="K1099" i="3"/>
  <c r="L1099" i="3"/>
  <c r="J1098" i="3"/>
  <c r="L1098" i="3"/>
  <c r="K1098" i="3"/>
  <c r="K1097" i="3"/>
  <c r="L1097" i="3"/>
  <c r="J1097" i="3"/>
  <c r="K1096" i="3"/>
  <c r="J1096" i="3"/>
  <c r="L1096" i="3"/>
  <c r="L1095" i="3"/>
  <c r="K1095" i="3"/>
  <c r="J1095" i="3"/>
  <c r="L1094" i="3"/>
  <c r="K1094" i="3"/>
  <c r="J1094" i="3"/>
  <c r="L1093" i="3"/>
  <c r="K1093" i="3"/>
  <c r="J1093" i="3"/>
  <c r="L1092" i="3"/>
  <c r="K1092" i="3"/>
  <c r="J1092" i="3"/>
  <c r="L1091" i="3"/>
  <c r="K1091" i="3"/>
  <c r="J1091" i="3"/>
  <c r="L1090" i="3"/>
  <c r="K1090" i="3"/>
  <c r="J1090" i="3"/>
  <c r="L1089" i="3"/>
  <c r="K1089" i="3"/>
  <c r="J1089" i="3"/>
  <c r="L1088" i="3"/>
  <c r="K1088" i="3"/>
  <c r="J1088" i="3"/>
  <c r="K1087" i="3"/>
  <c r="J1087" i="3"/>
  <c r="L1087" i="3"/>
  <c r="L1086" i="3"/>
  <c r="K1086" i="3"/>
  <c r="J1086" i="3"/>
  <c r="K1085" i="3"/>
  <c r="J1085" i="3"/>
  <c r="L1085" i="3"/>
  <c r="J1084" i="3"/>
  <c r="L1084" i="3"/>
  <c r="K1084" i="3"/>
  <c r="K1083" i="3"/>
  <c r="L1083" i="3" s="1"/>
  <c r="J1083" i="3"/>
  <c r="J1082" i="3"/>
  <c r="K1082" i="3"/>
  <c r="L1082" i="3" s="1"/>
  <c r="J1081" i="3"/>
  <c r="K1081" i="3"/>
  <c r="L1081" i="3"/>
  <c r="J1080" i="3"/>
  <c r="K1080" i="3"/>
  <c r="L1080" i="3"/>
  <c r="K1079" i="3"/>
  <c r="L1079" i="3"/>
  <c r="J1079" i="3"/>
  <c r="J1078" i="3"/>
  <c r="K1078" i="3"/>
  <c r="L1078" i="3"/>
  <c r="K1077" i="3"/>
  <c r="L1077" i="3" s="1"/>
  <c r="J1077" i="3"/>
  <c r="L1076" i="3"/>
  <c r="K1076" i="3"/>
  <c r="J1076" i="3"/>
  <c r="K1075" i="3"/>
  <c r="L1075" i="3"/>
  <c r="J1075" i="3"/>
  <c r="K1074" i="3"/>
  <c r="L1074" i="3"/>
  <c r="J1074" i="3"/>
  <c r="L1073" i="3"/>
  <c r="K1073" i="3"/>
  <c r="J1073" i="3"/>
  <c r="L1072" i="3"/>
  <c r="K1072" i="3"/>
  <c r="J1072" i="3"/>
  <c r="K1071" i="3"/>
  <c r="L1071" i="3" s="1"/>
  <c r="J1071" i="3"/>
  <c r="L1070" i="3"/>
  <c r="K1070" i="3"/>
  <c r="J1070" i="3"/>
  <c r="K1069" i="3"/>
  <c r="J1069" i="3"/>
  <c r="L1069" i="3"/>
  <c r="J1068" i="3"/>
  <c r="L1068" i="3"/>
  <c r="K1068" i="3"/>
  <c r="J1067" i="3"/>
  <c r="K1067" i="3"/>
  <c r="L1067" i="3"/>
  <c r="L1066" i="3"/>
  <c r="K1066" i="3"/>
  <c r="J1066" i="3"/>
  <c r="J1065" i="3"/>
  <c r="K1065" i="3"/>
  <c r="L1065" i="3"/>
  <c r="J1064" i="3"/>
  <c r="K1064" i="3"/>
  <c r="L1064" i="3"/>
  <c r="K1063" i="3"/>
  <c r="L1063" i="3"/>
  <c r="J1063" i="3"/>
  <c r="J1062" i="3"/>
  <c r="K1062" i="3"/>
  <c r="L1062" i="3" s="1"/>
  <c r="J1061" i="3"/>
  <c r="K1061" i="3"/>
  <c r="L1061" i="3"/>
  <c r="L1060" i="3"/>
  <c r="J1060" i="3"/>
  <c r="K1060" i="3"/>
  <c r="J1059" i="3"/>
  <c r="K1059" i="3"/>
  <c r="L1059" i="3" s="1"/>
  <c r="K1058" i="3"/>
  <c r="L1058" i="3" s="1"/>
  <c r="J1058" i="3"/>
  <c r="J1057" i="3"/>
  <c r="K1057" i="3"/>
  <c r="L1057" i="3"/>
  <c r="J1056" i="3"/>
  <c r="K1056" i="3"/>
  <c r="L1056" i="3" s="1"/>
  <c r="K1055" i="3"/>
  <c r="L1055" i="3" s="1"/>
  <c r="J1055" i="3"/>
  <c r="K1054" i="3"/>
  <c r="J1054" i="3"/>
  <c r="L1054" i="3"/>
  <c r="K1053" i="3"/>
  <c r="J1053" i="3"/>
  <c r="L1053" i="3"/>
  <c r="L1052" i="3"/>
  <c r="J1052" i="3"/>
  <c r="K1052" i="3"/>
  <c r="K1051" i="3"/>
  <c r="J1051" i="3"/>
  <c r="L1051" i="3"/>
  <c r="K1050" i="3"/>
  <c r="J1050" i="3"/>
  <c r="L1050" i="3"/>
  <c r="L1049" i="3"/>
  <c r="K1049" i="3"/>
  <c r="J1049" i="3"/>
  <c r="L1048" i="3"/>
  <c r="K1048" i="3"/>
  <c r="J1048" i="3"/>
  <c r="J1047" i="3"/>
  <c r="L1047" i="3"/>
  <c r="K1047" i="3"/>
  <c r="K1046" i="3"/>
  <c r="L1046" i="3" s="1"/>
  <c r="J1046" i="3"/>
  <c r="L1045" i="3"/>
  <c r="K1045" i="3"/>
  <c r="J1045" i="3"/>
  <c r="L1044" i="3"/>
  <c r="K1044" i="3"/>
  <c r="J1044" i="3"/>
  <c r="K1043" i="3"/>
  <c r="L1043" i="3" s="1"/>
  <c r="J1043" i="3"/>
  <c r="J1042" i="3"/>
  <c r="K1042" i="3"/>
  <c r="L1042" i="3"/>
  <c r="J1041" i="3"/>
  <c r="K1041" i="3"/>
  <c r="L1041" i="3" s="1"/>
  <c r="J1040" i="3"/>
  <c r="K1040" i="3"/>
  <c r="L1040" i="3" s="1"/>
  <c r="L1039" i="3"/>
  <c r="J1039" i="3"/>
  <c r="K1039" i="3"/>
  <c r="J1038" i="3"/>
  <c r="K1038" i="3"/>
  <c r="L1038" i="3"/>
  <c r="K1037" i="3"/>
  <c r="L1037" i="3" s="1"/>
  <c r="J1037" i="3"/>
  <c r="L1036" i="3"/>
  <c r="K1036" i="3"/>
  <c r="J1036" i="3"/>
  <c r="J1035" i="3"/>
  <c r="K1035" i="3"/>
  <c r="L1035" i="3" s="1"/>
  <c r="J1034" i="3"/>
  <c r="K1034" i="3"/>
  <c r="L1034" i="3" s="1"/>
  <c r="K1033" i="3"/>
  <c r="L1033" i="3" s="1"/>
  <c r="J1033" i="3"/>
  <c r="L1032" i="3"/>
  <c r="J1032" i="3"/>
  <c r="K1032" i="3"/>
  <c r="J1031" i="3"/>
  <c r="K1031" i="3"/>
  <c r="L1031" i="3"/>
  <c r="J1030" i="3"/>
  <c r="L1030" i="3"/>
  <c r="K1030" i="3"/>
  <c r="J1029" i="3"/>
  <c r="K1029" i="3"/>
  <c r="L1029" i="3"/>
  <c r="K1028" i="3"/>
  <c r="L1028" i="3" s="1"/>
  <c r="J1028" i="3"/>
  <c r="K1027" i="3"/>
  <c r="L1027" i="3"/>
  <c r="J1027" i="3"/>
  <c r="L1026" i="3"/>
  <c r="K1026" i="3"/>
  <c r="J1026" i="3"/>
  <c r="L1025" i="3"/>
  <c r="K1025" i="3"/>
  <c r="J1025" i="3"/>
  <c r="L1024" i="3"/>
  <c r="K1024" i="3"/>
  <c r="J1024" i="3"/>
  <c r="K1023" i="3"/>
  <c r="J1023" i="3"/>
  <c r="L1023" i="3"/>
  <c r="L1022" i="3"/>
  <c r="J1022" i="3"/>
  <c r="K1022" i="3"/>
  <c r="K1021" i="3"/>
  <c r="L1021" i="3"/>
  <c r="J1021" i="3"/>
  <c r="J1020" i="3"/>
  <c r="K1020" i="3"/>
  <c r="L1020" i="3" s="1"/>
  <c r="J1019" i="3"/>
  <c r="K1019" i="3"/>
  <c r="L1019" i="3"/>
  <c r="K1018" i="3"/>
  <c r="J1018" i="3"/>
  <c r="L1018" i="3"/>
  <c r="K1017" i="3"/>
  <c r="L1017" i="3"/>
  <c r="J1017" i="3"/>
  <c r="J1016" i="3"/>
  <c r="K1016" i="3"/>
  <c r="L1016" i="3"/>
  <c r="L1015" i="3"/>
  <c r="K1015" i="3"/>
  <c r="J1015" i="3"/>
  <c r="L1014" i="3"/>
  <c r="K1014" i="3"/>
  <c r="J1014" i="3"/>
  <c r="L1013" i="3"/>
  <c r="K1013" i="3"/>
  <c r="J1013" i="3"/>
  <c r="K1012" i="3"/>
  <c r="L1012" i="3" s="1"/>
  <c r="J1012" i="3"/>
  <c r="L1011" i="3"/>
  <c r="K1011" i="3"/>
  <c r="J1011" i="3"/>
  <c r="K1010" i="3"/>
  <c r="L1010" i="3"/>
  <c r="J1010" i="3"/>
  <c r="L1009" i="3"/>
  <c r="K1009" i="3"/>
  <c r="J1009" i="3"/>
  <c r="L1008" i="3"/>
  <c r="K1008" i="3"/>
  <c r="J1008" i="3"/>
  <c r="L1007" i="3"/>
  <c r="K1007" i="3"/>
  <c r="J1007" i="3"/>
  <c r="K1006" i="3"/>
  <c r="L1006" i="3" s="1"/>
  <c r="J1006" i="3"/>
  <c r="L1005" i="3"/>
  <c r="K1005" i="3"/>
  <c r="J1005" i="3"/>
  <c r="L1004" i="3"/>
  <c r="K1004" i="3"/>
  <c r="J1004" i="3"/>
  <c r="L1003" i="3"/>
  <c r="K1003" i="3"/>
  <c r="J1003" i="3"/>
  <c r="K1002" i="3"/>
  <c r="L1002" i="3" s="1"/>
  <c r="J1002" i="3"/>
  <c r="L1001" i="3"/>
  <c r="J1001" i="3"/>
  <c r="K1001" i="3"/>
  <c r="J1000" i="3"/>
  <c r="K1000" i="3"/>
  <c r="L1000" i="3" s="1"/>
  <c r="L999" i="3"/>
  <c r="K999" i="3"/>
  <c r="J999" i="3"/>
  <c r="J998" i="3"/>
  <c r="K998" i="3"/>
  <c r="L998" i="3" s="1"/>
  <c r="K997" i="3"/>
  <c r="L997" i="3"/>
  <c r="J997" i="3"/>
  <c r="J996" i="3"/>
  <c r="K996" i="3"/>
  <c r="L996" i="3" s="1"/>
  <c r="L995" i="3"/>
  <c r="K995" i="3"/>
  <c r="J995" i="3"/>
  <c r="L994" i="3"/>
  <c r="K994" i="3"/>
  <c r="J994" i="3"/>
  <c r="L993" i="3"/>
  <c r="K993" i="3"/>
  <c r="J993" i="3"/>
  <c r="L992" i="3"/>
  <c r="K992" i="3"/>
  <c r="J992" i="3"/>
  <c r="K991" i="3"/>
  <c r="L991" i="3" s="1"/>
  <c r="J991" i="3"/>
  <c r="K990" i="3"/>
  <c r="J990" i="3"/>
  <c r="L990" i="3"/>
  <c r="L989" i="3"/>
  <c r="K989" i="3"/>
  <c r="J989" i="3"/>
  <c r="L988" i="3"/>
  <c r="K988" i="3"/>
  <c r="J988" i="3"/>
  <c r="J987" i="3"/>
  <c r="K987" i="3"/>
  <c r="L987" i="3" s="1"/>
  <c r="L986" i="3"/>
  <c r="K986" i="3"/>
  <c r="J986" i="3"/>
  <c r="K985" i="3"/>
  <c r="J985" i="3"/>
  <c r="L985" i="3"/>
  <c r="L984" i="3"/>
  <c r="K984" i="3"/>
  <c r="J984" i="3"/>
  <c r="L983" i="3"/>
  <c r="J983" i="3"/>
  <c r="K983" i="3"/>
  <c r="L982" i="3"/>
  <c r="K982" i="3"/>
  <c r="J982" i="3"/>
  <c r="K981" i="3"/>
  <c r="L981" i="3" s="1"/>
  <c r="J981" i="3"/>
  <c r="J980" i="3"/>
  <c r="K980" i="3"/>
  <c r="L980" i="3" s="1"/>
  <c r="L979" i="3"/>
  <c r="K979" i="3"/>
  <c r="J979" i="3"/>
  <c r="K978" i="3"/>
  <c r="L978" i="3" s="1"/>
  <c r="J978" i="3"/>
  <c r="J977" i="3"/>
  <c r="K977" i="3"/>
  <c r="L977" i="3"/>
  <c r="K976" i="3"/>
  <c r="J976" i="3"/>
  <c r="L976" i="3"/>
  <c r="J975" i="3"/>
  <c r="K975" i="3"/>
  <c r="L975" i="3"/>
  <c r="J974" i="3"/>
  <c r="K974" i="3"/>
  <c r="L974" i="3"/>
  <c r="J973" i="3"/>
  <c r="K973" i="3"/>
  <c r="L973" i="3" s="1"/>
  <c r="K972" i="3"/>
  <c r="L972" i="3"/>
  <c r="J972" i="3"/>
  <c r="L971" i="3"/>
  <c r="K971" i="3"/>
  <c r="J971" i="3"/>
  <c r="L970" i="3"/>
  <c r="K970" i="3"/>
  <c r="J970" i="3"/>
  <c r="K969" i="3"/>
  <c r="L969" i="3" s="1"/>
  <c r="J969" i="3"/>
  <c r="K968" i="3"/>
  <c r="L968" i="3" s="1"/>
  <c r="J968" i="3"/>
  <c r="J967" i="3"/>
  <c r="K967" i="3"/>
  <c r="L967" i="3" s="1"/>
  <c r="J966" i="3"/>
  <c r="K966" i="3"/>
  <c r="L966" i="3"/>
  <c r="J965" i="3"/>
  <c r="K965" i="3"/>
  <c r="L965" i="3"/>
  <c r="K964" i="3"/>
  <c r="J964" i="3"/>
  <c r="L964" i="3"/>
  <c r="L963" i="3"/>
  <c r="K963" i="3"/>
  <c r="J963" i="3"/>
  <c r="J962" i="3"/>
  <c r="K962" i="3"/>
  <c r="L962" i="3" s="1"/>
  <c r="J961" i="3"/>
  <c r="K961" i="3"/>
  <c r="L961" i="3"/>
  <c r="K960" i="3"/>
  <c r="L960" i="3" s="1"/>
  <c r="J960" i="3"/>
  <c r="J959" i="3"/>
  <c r="K959" i="3"/>
  <c r="L959" i="3"/>
  <c r="J958" i="3"/>
  <c r="K958" i="3"/>
  <c r="L958" i="3" s="1"/>
  <c r="J957" i="3"/>
  <c r="K957" i="3"/>
  <c r="L957" i="3" s="1"/>
  <c r="K956" i="3"/>
  <c r="J956" i="3"/>
  <c r="L956" i="3"/>
  <c r="K955" i="3"/>
  <c r="L955" i="3"/>
  <c r="J955" i="3"/>
  <c r="L954" i="3"/>
  <c r="K954" i="3"/>
  <c r="J954" i="3"/>
  <c r="K953" i="3"/>
  <c r="L953" i="3"/>
  <c r="J953" i="3"/>
  <c r="K952" i="3"/>
  <c r="J952" i="3"/>
  <c r="L952" i="3"/>
  <c r="K951" i="3"/>
  <c r="L951" i="3"/>
  <c r="J951" i="3"/>
  <c r="K950" i="3"/>
  <c r="L950" i="3" s="1"/>
  <c r="J950" i="3"/>
  <c r="L949" i="3"/>
  <c r="K949" i="3"/>
  <c r="J949" i="3"/>
  <c r="J948" i="3"/>
  <c r="L948" i="3"/>
  <c r="K948" i="3"/>
  <c r="K947" i="3"/>
  <c r="L947" i="3" s="1"/>
  <c r="J947" i="3"/>
  <c r="K946" i="3"/>
  <c r="L946" i="3" s="1"/>
  <c r="J946" i="3"/>
  <c r="L945" i="3"/>
  <c r="K945" i="3"/>
  <c r="J945" i="3"/>
  <c r="L944" i="3"/>
  <c r="K944" i="3"/>
  <c r="J944" i="3"/>
  <c r="L943" i="3"/>
  <c r="K943" i="3"/>
  <c r="J943" i="3"/>
  <c r="K942" i="3"/>
  <c r="L942" i="3" s="1"/>
  <c r="J942" i="3"/>
  <c r="J941" i="3"/>
  <c r="L941" i="3"/>
  <c r="K941" i="3"/>
  <c r="K940" i="3"/>
  <c r="L940" i="3" s="1"/>
  <c r="J940" i="3"/>
  <c r="K939" i="3"/>
  <c r="L939" i="3" s="1"/>
  <c r="J939" i="3"/>
  <c r="L938" i="3"/>
  <c r="J938" i="3"/>
  <c r="K938" i="3"/>
  <c r="L937" i="3"/>
  <c r="K937" i="3"/>
  <c r="J937" i="3"/>
  <c r="L936" i="3"/>
  <c r="K936" i="3"/>
  <c r="J936" i="3"/>
  <c r="L935" i="3"/>
  <c r="K935" i="3"/>
  <c r="J935" i="3"/>
  <c r="L934" i="3"/>
  <c r="K934" i="3"/>
  <c r="J934" i="3"/>
  <c r="L933" i="3"/>
  <c r="K933" i="3"/>
  <c r="J933" i="3"/>
  <c r="L932" i="3"/>
  <c r="J932" i="3"/>
  <c r="K932" i="3"/>
  <c r="K931" i="3"/>
  <c r="L931" i="3" s="1"/>
  <c r="J931" i="3"/>
  <c r="L930" i="3"/>
  <c r="K930" i="3"/>
  <c r="J930" i="3"/>
  <c r="L929" i="3"/>
  <c r="K929" i="3"/>
  <c r="J929" i="3"/>
  <c r="K928" i="3"/>
  <c r="J928" i="3"/>
  <c r="L928" i="3"/>
  <c r="L927" i="3"/>
  <c r="K927" i="3"/>
  <c r="J927" i="3"/>
  <c r="L926" i="3"/>
  <c r="K926" i="3"/>
  <c r="J926" i="3"/>
  <c r="J925" i="3"/>
  <c r="K925" i="3"/>
  <c r="L925" i="3"/>
  <c r="J924" i="3"/>
  <c r="K924" i="3"/>
  <c r="L924" i="3"/>
  <c r="J923" i="3"/>
  <c r="L923" i="3"/>
  <c r="K923" i="3"/>
  <c r="L922" i="3"/>
  <c r="K922" i="3"/>
  <c r="J922" i="3"/>
  <c r="L921" i="3"/>
  <c r="K921" i="3"/>
  <c r="J921" i="3"/>
  <c r="L920" i="3"/>
  <c r="J920" i="3"/>
  <c r="K920" i="3"/>
  <c r="L919" i="3"/>
  <c r="K919" i="3"/>
  <c r="J919" i="3"/>
  <c r="L918" i="3"/>
  <c r="K918" i="3"/>
  <c r="J918" i="3"/>
  <c r="L917" i="3"/>
  <c r="J917" i="3"/>
  <c r="K917" i="3"/>
  <c r="K916" i="3"/>
  <c r="L916" i="3"/>
  <c r="J916" i="3"/>
  <c r="K915" i="3"/>
  <c r="L915" i="3" s="1"/>
  <c r="J915" i="3"/>
  <c r="L914" i="3"/>
  <c r="K914" i="3"/>
  <c r="J914" i="3"/>
  <c r="L913" i="3"/>
  <c r="J913" i="3"/>
  <c r="K913" i="3"/>
  <c r="L912" i="3"/>
  <c r="K912" i="3"/>
  <c r="J912" i="3"/>
  <c r="L911" i="3"/>
  <c r="K911" i="3"/>
  <c r="J911" i="3"/>
  <c r="J910" i="3"/>
  <c r="K910" i="3"/>
  <c r="L910" i="3"/>
  <c r="L909" i="3"/>
  <c r="J909" i="3"/>
  <c r="K909" i="3"/>
  <c r="J908" i="3"/>
  <c r="K908" i="3"/>
  <c r="L908" i="3"/>
  <c r="L907" i="3"/>
  <c r="K907" i="3"/>
  <c r="J907" i="3"/>
  <c r="J906" i="3"/>
  <c r="L906" i="3"/>
  <c r="K906" i="3"/>
  <c r="L905" i="3"/>
  <c r="K905" i="3"/>
  <c r="J905" i="3"/>
  <c r="L904" i="3"/>
  <c r="K904" i="3"/>
  <c r="J904" i="3"/>
  <c r="L903" i="3"/>
  <c r="K903" i="3"/>
  <c r="J903" i="3"/>
  <c r="L902" i="3"/>
  <c r="K902" i="3"/>
  <c r="J902" i="3"/>
  <c r="K901" i="3"/>
  <c r="L901" i="3" s="1"/>
  <c r="J901" i="3"/>
  <c r="K900" i="3"/>
  <c r="J900" i="3"/>
  <c r="L900" i="3"/>
  <c r="J899" i="3"/>
  <c r="K899" i="3"/>
  <c r="L899" i="3" s="1"/>
  <c r="L898" i="3"/>
  <c r="K898" i="3"/>
  <c r="J898" i="3"/>
  <c r="J897" i="3"/>
  <c r="K897" i="3"/>
  <c r="L897" i="3" s="1"/>
  <c r="K896" i="3"/>
  <c r="L896" i="3" s="1"/>
  <c r="J896" i="3"/>
  <c r="K895" i="3"/>
  <c r="J895" i="3"/>
  <c r="L895" i="3"/>
  <c r="K894" i="3"/>
  <c r="L894" i="3"/>
  <c r="J894" i="3"/>
  <c r="L893" i="3"/>
  <c r="K893" i="3"/>
  <c r="J893" i="3"/>
  <c r="L892" i="3"/>
  <c r="K892" i="3"/>
  <c r="J892" i="3"/>
  <c r="L891" i="3"/>
  <c r="J891" i="3"/>
  <c r="K891" i="3"/>
  <c r="L890" i="3"/>
  <c r="K890" i="3"/>
  <c r="J890" i="3"/>
  <c r="L889" i="3"/>
  <c r="K889" i="3"/>
  <c r="J889" i="3"/>
  <c r="L888" i="3"/>
  <c r="K888" i="3"/>
  <c r="J888" i="3"/>
  <c r="L887" i="3"/>
  <c r="J887" i="3"/>
  <c r="K887" i="3"/>
  <c r="J886" i="3"/>
  <c r="L886" i="3"/>
  <c r="K886" i="3"/>
  <c r="L885" i="3"/>
  <c r="K885" i="3"/>
  <c r="J885" i="3"/>
  <c r="J884" i="3"/>
  <c r="K884" i="3"/>
  <c r="L884" i="3" s="1"/>
  <c r="J883" i="3"/>
  <c r="K883" i="3"/>
  <c r="L883" i="3"/>
  <c r="J882" i="3"/>
  <c r="K882" i="3"/>
  <c r="L882" i="3" s="1"/>
  <c r="K881" i="3"/>
  <c r="L881" i="3" s="1"/>
  <c r="J881" i="3"/>
  <c r="K880" i="3"/>
  <c r="L880" i="3"/>
  <c r="J880" i="3"/>
  <c r="L879" i="3"/>
  <c r="K879" i="3"/>
  <c r="J879" i="3"/>
  <c r="J878" i="3"/>
  <c r="L878" i="3"/>
  <c r="K878" i="3"/>
  <c r="J877" i="3"/>
  <c r="K877" i="3"/>
  <c r="L877" i="3" s="1"/>
  <c r="L876" i="3"/>
  <c r="J876" i="3"/>
  <c r="K876" i="3"/>
  <c r="L875" i="3"/>
  <c r="J875" i="3"/>
  <c r="K875" i="3"/>
  <c r="L874" i="3"/>
  <c r="J874" i="3"/>
  <c r="K874" i="3"/>
  <c r="J873" i="3"/>
  <c r="K873" i="3"/>
  <c r="L873" i="3"/>
  <c r="J872" i="3"/>
  <c r="K872" i="3"/>
  <c r="L872" i="3" s="1"/>
  <c r="L871" i="3"/>
  <c r="K871" i="3"/>
  <c r="J871" i="3"/>
  <c r="L870" i="3"/>
  <c r="K870" i="3"/>
  <c r="J870" i="3"/>
  <c r="L869" i="3"/>
  <c r="K869" i="3"/>
  <c r="J869" i="3"/>
  <c r="L868" i="3"/>
  <c r="K868" i="3"/>
  <c r="J868" i="3"/>
  <c r="K867" i="3"/>
  <c r="L867" i="3"/>
  <c r="J867" i="3"/>
  <c r="K866" i="3"/>
  <c r="L866" i="3" s="1"/>
  <c r="J866" i="3"/>
  <c r="J865" i="3"/>
  <c r="K865" i="3"/>
  <c r="L865" i="3"/>
  <c r="K864" i="3"/>
  <c r="L864" i="3" s="1"/>
  <c r="J864" i="3"/>
  <c r="J863" i="3"/>
  <c r="K863" i="3"/>
  <c r="L863" i="3"/>
  <c r="L862" i="3"/>
  <c r="J862" i="3"/>
  <c r="K862" i="3"/>
  <c r="J861" i="3"/>
  <c r="K861" i="3"/>
  <c r="L861" i="3"/>
  <c r="L860" i="3"/>
  <c r="J860" i="3"/>
  <c r="K860" i="3"/>
  <c r="J859" i="3"/>
  <c r="K859" i="3"/>
  <c r="L859" i="3" s="1"/>
  <c r="K858" i="3"/>
  <c r="J858" i="3"/>
  <c r="L858" i="3"/>
  <c r="L857" i="3"/>
  <c r="K857" i="3"/>
  <c r="J857" i="3"/>
  <c r="L856" i="3"/>
  <c r="K856" i="3"/>
  <c r="J856" i="3"/>
  <c r="K855" i="3"/>
  <c r="L855" i="3" s="1"/>
  <c r="J855" i="3"/>
  <c r="J854" i="3"/>
  <c r="K854" i="3"/>
  <c r="L854" i="3"/>
  <c r="K853" i="3"/>
  <c r="J853" i="3"/>
  <c r="L853" i="3"/>
  <c r="J852" i="3"/>
  <c r="K852" i="3"/>
  <c r="L852" i="3" s="1"/>
  <c r="J851" i="3"/>
  <c r="K851" i="3"/>
  <c r="L851" i="3" s="1"/>
  <c r="K850" i="3"/>
  <c r="L850" i="3"/>
  <c r="J850" i="3"/>
  <c r="L849" i="3"/>
  <c r="K849" i="3"/>
  <c r="J849" i="3"/>
  <c r="L848" i="3"/>
  <c r="K848" i="3"/>
  <c r="J848" i="3"/>
  <c r="K847" i="3"/>
  <c r="L847" i="3" s="1"/>
  <c r="J847" i="3"/>
  <c r="J846" i="3"/>
  <c r="K846" i="3"/>
  <c r="L846" i="3" s="1"/>
  <c r="K845" i="3"/>
  <c r="L845" i="3" s="1"/>
  <c r="J845" i="3"/>
  <c r="J844" i="3"/>
  <c r="K844" i="3"/>
  <c r="L844" i="3"/>
  <c r="J843" i="3"/>
  <c r="K843" i="3"/>
  <c r="L843" i="3" s="1"/>
  <c r="J842" i="3"/>
  <c r="K842" i="3"/>
  <c r="L842" i="3"/>
  <c r="J841" i="3"/>
  <c r="K841" i="3"/>
  <c r="L841" i="3" s="1"/>
  <c r="J840" i="3"/>
  <c r="K840" i="3"/>
  <c r="L840" i="3"/>
  <c r="L839" i="3"/>
  <c r="K839" i="3"/>
  <c r="J839" i="3"/>
  <c r="K838" i="3"/>
  <c r="L838" i="3" s="1"/>
  <c r="J838" i="3"/>
  <c r="L837" i="3"/>
  <c r="J837" i="3"/>
  <c r="K837" i="3"/>
  <c r="K836" i="3"/>
  <c r="L836" i="3" s="1"/>
  <c r="J836" i="3"/>
  <c r="L835" i="3"/>
  <c r="J835" i="3"/>
  <c r="K835" i="3"/>
  <c r="J834" i="3"/>
  <c r="L834" i="3"/>
  <c r="K834" i="3"/>
  <c r="L833" i="3"/>
  <c r="K833" i="3"/>
  <c r="J833" i="3"/>
  <c r="L832" i="3"/>
  <c r="K832" i="3"/>
  <c r="J832" i="3"/>
  <c r="J831" i="3"/>
  <c r="K831" i="3"/>
  <c r="L831" i="3" s="1"/>
  <c r="L830" i="3"/>
  <c r="J830" i="3"/>
  <c r="K830" i="3"/>
  <c r="L829" i="3"/>
  <c r="K829" i="3"/>
  <c r="J829" i="3"/>
  <c r="J828" i="3"/>
  <c r="K828" i="3"/>
  <c r="L828" i="3" s="1"/>
  <c r="K827" i="3"/>
  <c r="L827" i="3" s="1"/>
  <c r="J827" i="3"/>
  <c r="L826" i="3"/>
  <c r="K826" i="3"/>
  <c r="J826" i="3"/>
  <c r="J825" i="3"/>
  <c r="K825" i="3"/>
  <c r="L825" i="3" s="1"/>
  <c r="J824" i="3"/>
  <c r="K824" i="3"/>
  <c r="L824" i="3" s="1"/>
  <c r="J823" i="3"/>
  <c r="K823" i="3"/>
  <c r="L823" i="3"/>
  <c r="J822" i="3"/>
  <c r="K822" i="3"/>
  <c r="L822" i="3" s="1"/>
  <c r="L821" i="3"/>
  <c r="K821" i="3"/>
  <c r="J821" i="3"/>
  <c r="L820" i="3"/>
  <c r="K820" i="3"/>
  <c r="J820" i="3"/>
  <c r="J819" i="3"/>
  <c r="K819" i="3"/>
  <c r="L819" i="3"/>
  <c r="J818" i="3"/>
  <c r="K818" i="3"/>
  <c r="L818" i="3"/>
  <c r="J817" i="3"/>
  <c r="L817" i="3"/>
  <c r="K817" i="3"/>
  <c r="K816" i="3"/>
  <c r="L816" i="3"/>
  <c r="J816" i="3"/>
  <c r="J815" i="3"/>
  <c r="K815" i="3"/>
  <c r="L815" i="3"/>
  <c r="K814" i="3"/>
  <c r="L814" i="3"/>
  <c r="J814" i="3"/>
  <c r="K813" i="3"/>
  <c r="J813" i="3"/>
  <c r="L813" i="3"/>
  <c r="J812" i="3"/>
  <c r="K812" i="3"/>
  <c r="L812" i="3"/>
  <c r="J811" i="3"/>
  <c r="K811" i="3"/>
  <c r="L811" i="3"/>
  <c r="J810" i="3"/>
  <c r="K810" i="3"/>
  <c r="L810" i="3"/>
  <c r="L809" i="3"/>
  <c r="K809" i="3"/>
  <c r="J809" i="3"/>
  <c r="K808" i="3"/>
  <c r="L808" i="3" s="1"/>
  <c r="J808" i="3"/>
  <c r="K807" i="3"/>
  <c r="J807" i="3"/>
  <c r="L807" i="3"/>
  <c r="J806" i="3"/>
  <c r="K806" i="3"/>
  <c r="L806" i="3"/>
  <c r="L805" i="3"/>
  <c r="K805" i="3"/>
  <c r="J805" i="3"/>
  <c r="L804" i="3"/>
  <c r="K804" i="3"/>
  <c r="J804" i="3"/>
  <c r="L803" i="3"/>
  <c r="K803" i="3"/>
  <c r="J803" i="3"/>
  <c r="K802" i="3"/>
  <c r="L802" i="3" s="1"/>
  <c r="J802" i="3"/>
  <c r="L801" i="3"/>
  <c r="K801" i="3"/>
  <c r="J801" i="3"/>
  <c r="L800" i="3"/>
  <c r="K800" i="3"/>
  <c r="J800" i="3"/>
  <c r="L799" i="3"/>
  <c r="K799" i="3"/>
  <c r="J799" i="3"/>
  <c r="K798" i="3"/>
  <c r="L798" i="3" s="1"/>
  <c r="J798" i="3"/>
  <c r="L797" i="3"/>
  <c r="K797" i="3"/>
  <c r="J797" i="3"/>
  <c r="L796" i="3"/>
  <c r="K796" i="3"/>
  <c r="J796" i="3"/>
  <c r="L795" i="3"/>
  <c r="K795" i="3"/>
  <c r="J795" i="3"/>
  <c r="L794" i="3"/>
  <c r="K794" i="3"/>
  <c r="J794" i="3"/>
  <c r="L793" i="3"/>
  <c r="K793" i="3"/>
  <c r="J793" i="3"/>
  <c r="L792" i="3"/>
  <c r="K792" i="3"/>
  <c r="J792" i="3"/>
  <c r="L791" i="3"/>
  <c r="K791" i="3"/>
  <c r="J791" i="3"/>
  <c r="L790" i="3"/>
  <c r="K790" i="3"/>
  <c r="J790" i="3"/>
  <c r="K789" i="3"/>
  <c r="L789" i="3" s="1"/>
  <c r="J789" i="3"/>
  <c r="L788" i="3"/>
  <c r="K788" i="3"/>
  <c r="J788" i="3"/>
  <c r="L787" i="3"/>
  <c r="K787" i="3"/>
  <c r="J787" i="3"/>
  <c r="L786" i="3"/>
  <c r="K786" i="3"/>
  <c r="J786" i="3"/>
  <c r="L785" i="3"/>
  <c r="K785" i="3"/>
  <c r="J785" i="3"/>
  <c r="L784" i="3"/>
  <c r="K784" i="3"/>
  <c r="J784" i="3"/>
  <c r="L783" i="3"/>
  <c r="K783" i="3"/>
  <c r="J783" i="3"/>
  <c r="L782" i="3"/>
  <c r="K782" i="3"/>
  <c r="J782" i="3"/>
  <c r="L781" i="3"/>
  <c r="K781" i="3"/>
  <c r="J781" i="3"/>
  <c r="L780" i="3"/>
  <c r="K780" i="3"/>
  <c r="J780" i="3"/>
  <c r="L779" i="3"/>
  <c r="K779" i="3"/>
  <c r="J779" i="3"/>
  <c r="K778" i="3"/>
  <c r="L778" i="3" s="1"/>
  <c r="J778" i="3"/>
  <c r="L777" i="3"/>
  <c r="K777" i="3"/>
  <c r="J777" i="3"/>
  <c r="L776" i="3"/>
  <c r="K776" i="3"/>
  <c r="J776" i="3"/>
  <c r="L775" i="3"/>
  <c r="K775" i="3"/>
  <c r="J775" i="3"/>
  <c r="K774" i="3"/>
  <c r="L774" i="3" s="1"/>
  <c r="J774" i="3"/>
  <c r="L773" i="3"/>
  <c r="K773" i="3"/>
  <c r="J773" i="3"/>
  <c r="L772" i="3"/>
  <c r="K772" i="3"/>
  <c r="J772" i="3"/>
  <c r="K771" i="3"/>
  <c r="L771" i="3" s="1"/>
  <c r="J771" i="3"/>
  <c r="L770" i="3"/>
  <c r="K770" i="3"/>
  <c r="J770" i="3"/>
  <c r="K769" i="3"/>
  <c r="L769" i="3" s="1"/>
  <c r="J769" i="3"/>
  <c r="K768" i="3"/>
  <c r="L768" i="3" s="1"/>
  <c r="J768" i="3"/>
  <c r="L767" i="3"/>
  <c r="K767" i="3"/>
  <c r="J767" i="3"/>
  <c r="L766" i="3"/>
  <c r="K766" i="3"/>
  <c r="J766" i="3"/>
  <c r="L765" i="3"/>
  <c r="K765" i="3"/>
  <c r="J765" i="3"/>
  <c r="L764" i="3"/>
  <c r="K764" i="3"/>
  <c r="J764" i="3"/>
  <c r="L763" i="3"/>
  <c r="K763" i="3"/>
  <c r="J763" i="3"/>
  <c r="L762" i="3"/>
  <c r="K762" i="3"/>
  <c r="J762" i="3"/>
  <c r="L761" i="3"/>
  <c r="K761" i="3"/>
  <c r="J761" i="3"/>
  <c r="L760" i="3"/>
  <c r="K760" i="3"/>
  <c r="J760" i="3"/>
  <c r="L759" i="3"/>
  <c r="K759" i="3"/>
  <c r="J759" i="3"/>
  <c r="L758" i="3"/>
  <c r="K758" i="3"/>
  <c r="J758" i="3"/>
  <c r="L757" i="3"/>
  <c r="K757" i="3"/>
  <c r="J757" i="3"/>
  <c r="L756" i="3"/>
  <c r="K756" i="3"/>
  <c r="J756" i="3"/>
  <c r="L755" i="3"/>
  <c r="K755" i="3"/>
  <c r="J755" i="3"/>
  <c r="L754" i="3"/>
  <c r="K754" i="3"/>
  <c r="J754" i="3"/>
  <c r="L753" i="3"/>
  <c r="K753" i="3"/>
  <c r="J753" i="3"/>
  <c r="K752" i="3"/>
  <c r="L752" i="3" s="1"/>
  <c r="J752" i="3"/>
  <c r="L751" i="3"/>
  <c r="K751" i="3"/>
  <c r="J751" i="3"/>
  <c r="L750" i="3"/>
  <c r="K750" i="3"/>
  <c r="J750" i="3"/>
  <c r="L749" i="3"/>
  <c r="K749" i="3"/>
  <c r="J749" i="3"/>
  <c r="L748" i="3"/>
  <c r="K748" i="3"/>
  <c r="J748" i="3"/>
  <c r="L747" i="3"/>
  <c r="K747" i="3"/>
  <c r="J747" i="3"/>
  <c r="L746" i="3"/>
  <c r="K746" i="3"/>
  <c r="J746" i="3"/>
  <c r="K745" i="3"/>
  <c r="L745" i="3" s="1"/>
  <c r="J745" i="3"/>
  <c r="L744" i="3"/>
  <c r="K744" i="3"/>
  <c r="J744" i="3"/>
  <c r="L743" i="3"/>
  <c r="K743" i="3"/>
  <c r="J743" i="3"/>
  <c r="L742" i="3"/>
  <c r="K742" i="3"/>
  <c r="J742" i="3"/>
  <c r="K741" i="3"/>
  <c r="L741" i="3" s="1"/>
  <c r="J741" i="3"/>
  <c r="L740" i="3"/>
  <c r="K740" i="3"/>
  <c r="J740" i="3"/>
  <c r="K739" i="3"/>
  <c r="L739" i="3" s="1"/>
  <c r="J739" i="3"/>
  <c r="L738" i="3"/>
  <c r="K738" i="3"/>
  <c r="J738" i="3"/>
  <c r="L737" i="3"/>
  <c r="K737" i="3"/>
  <c r="J737" i="3"/>
  <c r="L736" i="3"/>
  <c r="K736" i="3"/>
  <c r="J736" i="3"/>
  <c r="L735" i="3"/>
  <c r="K735" i="3"/>
  <c r="J735" i="3"/>
  <c r="L734" i="3"/>
  <c r="K734" i="3"/>
  <c r="J734" i="3"/>
  <c r="L733" i="3"/>
  <c r="K733" i="3"/>
  <c r="J733" i="3"/>
  <c r="L732" i="3"/>
  <c r="K732" i="3"/>
  <c r="J732" i="3"/>
  <c r="L731" i="3"/>
  <c r="K731" i="3"/>
  <c r="J731" i="3"/>
  <c r="L730" i="3"/>
  <c r="K730" i="3"/>
  <c r="J730" i="3"/>
  <c r="K729" i="3"/>
  <c r="L729" i="3" s="1"/>
  <c r="J729" i="3"/>
  <c r="K728" i="3"/>
  <c r="L728" i="3" s="1"/>
  <c r="J728" i="3"/>
  <c r="L727" i="3"/>
  <c r="K727" i="3"/>
  <c r="J727" i="3"/>
  <c r="L726" i="3"/>
  <c r="K726" i="3"/>
  <c r="J726" i="3"/>
  <c r="K725" i="3"/>
  <c r="L725" i="3" s="1"/>
  <c r="J725" i="3"/>
  <c r="L724" i="3"/>
  <c r="K724" i="3"/>
  <c r="J724" i="3"/>
  <c r="L723" i="3"/>
  <c r="K723" i="3"/>
  <c r="J723" i="3"/>
  <c r="K722" i="3"/>
  <c r="L722" i="3" s="1"/>
  <c r="J722" i="3"/>
  <c r="L721" i="3"/>
  <c r="K721" i="3"/>
  <c r="J721" i="3"/>
  <c r="L720" i="3"/>
  <c r="K720" i="3"/>
  <c r="J720" i="3"/>
  <c r="L719" i="3"/>
  <c r="K719" i="3"/>
  <c r="J719" i="3"/>
  <c r="K718" i="3"/>
  <c r="L718" i="3" s="1"/>
  <c r="J718" i="3"/>
  <c r="K717" i="3"/>
  <c r="L717" i="3" s="1"/>
  <c r="J717" i="3"/>
  <c r="K716" i="3"/>
  <c r="L716" i="3" s="1"/>
  <c r="J716" i="3"/>
  <c r="K715" i="3"/>
  <c r="L715" i="3" s="1"/>
  <c r="J715" i="3"/>
  <c r="K714" i="3"/>
  <c r="L714" i="3" s="1"/>
  <c r="J714" i="3"/>
  <c r="L713" i="3"/>
  <c r="K713" i="3"/>
  <c r="J713" i="3"/>
  <c r="K712" i="3"/>
  <c r="L712" i="3" s="1"/>
  <c r="J712" i="3"/>
  <c r="L711" i="3"/>
  <c r="K711" i="3"/>
  <c r="J711" i="3"/>
  <c r="L710" i="3"/>
  <c r="K710" i="3"/>
  <c r="J710" i="3"/>
  <c r="L709" i="3"/>
  <c r="K709" i="3"/>
  <c r="J709" i="3"/>
  <c r="L708" i="3"/>
  <c r="K708" i="3"/>
  <c r="J708" i="3"/>
  <c r="L707" i="3"/>
  <c r="K707" i="3"/>
  <c r="J707" i="3"/>
  <c r="L706" i="3"/>
  <c r="K706" i="3"/>
  <c r="J706" i="3"/>
  <c r="K705" i="3"/>
  <c r="L705" i="3" s="1"/>
  <c r="J705" i="3"/>
  <c r="L704" i="3"/>
  <c r="K704" i="3"/>
  <c r="J704" i="3"/>
  <c r="K703" i="3"/>
  <c r="L703" i="3" s="1"/>
  <c r="J703" i="3"/>
  <c r="L702" i="3"/>
  <c r="K702" i="3"/>
  <c r="J702" i="3"/>
  <c r="L701" i="3"/>
  <c r="K701" i="3"/>
  <c r="J701" i="3"/>
  <c r="L700" i="3"/>
  <c r="K700" i="3"/>
  <c r="J700" i="3"/>
  <c r="L699" i="3"/>
  <c r="K699" i="3"/>
  <c r="J699" i="3"/>
  <c r="L698" i="3"/>
  <c r="K698" i="3"/>
  <c r="J698" i="3"/>
  <c r="L697" i="3"/>
  <c r="K697" i="3"/>
  <c r="J697" i="3"/>
  <c r="L696" i="3"/>
  <c r="K696" i="3"/>
  <c r="J696" i="3"/>
  <c r="L695" i="3"/>
  <c r="K695" i="3"/>
  <c r="J695" i="3"/>
  <c r="L694" i="3"/>
  <c r="K694" i="3"/>
  <c r="J694" i="3"/>
  <c r="L693" i="3"/>
  <c r="K693" i="3"/>
  <c r="J693" i="3"/>
  <c r="L692" i="3"/>
  <c r="K692" i="3"/>
  <c r="J692" i="3"/>
  <c r="L691" i="3"/>
  <c r="K691" i="3"/>
  <c r="J691" i="3"/>
  <c r="L690" i="3"/>
  <c r="K690" i="3"/>
  <c r="J690" i="3"/>
  <c r="K689" i="3"/>
  <c r="L689" i="3" s="1"/>
  <c r="J689" i="3"/>
  <c r="K688" i="3"/>
  <c r="L688" i="3" s="1"/>
  <c r="J688" i="3"/>
  <c r="L687" i="3"/>
  <c r="K687" i="3"/>
  <c r="J687" i="3"/>
  <c r="K686" i="3"/>
  <c r="L686" i="3" s="1"/>
  <c r="J686" i="3"/>
  <c r="L685" i="3"/>
  <c r="K685" i="3"/>
  <c r="J685" i="3"/>
  <c r="L684" i="3"/>
  <c r="K684" i="3"/>
  <c r="J684" i="3"/>
  <c r="L683" i="3"/>
  <c r="K683" i="3"/>
  <c r="J683" i="3"/>
  <c r="J682" i="3"/>
  <c r="L682" i="3"/>
  <c r="K682" i="3"/>
  <c r="K681" i="3"/>
  <c r="L681" i="3" s="1"/>
  <c r="J681" i="3"/>
  <c r="L680" i="3"/>
  <c r="K680" i="3"/>
  <c r="J680" i="3"/>
  <c r="K679" i="3"/>
  <c r="L679" i="3" s="1"/>
  <c r="J679" i="3"/>
  <c r="L678" i="3"/>
  <c r="K678" i="3"/>
  <c r="J678" i="3"/>
  <c r="K677" i="3"/>
  <c r="L677" i="3" s="1"/>
  <c r="J677" i="3"/>
  <c r="L676" i="3"/>
  <c r="K676" i="3"/>
  <c r="J676" i="3"/>
  <c r="L675" i="3"/>
  <c r="K675" i="3"/>
  <c r="J675" i="3"/>
  <c r="K674" i="3"/>
  <c r="L674" i="3" s="1"/>
  <c r="J674" i="3"/>
  <c r="K673" i="3"/>
  <c r="L673" i="3" s="1"/>
  <c r="J673" i="3"/>
  <c r="J672" i="3"/>
  <c r="K672" i="3"/>
  <c r="L672" i="3"/>
  <c r="K671" i="3"/>
  <c r="J671" i="3"/>
  <c r="L671" i="3"/>
  <c r="J670" i="3"/>
  <c r="K670" i="3"/>
  <c r="L670" i="3"/>
  <c r="J669" i="3"/>
  <c r="K669" i="3"/>
  <c r="L669" i="3" s="1"/>
  <c r="L668" i="3"/>
  <c r="K668" i="3"/>
  <c r="J668" i="3"/>
  <c r="K667" i="3"/>
  <c r="J667" i="3"/>
  <c r="L667" i="3"/>
  <c r="K666" i="3"/>
  <c r="L666" i="3" s="1"/>
  <c r="J666" i="3"/>
  <c r="K665" i="3"/>
  <c r="L665" i="3" s="1"/>
  <c r="J665" i="3"/>
  <c r="K664" i="3"/>
  <c r="L664" i="3" s="1"/>
  <c r="J664" i="3"/>
  <c r="J663" i="3"/>
  <c r="K663" i="3"/>
  <c r="L663" i="3"/>
  <c r="K662" i="3"/>
  <c r="L662" i="3" s="1"/>
  <c r="J662" i="3"/>
  <c r="L661" i="3"/>
  <c r="K661" i="3"/>
  <c r="J661" i="3"/>
  <c r="J660" i="3"/>
  <c r="K660" i="3"/>
  <c r="L660" i="3"/>
  <c r="J659" i="3"/>
  <c r="K659" i="3"/>
  <c r="L659" i="3" s="1"/>
  <c r="L658" i="3"/>
  <c r="K658" i="3"/>
  <c r="J658" i="3"/>
  <c r="J657" i="3"/>
  <c r="K657" i="3"/>
  <c r="L657" i="3"/>
  <c r="L656" i="3"/>
  <c r="K656" i="3"/>
  <c r="J656" i="3"/>
  <c r="K655" i="3"/>
  <c r="L655" i="3" s="1"/>
  <c r="J655" i="3"/>
  <c r="L654" i="3"/>
  <c r="K654" i="3"/>
  <c r="J654" i="3"/>
  <c r="L653" i="3"/>
  <c r="J653" i="3"/>
  <c r="K653" i="3"/>
  <c r="L652" i="3"/>
  <c r="J652" i="3"/>
  <c r="K652" i="3"/>
  <c r="J651" i="3"/>
  <c r="K651" i="3"/>
  <c r="L651" i="3" s="1"/>
  <c r="J650" i="3"/>
  <c r="K650" i="3"/>
  <c r="L650" i="3"/>
  <c r="K649" i="3"/>
  <c r="L649" i="3" s="1"/>
  <c r="J649" i="3"/>
  <c r="K648" i="3"/>
  <c r="L648" i="3" s="1"/>
  <c r="J648" i="3"/>
  <c r="K647" i="3"/>
  <c r="J647" i="3"/>
  <c r="L647" i="3"/>
  <c r="K646" i="3"/>
  <c r="L646" i="3"/>
  <c r="J646" i="3"/>
  <c r="L645" i="3"/>
  <c r="J645" i="3"/>
  <c r="K645" i="3"/>
  <c r="L644" i="3"/>
  <c r="K644" i="3"/>
  <c r="J644" i="3"/>
  <c r="K643" i="3"/>
  <c r="L643" i="3"/>
  <c r="J643" i="3"/>
  <c r="K642" i="3"/>
  <c r="J642" i="3"/>
  <c r="L642" i="3"/>
  <c r="K641" i="3"/>
  <c r="J641" i="3"/>
  <c r="L641" i="3"/>
  <c r="L640" i="3"/>
  <c r="K640" i="3"/>
  <c r="J640" i="3"/>
  <c r="L639" i="3"/>
  <c r="K639" i="3"/>
  <c r="J639" i="3"/>
  <c r="L638" i="3"/>
  <c r="K638" i="3"/>
  <c r="J638" i="3"/>
  <c r="J637" i="3"/>
  <c r="K637" i="3"/>
  <c r="L637" i="3"/>
  <c r="K636" i="3"/>
  <c r="L636" i="3" s="1"/>
  <c r="J636" i="3"/>
  <c r="L635" i="3"/>
  <c r="K635" i="3"/>
  <c r="J635" i="3"/>
  <c r="K634" i="3"/>
  <c r="L634" i="3"/>
  <c r="J634" i="3"/>
  <c r="J633" i="3"/>
  <c r="L633" i="3"/>
  <c r="K633" i="3"/>
  <c r="J632" i="3"/>
  <c r="K632" i="3"/>
  <c r="L632" i="3" s="1"/>
  <c r="K631" i="3"/>
  <c r="J631" i="3"/>
  <c r="L631" i="3"/>
  <c r="J630" i="3"/>
  <c r="K630" i="3"/>
  <c r="L630" i="3"/>
  <c r="K629" i="3"/>
  <c r="J629" i="3"/>
  <c r="L629" i="3"/>
  <c r="J628" i="3"/>
  <c r="K628" i="3"/>
  <c r="L628" i="3"/>
  <c r="J627" i="3"/>
  <c r="K627" i="3"/>
  <c r="L627" i="3" s="1"/>
  <c r="J626" i="3"/>
  <c r="K626" i="3"/>
  <c r="L626" i="3" s="1"/>
  <c r="J625" i="3"/>
  <c r="K625" i="3"/>
  <c r="L625" i="3"/>
  <c r="J624" i="3"/>
  <c r="K624" i="3"/>
  <c r="L624" i="3" s="1"/>
  <c r="J623" i="3"/>
  <c r="K623" i="3"/>
  <c r="L623" i="3"/>
  <c r="K622" i="3"/>
  <c r="L622" i="3"/>
  <c r="J622" i="3"/>
  <c r="L621" i="3"/>
  <c r="K621" i="3"/>
  <c r="J621" i="3"/>
  <c r="J620" i="3"/>
  <c r="L620" i="3"/>
  <c r="K620" i="3"/>
  <c r="K619" i="3"/>
  <c r="L619" i="3"/>
  <c r="J619" i="3"/>
  <c r="L618" i="3"/>
  <c r="K618" i="3"/>
  <c r="J618" i="3"/>
  <c r="J617" i="3"/>
  <c r="K617" i="3"/>
  <c r="L617" i="3" s="1"/>
  <c r="J616" i="3"/>
  <c r="K616" i="3"/>
  <c r="L616" i="3"/>
  <c r="J615" i="3"/>
  <c r="K615" i="3"/>
  <c r="L615" i="3"/>
  <c r="L614" i="3"/>
  <c r="J614" i="3"/>
  <c r="K614" i="3"/>
  <c r="L613" i="3"/>
  <c r="J613" i="3"/>
  <c r="K613" i="3"/>
  <c r="J612" i="3"/>
  <c r="K612" i="3"/>
  <c r="L612" i="3" s="1"/>
  <c r="L611" i="3"/>
  <c r="K611" i="3"/>
  <c r="J611" i="3"/>
  <c r="K610" i="3"/>
  <c r="J610" i="3"/>
  <c r="L610" i="3"/>
  <c r="L609" i="3"/>
  <c r="K609" i="3"/>
  <c r="J609" i="3"/>
  <c r="J608" i="3"/>
  <c r="K608" i="3"/>
  <c r="L608" i="3"/>
  <c r="K607" i="3"/>
  <c r="L607" i="3" s="1"/>
  <c r="J607" i="3"/>
  <c r="L606" i="3"/>
  <c r="K606" i="3"/>
  <c r="J606" i="3"/>
  <c r="L605" i="3"/>
  <c r="K605" i="3"/>
  <c r="J605" i="3"/>
  <c r="J604" i="3"/>
  <c r="K604" i="3"/>
  <c r="L604" i="3" s="1"/>
  <c r="J603" i="3"/>
  <c r="K603" i="3"/>
  <c r="L603" i="3"/>
  <c r="K602" i="3"/>
  <c r="L602" i="3" s="1"/>
  <c r="J602" i="3"/>
  <c r="K601" i="3"/>
  <c r="L601" i="3"/>
  <c r="J601" i="3"/>
  <c r="L600" i="3"/>
  <c r="J600" i="3"/>
  <c r="K600" i="3"/>
  <c r="K599" i="3"/>
  <c r="L599" i="3" s="1"/>
  <c r="J599" i="3"/>
  <c r="L598" i="3"/>
  <c r="K598" i="3"/>
  <c r="J598" i="3"/>
  <c r="K597" i="3"/>
  <c r="L597" i="3" s="1"/>
  <c r="J597" i="3"/>
  <c r="J596" i="3"/>
  <c r="K596" i="3"/>
  <c r="L596" i="3" s="1"/>
  <c r="J595" i="3"/>
  <c r="K595" i="3"/>
  <c r="L595" i="3"/>
  <c r="J594" i="3"/>
  <c r="K594" i="3"/>
  <c r="L594" i="3"/>
  <c r="L593" i="3"/>
  <c r="K593" i="3"/>
  <c r="J593" i="3"/>
  <c r="J592" i="3"/>
  <c r="K592" i="3"/>
  <c r="L592" i="3" s="1"/>
  <c r="K591" i="3"/>
  <c r="L591" i="3" s="1"/>
  <c r="J591" i="3"/>
  <c r="J590" i="3"/>
  <c r="K590" i="3"/>
  <c r="L590" i="3"/>
  <c r="J589" i="3"/>
  <c r="K589" i="3"/>
  <c r="L589" i="3"/>
  <c r="K588" i="3"/>
  <c r="L588" i="3" s="1"/>
  <c r="J588" i="3"/>
  <c r="J587" i="3"/>
  <c r="L587" i="3"/>
  <c r="K587" i="3"/>
  <c r="L586" i="3"/>
  <c r="K586" i="3"/>
  <c r="J586" i="3"/>
  <c r="J585" i="3"/>
  <c r="L585" i="3"/>
  <c r="K585" i="3"/>
  <c r="J584" i="3"/>
  <c r="K584" i="3"/>
  <c r="L584" i="3" s="1"/>
  <c r="J583" i="3"/>
  <c r="K583" i="3"/>
  <c r="L583" i="3"/>
  <c r="K582" i="3"/>
  <c r="J582" i="3"/>
  <c r="L582" i="3"/>
  <c r="J581" i="3"/>
  <c r="K581" i="3"/>
  <c r="L581" i="3"/>
  <c r="J580" i="3"/>
  <c r="K580" i="3"/>
  <c r="L580" i="3"/>
  <c r="K579" i="3"/>
  <c r="J579" i="3"/>
  <c r="L579" i="3"/>
  <c r="K578" i="3"/>
  <c r="J578" i="3"/>
  <c r="L578" i="3"/>
  <c r="K577" i="3"/>
  <c r="L577" i="3"/>
  <c r="J577" i="3"/>
  <c r="K576" i="3"/>
  <c r="L576" i="3" s="1"/>
  <c r="J576" i="3"/>
  <c r="L575" i="3"/>
  <c r="K575" i="3"/>
  <c r="J575" i="3"/>
  <c r="K574" i="3"/>
  <c r="L574" i="3" s="1"/>
  <c r="J574" i="3"/>
  <c r="J573" i="3"/>
  <c r="L573" i="3"/>
  <c r="K573" i="3"/>
  <c r="L572" i="3"/>
  <c r="K572" i="3"/>
  <c r="J572" i="3"/>
  <c r="L571" i="3"/>
  <c r="K571" i="3"/>
  <c r="J571" i="3"/>
  <c r="K570" i="3"/>
  <c r="J570" i="3"/>
  <c r="L570" i="3"/>
  <c r="J569" i="3"/>
  <c r="K569" i="3"/>
  <c r="L569" i="3"/>
  <c r="K568" i="3"/>
  <c r="L568" i="3" s="1"/>
  <c r="J568" i="3"/>
  <c r="L567" i="3"/>
  <c r="J567" i="3"/>
  <c r="K567" i="3"/>
  <c r="J566" i="3"/>
  <c r="K566" i="3"/>
  <c r="L566" i="3"/>
  <c r="K565" i="3"/>
  <c r="L565" i="3" s="1"/>
  <c r="J565" i="3"/>
  <c r="L564" i="3"/>
  <c r="K564" i="3"/>
  <c r="J564" i="3"/>
  <c r="L563" i="3"/>
  <c r="K563" i="3"/>
  <c r="J563" i="3"/>
  <c r="K562" i="3"/>
  <c r="L562" i="3" s="1"/>
  <c r="J562" i="3"/>
  <c r="K561" i="3"/>
  <c r="J561" i="3"/>
  <c r="L561" i="3"/>
  <c r="J560" i="3"/>
  <c r="L560" i="3"/>
  <c r="K560" i="3"/>
  <c r="L559" i="3"/>
  <c r="K559" i="3"/>
  <c r="J559" i="3"/>
  <c r="K558" i="3"/>
  <c r="L558" i="3" s="1"/>
  <c r="J558" i="3"/>
  <c r="L557" i="3"/>
  <c r="J557" i="3"/>
  <c r="K557" i="3"/>
  <c r="J556" i="3"/>
  <c r="K556" i="3"/>
  <c r="L556" i="3" s="1"/>
  <c r="J555" i="3"/>
  <c r="K555" i="3"/>
  <c r="L555" i="3"/>
  <c r="K554" i="3"/>
  <c r="J554" i="3"/>
  <c r="L554" i="3"/>
  <c r="J553" i="3"/>
  <c r="K553" i="3"/>
  <c r="L553" i="3"/>
  <c r="J552" i="3"/>
  <c r="K552" i="3"/>
  <c r="L552" i="3"/>
  <c r="J551" i="3"/>
  <c r="K551" i="3"/>
  <c r="L551" i="3" s="1"/>
  <c r="J550" i="3"/>
  <c r="K550" i="3"/>
  <c r="L550" i="3"/>
  <c r="K549" i="3"/>
  <c r="L549" i="3" s="1"/>
  <c r="J549" i="3"/>
  <c r="L548" i="3"/>
  <c r="K548" i="3"/>
  <c r="J548" i="3"/>
  <c r="K547" i="3"/>
  <c r="J547" i="3"/>
  <c r="L547" i="3"/>
  <c r="K546" i="3"/>
  <c r="L546" i="3" s="1"/>
  <c r="J546" i="3"/>
  <c r="J545" i="3"/>
  <c r="K545" i="3"/>
  <c r="L545" i="3" s="1"/>
  <c r="J544" i="3"/>
  <c r="K544" i="3"/>
  <c r="L544" i="3" s="1"/>
  <c r="L543" i="3"/>
  <c r="J543" i="3"/>
  <c r="K543" i="3"/>
  <c r="J542" i="3"/>
  <c r="K542" i="3"/>
  <c r="L542" i="3"/>
  <c r="J541" i="3"/>
  <c r="K541" i="3"/>
  <c r="L541" i="3"/>
  <c r="J540" i="3"/>
  <c r="K540" i="3"/>
  <c r="L540" i="3" s="1"/>
  <c r="K539" i="3"/>
  <c r="L539" i="3" s="1"/>
  <c r="J539" i="3"/>
  <c r="K538" i="3"/>
  <c r="J538" i="3"/>
  <c r="L538" i="3"/>
  <c r="J537" i="3"/>
  <c r="L537" i="3"/>
  <c r="K537" i="3"/>
  <c r="J536" i="3"/>
  <c r="K536" i="3"/>
  <c r="L536" i="3"/>
  <c r="J535" i="3"/>
  <c r="K535" i="3"/>
  <c r="L535" i="3" s="1"/>
  <c r="K534" i="3"/>
  <c r="L534" i="3" s="1"/>
  <c r="J534" i="3"/>
  <c r="L533" i="3"/>
  <c r="J533" i="3"/>
  <c r="K533" i="3"/>
  <c r="K532" i="3"/>
  <c r="L532" i="3"/>
  <c r="J532" i="3"/>
  <c r="K531" i="3"/>
  <c r="J531" i="3"/>
  <c r="L531" i="3"/>
  <c r="L530" i="3"/>
  <c r="K530" i="3"/>
  <c r="J530" i="3"/>
  <c r="J529" i="3"/>
  <c r="L529" i="3"/>
  <c r="K529" i="3"/>
  <c r="L528" i="3"/>
  <c r="K528" i="3"/>
  <c r="J528" i="3"/>
  <c r="K527" i="3"/>
  <c r="L527" i="3" s="1"/>
  <c r="J527" i="3"/>
  <c r="K526" i="3"/>
  <c r="L526" i="3" s="1"/>
  <c r="J526" i="3"/>
  <c r="L525" i="3"/>
  <c r="J525" i="3"/>
  <c r="K525" i="3"/>
  <c r="J524" i="3"/>
  <c r="K524" i="3"/>
  <c r="L524" i="3" s="1"/>
  <c r="L523" i="3"/>
  <c r="K523" i="3"/>
  <c r="J523" i="3"/>
  <c r="K522" i="3"/>
  <c r="L522" i="3"/>
  <c r="J522" i="3"/>
  <c r="L521" i="3"/>
  <c r="K521" i="3"/>
  <c r="J521" i="3"/>
  <c r="L520" i="3"/>
  <c r="K520" i="3"/>
  <c r="J520" i="3"/>
  <c r="K519" i="3"/>
  <c r="L519" i="3" s="1"/>
  <c r="J519" i="3"/>
  <c r="K518" i="3"/>
  <c r="J518" i="3"/>
  <c r="L518" i="3"/>
  <c r="L517" i="3"/>
  <c r="K517" i="3"/>
  <c r="J517" i="3"/>
  <c r="K516" i="3"/>
  <c r="L516" i="3" s="1"/>
  <c r="J516" i="3"/>
  <c r="J515" i="3"/>
  <c r="L515" i="3"/>
  <c r="K515" i="3"/>
  <c r="K514" i="3"/>
  <c r="L514" i="3" s="1"/>
  <c r="J514" i="3"/>
  <c r="K513" i="3"/>
  <c r="L513" i="3" s="1"/>
  <c r="J513" i="3"/>
  <c r="L512" i="3"/>
  <c r="K512" i="3"/>
  <c r="J512" i="3"/>
  <c r="L511" i="3"/>
  <c r="K511" i="3"/>
  <c r="J511" i="3"/>
  <c r="J510" i="3"/>
  <c r="K510" i="3"/>
  <c r="L510" i="3"/>
  <c r="L509" i="3"/>
  <c r="K509" i="3"/>
  <c r="J509" i="3"/>
  <c r="L508" i="3"/>
  <c r="K508" i="3"/>
  <c r="J508" i="3"/>
  <c r="K507" i="3"/>
  <c r="L507" i="3" s="1"/>
  <c r="J507" i="3"/>
  <c r="L506" i="3"/>
  <c r="K506" i="3"/>
  <c r="J506" i="3"/>
  <c r="L505" i="3"/>
  <c r="K505" i="3"/>
  <c r="J505" i="3"/>
  <c r="K504" i="3"/>
  <c r="L504" i="3" s="1"/>
  <c r="J504" i="3"/>
  <c r="K503" i="3"/>
  <c r="J503" i="3"/>
  <c r="L503" i="3"/>
  <c r="K502" i="3"/>
  <c r="L502" i="3" s="1"/>
  <c r="J502" i="3"/>
  <c r="K501" i="3"/>
  <c r="J501" i="3"/>
  <c r="L501" i="3"/>
  <c r="L500" i="3"/>
  <c r="K500" i="3"/>
  <c r="J500" i="3"/>
  <c r="L499" i="3"/>
  <c r="K499" i="3"/>
  <c r="J499" i="3"/>
  <c r="L498" i="3"/>
  <c r="K498" i="3"/>
  <c r="J498" i="3"/>
  <c r="J497" i="3"/>
  <c r="K497" i="3"/>
  <c r="L497" i="3"/>
  <c r="J496" i="3"/>
  <c r="K496" i="3"/>
  <c r="L496" i="3"/>
  <c r="L495" i="3"/>
  <c r="K495" i="3"/>
  <c r="J495" i="3"/>
  <c r="K494" i="3"/>
  <c r="J494" i="3"/>
  <c r="L494" i="3"/>
  <c r="L493" i="3"/>
  <c r="K493" i="3"/>
  <c r="J493" i="3"/>
  <c r="L492" i="3"/>
  <c r="K492" i="3"/>
  <c r="J492" i="3"/>
  <c r="J491" i="3"/>
  <c r="K491" i="3"/>
  <c r="L491" i="3" s="1"/>
  <c r="L490" i="3"/>
  <c r="K490" i="3"/>
  <c r="J490" i="3"/>
  <c r="J489" i="3"/>
  <c r="L489" i="3"/>
  <c r="K489" i="3"/>
  <c r="L488" i="3"/>
  <c r="K488" i="3"/>
  <c r="J488" i="3"/>
  <c r="L487" i="3"/>
  <c r="K487" i="3"/>
  <c r="J487" i="3"/>
  <c r="J486" i="3"/>
  <c r="L486" i="3"/>
  <c r="K486" i="3"/>
  <c r="L485" i="3"/>
  <c r="K485" i="3"/>
  <c r="J485" i="3"/>
  <c r="J484" i="3"/>
  <c r="K484" i="3"/>
  <c r="L484" i="3" s="1"/>
  <c r="L483" i="3"/>
  <c r="K483" i="3"/>
  <c r="J483" i="3"/>
  <c r="L482" i="3"/>
  <c r="K482" i="3"/>
  <c r="J482" i="3"/>
  <c r="L481" i="3"/>
  <c r="J481" i="3"/>
  <c r="K481" i="3"/>
  <c r="J480" i="3"/>
  <c r="K480" i="3"/>
  <c r="L480" i="3" s="1"/>
  <c r="K479" i="3"/>
  <c r="L479" i="3" s="1"/>
  <c r="J479" i="3"/>
  <c r="K478" i="3"/>
  <c r="L478" i="3" s="1"/>
  <c r="J478" i="3"/>
  <c r="L477" i="3"/>
  <c r="K477" i="3"/>
  <c r="J477" i="3"/>
  <c r="L476" i="3"/>
  <c r="K476" i="3"/>
  <c r="J476" i="3"/>
  <c r="J475" i="3"/>
  <c r="L475" i="3"/>
  <c r="K475" i="3"/>
  <c r="J474" i="3"/>
  <c r="K474" i="3"/>
  <c r="L474" i="3"/>
  <c r="K473" i="3"/>
  <c r="L473" i="3"/>
  <c r="J473" i="3"/>
  <c r="J472" i="3"/>
  <c r="L472" i="3"/>
  <c r="K472" i="3"/>
  <c r="J471" i="3"/>
  <c r="L471" i="3"/>
  <c r="K471" i="3"/>
  <c r="L470" i="3"/>
  <c r="K470" i="3"/>
  <c r="J470" i="3"/>
  <c r="J469" i="3"/>
  <c r="L469" i="3"/>
  <c r="K469" i="3"/>
  <c r="J468" i="3"/>
  <c r="L468" i="3"/>
  <c r="K468" i="3"/>
  <c r="K467" i="3"/>
  <c r="L467" i="3"/>
  <c r="J467" i="3"/>
  <c r="L466" i="3"/>
  <c r="K466" i="3"/>
  <c r="J466" i="3"/>
  <c r="L465" i="3"/>
  <c r="K465" i="3"/>
  <c r="J465" i="3"/>
  <c r="L464" i="3"/>
  <c r="K464" i="3"/>
  <c r="J464" i="3"/>
  <c r="J463" i="3"/>
  <c r="K463" i="3"/>
  <c r="L463" i="3" s="1"/>
  <c r="L462" i="3"/>
  <c r="K462" i="3"/>
  <c r="J462" i="3"/>
  <c r="L461" i="3"/>
  <c r="K461" i="3"/>
  <c r="J461" i="3"/>
  <c r="J460" i="3"/>
  <c r="L460" i="3"/>
  <c r="K460" i="3"/>
  <c r="L459" i="3"/>
  <c r="K459" i="3"/>
  <c r="J459" i="3"/>
  <c r="K458" i="3"/>
  <c r="L458" i="3" s="1"/>
  <c r="J458" i="3"/>
  <c r="K457" i="3"/>
  <c r="L457" i="3" s="1"/>
  <c r="J457" i="3"/>
  <c r="L456" i="3"/>
  <c r="K456" i="3"/>
  <c r="J456" i="3"/>
  <c r="L455" i="3"/>
  <c r="K455" i="3"/>
  <c r="J455" i="3"/>
  <c r="L454" i="3"/>
  <c r="J454" i="3"/>
  <c r="K454" i="3"/>
  <c r="J453" i="3"/>
  <c r="K453" i="3"/>
  <c r="L453" i="3"/>
  <c r="L452" i="3"/>
  <c r="K452" i="3"/>
  <c r="J452" i="3"/>
  <c r="K451" i="3"/>
  <c r="L451" i="3" s="1"/>
  <c r="J451" i="3"/>
  <c r="L450" i="3"/>
  <c r="K450" i="3"/>
  <c r="J450" i="3"/>
  <c r="J449" i="3"/>
  <c r="L449" i="3"/>
  <c r="K449" i="3"/>
  <c r="L448" i="3"/>
  <c r="K448" i="3"/>
  <c r="J448" i="3"/>
  <c r="J447" i="3"/>
  <c r="L447" i="3"/>
  <c r="K447" i="3"/>
  <c r="J446" i="3"/>
  <c r="K446" i="3"/>
  <c r="L446" i="3"/>
  <c r="J445" i="3"/>
  <c r="K445" i="3"/>
  <c r="L445" i="3" s="1"/>
  <c r="J444" i="3"/>
  <c r="K444" i="3"/>
  <c r="L444" i="3" s="1"/>
  <c r="K443" i="3"/>
  <c r="L443" i="3"/>
  <c r="J443" i="3"/>
  <c r="L442" i="3"/>
  <c r="K442" i="3"/>
  <c r="J442" i="3"/>
  <c r="L441" i="3"/>
  <c r="K441" i="3"/>
  <c r="J441" i="3"/>
  <c r="K440" i="3"/>
  <c r="L440" i="3"/>
  <c r="J440" i="3"/>
  <c r="L439" i="3"/>
  <c r="K439" i="3"/>
  <c r="J439" i="3"/>
  <c r="L438" i="3"/>
  <c r="K438" i="3"/>
  <c r="J438" i="3"/>
  <c r="K437" i="3"/>
  <c r="J437" i="3"/>
  <c r="L437" i="3"/>
  <c r="L436" i="3"/>
  <c r="K436" i="3"/>
  <c r="J436" i="3"/>
  <c r="L435" i="3"/>
  <c r="K435" i="3"/>
  <c r="J435" i="3"/>
  <c r="K434" i="3"/>
  <c r="J434" i="3"/>
  <c r="L434" i="3"/>
  <c r="J433" i="3"/>
  <c r="L433" i="3"/>
  <c r="K433" i="3"/>
  <c r="K432" i="3"/>
  <c r="L432" i="3" s="1"/>
  <c r="J432" i="3"/>
  <c r="L431" i="3"/>
  <c r="K431" i="3"/>
  <c r="J431" i="3"/>
  <c r="L430" i="3"/>
  <c r="K430" i="3"/>
  <c r="J430" i="3"/>
  <c r="K429" i="3"/>
  <c r="J429" i="3"/>
  <c r="L429" i="3"/>
  <c r="J428" i="3"/>
  <c r="K428" i="3"/>
  <c r="L428" i="3"/>
  <c r="J427" i="3"/>
  <c r="K427" i="3"/>
  <c r="L427" i="3"/>
  <c r="L426" i="3"/>
  <c r="K426" i="3"/>
  <c r="J426" i="3"/>
  <c r="L425" i="3"/>
  <c r="K425" i="3"/>
  <c r="J425" i="3"/>
  <c r="K424" i="3"/>
  <c r="L424" i="3" s="1"/>
  <c r="J424" i="3"/>
  <c r="L423" i="3"/>
  <c r="K423" i="3"/>
  <c r="J423" i="3"/>
  <c r="J422" i="3"/>
  <c r="K422" i="3"/>
  <c r="L422" i="3"/>
  <c r="J421" i="3"/>
  <c r="K421" i="3"/>
  <c r="L421" i="3"/>
  <c r="K420" i="3"/>
  <c r="L420" i="3"/>
  <c r="J420" i="3"/>
  <c r="K419" i="3"/>
  <c r="J419" i="3"/>
  <c r="L419" i="3"/>
  <c r="J418" i="3"/>
  <c r="K418" i="3"/>
  <c r="L418" i="3" s="1"/>
  <c r="K417" i="3"/>
  <c r="L417" i="3" s="1"/>
  <c r="J417" i="3"/>
  <c r="K416" i="3"/>
  <c r="L416" i="3" s="1"/>
  <c r="J416" i="3"/>
  <c r="L415" i="3"/>
  <c r="K415" i="3"/>
  <c r="J415" i="3"/>
  <c r="L414" i="3"/>
  <c r="K414" i="3"/>
  <c r="J414" i="3"/>
  <c r="K413" i="3"/>
  <c r="L413" i="3" s="1"/>
  <c r="J413" i="3"/>
  <c r="L412" i="3"/>
  <c r="K412" i="3"/>
  <c r="J412" i="3"/>
  <c r="L411" i="3"/>
  <c r="K411" i="3"/>
  <c r="J411" i="3"/>
  <c r="K410" i="3"/>
  <c r="J410" i="3"/>
  <c r="L410" i="3"/>
  <c r="L409" i="3"/>
  <c r="K409" i="3"/>
  <c r="J409" i="3"/>
  <c r="L408" i="3"/>
  <c r="K408" i="3"/>
  <c r="J408" i="3"/>
  <c r="K407" i="3"/>
  <c r="J407" i="3"/>
  <c r="L407" i="3"/>
  <c r="K406" i="3"/>
  <c r="J406" i="3"/>
  <c r="L406" i="3"/>
  <c r="K405" i="3"/>
  <c r="L405" i="3"/>
  <c r="J405" i="3"/>
  <c r="J404" i="3"/>
  <c r="L404" i="3"/>
  <c r="K404" i="3"/>
  <c r="K403" i="3"/>
  <c r="J403" i="3"/>
  <c r="L403" i="3"/>
  <c r="L402" i="3"/>
  <c r="K402" i="3"/>
  <c r="J402" i="3"/>
  <c r="J401" i="3"/>
  <c r="K401" i="3"/>
  <c r="L401" i="3" s="1"/>
  <c r="J400" i="3"/>
  <c r="K400" i="3"/>
  <c r="L400" i="3"/>
  <c r="J399" i="3"/>
  <c r="K399" i="3"/>
  <c r="L399" i="3"/>
  <c r="L398" i="3"/>
  <c r="K398" i="3"/>
  <c r="J398" i="3"/>
  <c r="K397" i="3"/>
  <c r="L397" i="3" s="1"/>
  <c r="J397" i="3"/>
  <c r="K396" i="3"/>
  <c r="L396" i="3" s="1"/>
  <c r="J396" i="3"/>
  <c r="L395" i="3"/>
  <c r="K395" i="3"/>
  <c r="J395" i="3"/>
  <c r="L394" i="3"/>
  <c r="K394" i="3"/>
  <c r="J394" i="3"/>
  <c r="K393" i="3"/>
  <c r="L393" i="3" s="1"/>
  <c r="J393" i="3"/>
  <c r="J392" i="3"/>
  <c r="K392" i="3"/>
  <c r="L392" i="3" s="1"/>
  <c r="J391" i="3"/>
  <c r="L391" i="3"/>
  <c r="K391" i="3"/>
  <c r="J390" i="3"/>
  <c r="K390" i="3"/>
  <c r="L390" i="3"/>
  <c r="L389" i="3"/>
  <c r="K389" i="3"/>
  <c r="J389" i="3"/>
  <c r="J388" i="3"/>
  <c r="L388" i="3"/>
  <c r="K388" i="3"/>
  <c r="K387" i="3"/>
  <c r="J387" i="3"/>
  <c r="L387" i="3"/>
  <c r="J386" i="3"/>
  <c r="L386" i="3"/>
  <c r="K386" i="3"/>
  <c r="K385" i="3"/>
  <c r="L385" i="3" s="1"/>
  <c r="J385" i="3"/>
  <c r="K384" i="3"/>
  <c r="L384" i="3"/>
  <c r="J384" i="3"/>
  <c r="L383" i="3"/>
  <c r="K383" i="3"/>
  <c r="J383" i="3"/>
  <c r="J382" i="3"/>
  <c r="L382" i="3"/>
  <c r="K382" i="3"/>
  <c r="L381" i="3"/>
  <c r="J381" i="3"/>
  <c r="K381" i="3"/>
  <c r="K380" i="3"/>
  <c r="J380" i="3"/>
  <c r="L380" i="3"/>
  <c r="K379" i="3"/>
  <c r="L379" i="3" s="1"/>
  <c r="J379" i="3"/>
  <c r="K378" i="3"/>
  <c r="L378" i="3" s="1"/>
  <c r="J378" i="3"/>
  <c r="L377" i="3"/>
  <c r="K377" i="3"/>
  <c r="J377" i="3"/>
  <c r="K376" i="3"/>
  <c r="J376" i="3"/>
  <c r="L376" i="3"/>
  <c r="L375" i="3"/>
  <c r="K375" i="3"/>
  <c r="J375" i="3"/>
  <c r="K374" i="3"/>
  <c r="L374" i="3" s="1"/>
  <c r="J374" i="3"/>
  <c r="J373" i="3"/>
  <c r="K373" i="3"/>
  <c r="L373" i="3"/>
  <c r="K372" i="3"/>
  <c r="L372" i="3" s="1"/>
  <c r="J372" i="3"/>
  <c r="K371" i="3"/>
  <c r="L371" i="3" s="1"/>
  <c r="J371" i="3"/>
  <c r="L370" i="3"/>
  <c r="J370" i="3"/>
  <c r="K370" i="3"/>
  <c r="L369" i="3"/>
  <c r="K369" i="3"/>
  <c r="J369" i="3"/>
  <c r="L368" i="3"/>
  <c r="K368" i="3"/>
  <c r="J368" i="3"/>
  <c r="L367" i="3"/>
  <c r="K367" i="3"/>
  <c r="J367" i="3"/>
  <c r="L366" i="3"/>
  <c r="K366" i="3"/>
  <c r="J366" i="3"/>
  <c r="K365" i="3"/>
  <c r="L365" i="3" s="1"/>
  <c r="J365" i="3"/>
  <c r="K364" i="3"/>
  <c r="L364" i="3" s="1"/>
  <c r="J364" i="3"/>
  <c r="L363" i="3"/>
  <c r="K363" i="3"/>
  <c r="J363" i="3"/>
  <c r="L362" i="3"/>
  <c r="J362" i="3"/>
  <c r="K362" i="3"/>
  <c r="L361" i="3"/>
  <c r="K361" i="3"/>
  <c r="J361" i="3"/>
  <c r="K360" i="3"/>
  <c r="J360" i="3"/>
  <c r="L360" i="3"/>
  <c r="J359" i="3"/>
  <c r="L359" i="3"/>
  <c r="K359" i="3"/>
  <c r="L358" i="3"/>
  <c r="J358" i="3"/>
  <c r="K358" i="3"/>
  <c r="L357" i="3"/>
  <c r="K357" i="3"/>
  <c r="J357" i="3"/>
  <c r="J356" i="3"/>
  <c r="K356" i="3"/>
  <c r="L356" i="3" s="1"/>
  <c r="J355" i="3"/>
  <c r="L355" i="3"/>
  <c r="K355" i="3"/>
  <c r="K354" i="3"/>
  <c r="J354" i="3"/>
  <c r="L354" i="3"/>
  <c r="L353" i="3"/>
  <c r="J353" i="3"/>
  <c r="K353" i="3"/>
  <c r="K352" i="3"/>
  <c r="J352" i="3"/>
  <c r="L352" i="3"/>
  <c r="J351" i="3"/>
  <c r="L351" i="3"/>
  <c r="K351" i="3"/>
  <c r="L350" i="3"/>
  <c r="K350" i="3"/>
  <c r="J350" i="3"/>
  <c r="L349" i="3"/>
  <c r="K349" i="3"/>
  <c r="J349" i="3"/>
  <c r="L348" i="3"/>
  <c r="K348" i="3"/>
  <c r="J348" i="3"/>
  <c r="J347" i="3"/>
  <c r="L347" i="3"/>
  <c r="K347" i="3"/>
  <c r="K346" i="3"/>
  <c r="L346" i="3" s="1"/>
  <c r="J346" i="3"/>
  <c r="J345" i="3"/>
  <c r="L345" i="3"/>
  <c r="K345" i="3"/>
  <c r="K344" i="3"/>
  <c r="J344" i="3"/>
  <c r="L344" i="3"/>
  <c r="J343" i="3"/>
  <c r="K343" i="3"/>
  <c r="L343" i="3" s="1"/>
  <c r="L342" i="3"/>
  <c r="J342" i="3"/>
  <c r="K342" i="3"/>
  <c r="L341" i="3"/>
  <c r="K341" i="3"/>
  <c r="J341" i="3"/>
  <c r="K340" i="3"/>
  <c r="L340" i="3" s="1"/>
  <c r="J340" i="3"/>
  <c r="K339" i="3"/>
  <c r="L339" i="3"/>
  <c r="J339" i="3"/>
  <c r="K338" i="3"/>
  <c r="L338" i="3" s="1"/>
  <c r="J338" i="3"/>
  <c r="L337" i="3"/>
  <c r="K337" i="3"/>
  <c r="J337" i="3"/>
  <c r="L336" i="3"/>
  <c r="K336" i="3"/>
  <c r="J336" i="3"/>
  <c r="J335" i="3"/>
  <c r="K335" i="3"/>
  <c r="L335" i="3"/>
  <c r="J334" i="3"/>
  <c r="K334" i="3"/>
  <c r="L334" i="3" s="1"/>
  <c r="L333" i="3"/>
  <c r="K333" i="3"/>
  <c r="J333" i="3"/>
  <c r="K332" i="3"/>
  <c r="L332" i="3" s="1"/>
  <c r="J332" i="3"/>
  <c r="K331" i="3"/>
  <c r="L331" i="3" s="1"/>
  <c r="J331" i="3"/>
  <c r="K330" i="3"/>
  <c r="L330" i="3"/>
  <c r="J330" i="3"/>
  <c r="K329" i="3"/>
  <c r="L329" i="3" s="1"/>
  <c r="J329" i="3"/>
  <c r="K328" i="3"/>
  <c r="L328" i="3" s="1"/>
  <c r="J328" i="3"/>
  <c r="L327" i="3"/>
  <c r="J327" i="3"/>
  <c r="K327" i="3"/>
  <c r="J326" i="3"/>
  <c r="K326" i="3"/>
  <c r="L326" i="3"/>
  <c r="J325" i="3"/>
  <c r="K325" i="3"/>
  <c r="L325" i="3" s="1"/>
  <c r="K324" i="3"/>
  <c r="J324" i="3"/>
  <c r="L324" i="3"/>
  <c r="J323" i="3"/>
  <c r="K323" i="3"/>
  <c r="L323" i="3"/>
  <c r="J322" i="3"/>
  <c r="K322" i="3"/>
  <c r="L322" i="3"/>
  <c r="J321" i="3"/>
  <c r="K321" i="3"/>
  <c r="L321" i="3"/>
  <c r="L320" i="3"/>
  <c r="K320" i="3"/>
  <c r="J320" i="3"/>
  <c r="K319" i="3"/>
  <c r="L319" i="3" s="1"/>
  <c r="J319" i="3"/>
  <c r="L318" i="3"/>
  <c r="K318" i="3"/>
  <c r="J318" i="3"/>
  <c r="L317" i="3"/>
  <c r="K317" i="3"/>
  <c r="J317" i="3"/>
  <c r="L316" i="3"/>
  <c r="K316" i="3"/>
  <c r="J316" i="3"/>
  <c r="K315" i="3"/>
  <c r="L315" i="3" s="1"/>
  <c r="J315" i="3"/>
  <c r="K314" i="3"/>
  <c r="L314" i="3" s="1"/>
  <c r="J314" i="3"/>
  <c r="K313" i="3"/>
  <c r="L313" i="3" s="1"/>
  <c r="J313" i="3"/>
  <c r="L312" i="3"/>
  <c r="J312" i="3"/>
  <c r="K312" i="3"/>
  <c r="K311" i="3"/>
  <c r="J311" i="3"/>
  <c r="L311" i="3"/>
  <c r="K310" i="3"/>
  <c r="J310" i="3"/>
  <c r="L310" i="3"/>
  <c r="J309" i="3"/>
  <c r="L309" i="3"/>
  <c r="K309" i="3"/>
  <c r="L308" i="3"/>
  <c r="K308" i="3"/>
  <c r="J308" i="3"/>
  <c r="K307" i="3"/>
  <c r="J307" i="3"/>
  <c r="L307" i="3"/>
  <c r="J306" i="3"/>
  <c r="K306" i="3"/>
  <c r="L306" i="3"/>
  <c r="K305" i="3"/>
  <c r="L305" i="3"/>
  <c r="J305" i="3"/>
  <c r="J304" i="3"/>
  <c r="K304" i="3"/>
  <c r="L304" i="3" s="1"/>
  <c r="L303" i="3"/>
  <c r="J303" i="3"/>
  <c r="K303" i="3"/>
  <c r="L302" i="3"/>
  <c r="K302" i="3"/>
  <c r="J302" i="3"/>
  <c r="J301" i="3"/>
  <c r="K301" i="3"/>
  <c r="L301" i="3"/>
  <c r="J300" i="3"/>
  <c r="K300" i="3"/>
  <c r="L300" i="3"/>
  <c r="K299" i="3"/>
  <c r="L299" i="3"/>
  <c r="J299" i="3"/>
  <c r="L298" i="3"/>
  <c r="K298" i="3"/>
  <c r="J298" i="3"/>
  <c r="L297" i="3"/>
  <c r="K297" i="3"/>
  <c r="J297" i="3"/>
  <c r="J296" i="3"/>
  <c r="L296" i="3"/>
  <c r="K296" i="3"/>
  <c r="L295" i="3"/>
  <c r="J295" i="3"/>
  <c r="K295" i="3"/>
  <c r="J294" i="3"/>
  <c r="K294" i="3"/>
  <c r="L294" i="3"/>
  <c r="J293" i="3"/>
  <c r="K293" i="3"/>
  <c r="L293" i="3"/>
  <c r="J292" i="3"/>
  <c r="K292" i="3"/>
  <c r="L292" i="3"/>
  <c r="J291" i="3"/>
  <c r="K291" i="3"/>
  <c r="L291" i="3"/>
  <c r="J290" i="3"/>
  <c r="K290" i="3"/>
  <c r="L290" i="3"/>
  <c r="J289" i="3"/>
  <c r="L289" i="3"/>
  <c r="K289" i="3"/>
  <c r="L288" i="3"/>
  <c r="K288" i="3"/>
  <c r="J288" i="3"/>
  <c r="J287" i="3"/>
  <c r="K287" i="3"/>
  <c r="L287" i="3"/>
  <c r="L286" i="3"/>
  <c r="J286" i="3"/>
  <c r="K286" i="3"/>
  <c r="J285" i="3"/>
  <c r="K285" i="3"/>
  <c r="L285" i="3"/>
  <c r="J284" i="3"/>
  <c r="L284" i="3"/>
  <c r="K284" i="3"/>
  <c r="J283" i="3"/>
  <c r="K283" i="3"/>
  <c r="L283" i="3"/>
  <c r="J282" i="3"/>
  <c r="K282" i="3"/>
  <c r="L282" i="3"/>
  <c r="J281" i="3"/>
  <c r="K281" i="3"/>
  <c r="L281" i="3" s="1"/>
  <c r="J280" i="3"/>
  <c r="K280" i="3"/>
  <c r="L280" i="3"/>
  <c r="L279" i="3"/>
  <c r="K279" i="3"/>
  <c r="J279" i="3"/>
  <c r="L278" i="3"/>
  <c r="K278" i="3"/>
  <c r="J278" i="3"/>
  <c r="L277" i="3"/>
  <c r="K277" i="3"/>
  <c r="J277" i="3"/>
  <c r="L276" i="3"/>
  <c r="K276" i="3"/>
  <c r="J276" i="3"/>
  <c r="L275" i="3"/>
  <c r="K275" i="3"/>
  <c r="J275" i="3"/>
  <c r="L274" i="3"/>
  <c r="K274" i="3"/>
  <c r="J274" i="3"/>
  <c r="L273" i="3"/>
  <c r="K273" i="3"/>
  <c r="J273" i="3"/>
  <c r="L272" i="3"/>
  <c r="K272" i="3"/>
  <c r="J272" i="3"/>
  <c r="L271" i="3"/>
  <c r="K271" i="3"/>
  <c r="J271" i="3"/>
  <c r="L270" i="3"/>
  <c r="K270" i="3"/>
  <c r="J270" i="3"/>
  <c r="J269" i="3"/>
  <c r="L269" i="3"/>
  <c r="K269" i="3"/>
  <c r="J268" i="3"/>
  <c r="L268" i="3"/>
  <c r="K268" i="3"/>
  <c r="K267" i="3"/>
  <c r="J267" i="3"/>
  <c r="L267" i="3"/>
  <c r="K266" i="3"/>
  <c r="L266" i="3"/>
  <c r="J266" i="3"/>
  <c r="L265" i="3"/>
  <c r="K265" i="3"/>
  <c r="J265" i="3"/>
  <c r="K264" i="3"/>
  <c r="J264" i="3"/>
  <c r="L264" i="3"/>
  <c r="L263" i="3"/>
  <c r="K263" i="3"/>
  <c r="J263" i="3"/>
  <c r="K262" i="3"/>
  <c r="J262" i="3"/>
  <c r="L262" i="3"/>
  <c r="K261" i="3"/>
  <c r="L261" i="3" s="1"/>
  <c r="J261" i="3"/>
  <c r="K260" i="3"/>
  <c r="J260" i="3"/>
  <c r="L260" i="3"/>
  <c r="K259" i="3"/>
  <c r="J259" i="3"/>
  <c r="L259" i="3"/>
  <c r="L258" i="3"/>
  <c r="J258" i="3"/>
  <c r="K258" i="3"/>
  <c r="K257" i="3"/>
  <c r="L257" i="3"/>
  <c r="J257" i="3"/>
  <c r="K256" i="3"/>
  <c r="L256" i="3"/>
  <c r="J256" i="3"/>
  <c r="J255" i="3"/>
  <c r="K255" i="3"/>
  <c r="L255" i="3"/>
  <c r="J254" i="3"/>
  <c r="K254" i="3"/>
  <c r="L254" i="3"/>
  <c r="J253" i="3"/>
  <c r="K253" i="3"/>
  <c r="L253" i="3"/>
  <c r="J252" i="3"/>
  <c r="K252" i="3"/>
  <c r="L252" i="3" s="1"/>
  <c r="K251" i="3"/>
  <c r="L251" i="3" s="1"/>
  <c r="J251" i="3"/>
  <c r="L250" i="3"/>
  <c r="K250" i="3"/>
  <c r="J250" i="3"/>
  <c r="L249" i="3"/>
  <c r="K249" i="3"/>
  <c r="J249" i="3"/>
  <c r="L248" i="3"/>
  <c r="K248" i="3"/>
  <c r="J248" i="3"/>
  <c r="L247" i="3"/>
  <c r="J247" i="3"/>
  <c r="K247" i="3"/>
  <c r="K246" i="3"/>
  <c r="L246" i="3" s="1"/>
  <c r="J246" i="3"/>
  <c r="J245" i="3"/>
  <c r="K245" i="3"/>
  <c r="L245" i="3" s="1"/>
  <c r="J244" i="3"/>
  <c r="K244" i="3"/>
  <c r="L244" i="3"/>
  <c r="J243" i="3"/>
  <c r="K243" i="3"/>
  <c r="L243" i="3"/>
  <c r="J242" i="3"/>
  <c r="K242" i="3"/>
  <c r="L242" i="3" s="1"/>
  <c r="J241" i="3"/>
  <c r="K241" i="3"/>
  <c r="L241" i="3"/>
  <c r="K240" i="3"/>
  <c r="L240" i="3"/>
  <c r="J240" i="3"/>
  <c r="L239" i="3"/>
  <c r="K239" i="3"/>
  <c r="J239" i="3"/>
  <c r="J238" i="3"/>
  <c r="K238" i="3"/>
  <c r="L238" i="3" s="1"/>
  <c r="L237" i="3"/>
  <c r="K237" i="3"/>
  <c r="J237" i="3"/>
  <c r="L236" i="3"/>
  <c r="K236" i="3"/>
  <c r="J236" i="3"/>
  <c r="L235" i="3"/>
  <c r="K235" i="3"/>
  <c r="J235" i="3"/>
  <c r="L234" i="3"/>
  <c r="K234" i="3"/>
  <c r="J234" i="3"/>
  <c r="L233" i="3"/>
  <c r="K233" i="3"/>
  <c r="J233" i="3"/>
  <c r="L232" i="3"/>
  <c r="K232" i="3"/>
  <c r="J232" i="3"/>
  <c r="K231" i="3"/>
  <c r="L231" i="3" s="1"/>
  <c r="J231" i="3"/>
  <c r="L230" i="3"/>
  <c r="K230" i="3"/>
  <c r="J230" i="3"/>
  <c r="L229" i="3"/>
  <c r="K229" i="3"/>
  <c r="J229" i="3"/>
  <c r="L228" i="3"/>
  <c r="K228" i="3"/>
  <c r="J228" i="3"/>
  <c r="L227" i="3"/>
  <c r="K227" i="3"/>
  <c r="J227" i="3"/>
  <c r="L226" i="3"/>
  <c r="K226" i="3"/>
  <c r="J226" i="3"/>
  <c r="L225" i="3"/>
  <c r="K225" i="3"/>
  <c r="J225" i="3"/>
  <c r="L224" i="3"/>
  <c r="K224" i="3"/>
  <c r="J224" i="3"/>
  <c r="K223" i="3"/>
  <c r="L223" i="3" s="1"/>
  <c r="J223" i="3"/>
  <c r="K222" i="3"/>
  <c r="L222" i="3" s="1"/>
  <c r="J222" i="3"/>
  <c r="K221" i="3"/>
  <c r="L221" i="3" s="1"/>
  <c r="J221" i="3"/>
  <c r="L220" i="3"/>
  <c r="K220" i="3"/>
  <c r="J220" i="3"/>
  <c r="L219" i="3"/>
  <c r="K219" i="3"/>
  <c r="J219" i="3"/>
  <c r="L218" i="3"/>
  <c r="K218" i="3"/>
  <c r="J218" i="3"/>
  <c r="L217" i="3"/>
  <c r="K217" i="3"/>
  <c r="J217" i="3"/>
  <c r="L216" i="3"/>
  <c r="K216" i="3"/>
  <c r="J216" i="3"/>
  <c r="L215" i="3"/>
  <c r="K215" i="3"/>
  <c r="J215" i="3"/>
  <c r="K214" i="3"/>
  <c r="L214" i="3" s="1"/>
  <c r="J214" i="3"/>
  <c r="L213" i="3"/>
  <c r="K213" i="3"/>
  <c r="J213" i="3"/>
  <c r="L212" i="3"/>
  <c r="K212" i="3"/>
  <c r="J212" i="3"/>
  <c r="K211" i="3"/>
  <c r="L211" i="3" s="1"/>
  <c r="J211" i="3"/>
  <c r="K210" i="3"/>
  <c r="L210" i="3" s="1"/>
  <c r="J210" i="3"/>
  <c r="L209" i="3"/>
  <c r="K209" i="3"/>
  <c r="J209" i="3"/>
  <c r="L208" i="3"/>
  <c r="K208" i="3"/>
  <c r="J208" i="3"/>
  <c r="K207" i="3"/>
  <c r="L207" i="3" s="1"/>
  <c r="J207" i="3"/>
  <c r="K206" i="3"/>
  <c r="L206" i="3" s="1"/>
  <c r="J206" i="3"/>
  <c r="L205" i="3"/>
  <c r="K205" i="3"/>
  <c r="J205" i="3"/>
  <c r="K204" i="3"/>
  <c r="L204" i="3" s="1"/>
  <c r="J204" i="3"/>
  <c r="L203" i="3"/>
  <c r="K203" i="3"/>
  <c r="J203" i="3"/>
  <c r="L202" i="3"/>
  <c r="K202" i="3"/>
  <c r="J202" i="3"/>
  <c r="L201" i="3"/>
  <c r="K201" i="3"/>
  <c r="J201" i="3"/>
  <c r="K200" i="3"/>
  <c r="L200" i="3" s="1"/>
  <c r="J200" i="3"/>
  <c r="L199" i="3"/>
  <c r="K199" i="3"/>
  <c r="J199" i="3"/>
  <c r="L198" i="3"/>
  <c r="K198" i="3"/>
  <c r="J198" i="3"/>
  <c r="K197" i="3"/>
  <c r="L197" i="3" s="1"/>
  <c r="J197" i="3"/>
  <c r="L196" i="3"/>
  <c r="K196" i="3"/>
  <c r="J196" i="3"/>
  <c r="K195" i="3"/>
  <c r="L195" i="3" s="1"/>
  <c r="J195" i="3"/>
  <c r="J194" i="3"/>
  <c r="K194" i="3"/>
  <c r="L194" i="3" s="1"/>
  <c r="J193" i="3"/>
  <c r="K193" i="3"/>
  <c r="L193" i="3" s="1"/>
  <c r="K192" i="3"/>
  <c r="J192" i="3"/>
  <c r="L192" i="3"/>
  <c r="J191" i="3"/>
  <c r="K191" i="3"/>
  <c r="L191" i="3" s="1"/>
  <c r="K190" i="3"/>
  <c r="L190" i="3" s="1"/>
  <c r="J190" i="3"/>
  <c r="J189" i="3"/>
  <c r="K189" i="3"/>
  <c r="L189" i="3" s="1"/>
  <c r="J188" i="3"/>
  <c r="K188" i="3"/>
  <c r="L188" i="3"/>
  <c r="J187" i="3"/>
  <c r="K187" i="3"/>
  <c r="L187" i="3"/>
  <c r="J186" i="3"/>
  <c r="K186" i="3"/>
  <c r="L186" i="3" s="1"/>
  <c r="K185" i="3"/>
  <c r="L185" i="3" s="1"/>
  <c r="J185" i="3"/>
  <c r="J184" i="3"/>
  <c r="L184" i="3"/>
  <c r="K184" i="3"/>
  <c r="J183" i="3"/>
  <c r="K183" i="3"/>
  <c r="L183" i="3"/>
  <c r="J182" i="3"/>
  <c r="K182" i="3"/>
  <c r="L182" i="3"/>
  <c r="J181" i="3"/>
  <c r="K181" i="3"/>
  <c r="L181" i="3" s="1"/>
  <c r="L180" i="3"/>
  <c r="K180" i="3"/>
  <c r="J180" i="3"/>
  <c r="K179" i="3"/>
  <c r="L179" i="3" s="1"/>
  <c r="J179" i="3"/>
  <c r="K178" i="3"/>
  <c r="L178" i="3" s="1"/>
  <c r="J178" i="3"/>
  <c r="L177" i="3"/>
  <c r="K177" i="3"/>
  <c r="J177" i="3"/>
  <c r="K176" i="3"/>
  <c r="L176" i="3" s="1"/>
  <c r="J176" i="3"/>
  <c r="K175" i="3"/>
  <c r="J175" i="3"/>
  <c r="L175" i="3"/>
  <c r="L174" i="3"/>
  <c r="K174" i="3"/>
  <c r="J174" i="3"/>
  <c r="L173" i="3"/>
  <c r="K173" i="3"/>
  <c r="J173" i="3"/>
  <c r="K172" i="3"/>
  <c r="L172" i="3"/>
  <c r="J172" i="3"/>
  <c r="L171" i="3"/>
  <c r="K171" i="3"/>
  <c r="J171" i="3"/>
  <c r="K170" i="3"/>
  <c r="J170" i="3"/>
  <c r="L170" i="3"/>
  <c r="K169" i="3"/>
  <c r="L169" i="3"/>
  <c r="J169" i="3"/>
  <c r="K168" i="3"/>
  <c r="J168" i="3"/>
  <c r="L168" i="3"/>
  <c r="K167" i="3"/>
  <c r="J167" i="3"/>
  <c r="L167" i="3"/>
  <c r="J166" i="3"/>
  <c r="K166" i="3"/>
  <c r="L166" i="3"/>
  <c r="L165" i="3"/>
  <c r="J165" i="3"/>
  <c r="K165" i="3"/>
  <c r="K164" i="3"/>
  <c r="L164" i="3" s="1"/>
  <c r="J164" i="3"/>
  <c r="L163" i="3"/>
  <c r="K163" i="3"/>
  <c r="J163" i="3"/>
  <c r="L162" i="3"/>
  <c r="K162" i="3"/>
  <c r="J162" i="3"/>
  <c r="L161" i="3"/>
  <c r="K161" i="3"/>
  <c r="J161" i="3"/>
  <c r="J160" i="3"/>
  <c r="L160" i="3"/>
  <c r="K160" i="3"/>
  <c r="J159" i="3"/>
  <c r="K159" i="3"/>
  <c r="L159" i="3"/>
  <c r="J158" i="3"/>
  <c r="K158" i="3"/>
  <c r="L158" i="3"/>
  <c r="J157" i="3"/>
  <c r="K157" i="3"/>
  <c r="L157" i="3"/>
  <c r="J156" i="3"/>
  <c r="K156" i="3"/>
  <c r="L156" i="3"/>
  <c r="J155" i="3"/>
  <c r="K155" i="3"/>
  <c r="L155" i="3"/>
  <c r="J154" i="3"/>
  <c r="K154" i="3"/>
  <c r="L154" i="3" s="1"/>
  <c r="K153" i="3"/>
  <c r="L153" i="3"/>
  <c r="J153" i="3"/>
  <c r="L152" i="3"/>
  <c r="J152" i="3"/>
  <c r="K152" i="3"/>
  <c r="J151" i="3"/>
  <c r="K151" i="3"/>
  <c r="L151" i="3"/>
  <c r="L150" i="3"/>
  <c r="K150" i="3"/>
  <c r="J150" i="3"/>
  <c r="L149" i="3"/>
  <c r="J149" i="3"/>
  <c r="K149" i="3"/>
  <c r="J148" i="3"/>
  <c r="K148" i="3"/>
  <c r="L148" i="3"/>
  <c r="L147" i="3"/>
  <c r="K147" i="3"/>
  <c r="J147" i="3"/>
  <c r="L146" i="3"/>
  <c r="K146" i="3"/>
  <c r="J146" i="3"/>
  <c r="J145" i="3"/>
  <c r="K145" i="3"/>
  <c r="L145" i="3" s="1"/>
  <c r="K144" i="3"/>
  <c r="J144" i="3"/>
  <c r="L144" i="3"/>
  <c r="K143" i="3"/>
  <c r="L143" i="3"/>
  <c r="J143" i="3"/>
  <c r="L142" i="3"/>
  <c r="K142" i="3"/>
  <c r="J142" i="3"/>
  <c r="K141" i="3"/>
  <c r="L141" i="3" s="1"/>
  <c r="J141" i="3"/>
  <c r="K140" i="3"/>
  <c r="L140" i="3" s="1"/>
  <c r="J140" i="3"/>
  <c r="L139" i="3"/>
  <c r="K139" i="3"/>
  <c r="J139" i="3"/>
  <c r="K138" i="3"/>
  <c r="J138" i="3"/>
  <c r="L138" i="3"/>
  <c r="L137" i="3"/>
  <c r="K137" i="3"/>
  <c r="J137" i="3"/>
  <c r="L136" i="3"/>
  <c r="J136" i="3"/>
  <c r="K136" i="3"/>
  <c r="J135" i="3"/>
  <c r="K135" i="3"/>
  <c r="L135" i="3"/>
  <c r="L134" i="3"/>
  <c r="J134" i="3"/>
  <c r="K134" i="3"/>
  <c r="L133" i="3"/>
  <c r="J133" i="3"/>
  <c r="K133" i="3"/>
  <c r="K132" i="3"/>
  <c r="L132" i="3"/>
  <c r="J132" i="3"/>
  <c r="J131" i="3"/>
  <c r="K131" i="3"/>
  <c r="L131" i="3"/>
  <c r="J130" i="3"/>
  <c r="K130" i="3"/>
  <c r="L130" i="3" s="1"/>
  <c r="J129" i="3"/>
  <c r="K129" i="3"/>
  <c r="L129" i="3"/>
  <c r="J128" i="3"/>
  <c r="L128" i="3"/>
  <c r="K128" i="3"/>
  <c r="K127" i="3"/>
  <c r="L127" i="3" s="1"/>
  <c r="J127" i="3"/>
  <c r="J126" i="3"/>
  <c r="K126" i="3"/>
  <c r="L126" i="3"/>
  <c r="K125" i="3"/>
  <c r="J125" i="3"/>
  <c r="L125" i="3"/>
  <c r="J124" i="3"/>
  <c r="L124" i="3"/>
  <c r="K124" i="3"/>
  <c r="J123" i="3"/>
  <c r="L123" i="3"/>
  <c r="K123" i="3"/>
  <c r="J122" i="3"/>
  <c r="K122" i="3"/>
  <c r="L122" i="3"/>
  <c r="J121" i="3"/>
  <c r="K121" i="3"/>
  <c r="L121" i="3" s="1"/>
  <c r="J120" i="3"/>
  <c r="L120" i="3"/>
  <c r="K120" i="3"/>
  <c r="K119" i="3"/>
  <c r="L119" i="3" s="1"/>
  <c r="J119" i="3"/>
  <c r="L118" i="3"/>
  <c r="K118" i="3"/>
  <c r="J118" i="3"/>
  <c r="J117" i="3"/>
  <c r="K117" i="3"/>
  <c r="L117" i="3" s="1"/>
  <c r="K116" i="3"/>
  <c r="L116" i="3" s="1"/>
  <c r="J116" i="3"/>
  <c r="K115" i="3"/>
  <c r="L115" i="3" s="1"/>
  <c r="J115" i="3"/>
  <c r="L114" i="3"/>
  <c r="J114" i="3"/>
  <c r="K114" i="3"/>
  <c r="L113" i="3"/>
  <c r="K113" i="3"/>
  <c r="J113" i="3"/>
  <c r="L112" i="3"/>
  <c r="K112" i="3"/>
  <c r="J112" i="3"/>
  <c r="K111" i="3"/>
  <c r="J111" i="3"/>
  <c r="L111" i="3"/>
  <c r="L110" i="3"/>
  <c r="K110" i="3"/>
  <c r="J110" i="3"/>
  <c r="L109" i="3"/>
  <c r="K109" i="3"/>
  <c r="J109" i="3"/>
  <c r="K108" i="3"/>
  <c r="L108" i="3" s="1"/>
  <c r="J108" i="3"/>
  <c r="J107" i="3"/>
  <c r="L107" i="3"/>
  <c r="K107" i="3"/>
  <c r="K106" i="3"/>
  <c r="J106" i="3"/>
  <c r="L106" i="3"/>
  <c r="K105" i="3"/>
  <c r="L105" i="3"/>
  <c r="J105" i="3"/>
  <c r="L104" i="3"/>
  <c r="J104" i="3"/>
  <c r="K104" i="3"/>
  <c r="K103" i="3"/>
  <c r="L103" i="3" s="1"/>
  <c r="J103" i="3"/>
  <c r="L102" i="3"/>
  <c r="K102" i="3"/>
  <c r="J102" i="3"/>
  <c r="L101" i="3"/>
  <c r="K101" i="3"/>
  <c r="J101" i="3"/>
  <c r="J100" i="3"/>
  <c r="K100" i="3"/>
  <c r="L100" i="3"/>
  <c r="J99" i="3"/>
  <c r="K99" i="3"/>
  <c r="L99" i="3"/>
  <c r="J98" i="3"/>
  <c r="L98" i="3"/>
  <c r="K98" i="3"/>
  <c r="K97" i="3"/>
  <c r="L97" i="3"/>
  <c r="J97" i="3"/>
  <c r="J96" i="3"/>
  <c r="K96" i="3"/>
  <c r="L96" i="3" s="1"/>
  <c r="L95" i="3"/>
  <c r="K95" i="3"/>
  <c r="J95" i="3"/>
  <c r="K94" i="3"/>
  <c r="J94" i="3"/>
  <c r="L94" i="3"/>
  <c r="L93" i="3"/>
  <c r="J93" i="3"/>
  <c r="K93" i="3"/>
  <c r="K92" i="3"/>
  <c r="J92" i="3"/>
  <c r="L92" i="3"/>
  <c r="L91" i="3"/>
  <c r="K91" i="3"/>
  <c r="J91" i="3"/>
  <c r="L90" i="3"/>
  <c r="K90" i="3"/>
  <c r="J90" i="3"/>
  <c r="L89" i="3"/>
  <c r="K89" i="3"/>
  <c r="J89" i="3"/>
  <c r="L88" i="3"/>
  <c r="K88" i="3"/>
  <c r="J88" i="3"/>
  <c r="L87" i="3"/>
  <c r="K87" i="3"/>
  <c r="J87" i="3"/>
  <c r="L86" i="3"/>
  <c r="K86" i="3"/>
  <c r="J86" i="3"/>
  <c r="K85" i="3"/>
  <c r="L85" i="3" s="1"/>
  <c r="J85" i="3"/>
  <c r="L84" i="3"/>
  <c r="K84" i="3"/>
  <c r="J84" i="3"/>
  <c r="L83" i="3"/>
  <c r="K83" i="3"/>
  <c r="J83" i="3"/>
  <c r="L82" i="3"/>
  <c r="K82" i="3"/>
  <c r="J82" i="3"/>
  <c r="L81" i="3"/>
  <c r="K81" i="3"/>
  <c r="J81" i="3"/>
  <c r="L80" i="3"/>
  <c r="K80" i="3"/>
  <c r="J80" i="3"/>
  <c r="L79" i="3"/>
  <c r="K79" i="3"/>
  <c r="J79" i="3"/>
  <c r="L78" i="3"/>
  <c r="K78" i="3"/>
  <c r="J78" i="3"/>
  <c r="L77" i="3"/>
  <c r="K77" i="3"/>
  <c r="J77" i="3"/>
  <c r="L76" i="3"/>
  <c r="K76" i="3"/>
  <c r="J76" i="3"/>
  <c r="J75" i="3"/>
  <c r="K75" i="3"/>
  <c r="L75" i="3"/>
  <c r="J74" i="3"/>
  <c r="K74" i="3"/>
  <c r="L74" i="3"/>
  <c r="L73" i="3"/>
  <c r="K73" i="3"/>
  <c r="J73" i="3"/>
  <c r="L72" i="3"/>
  <c r="K72" i="3"/>
  <c r="J72" i="3"/>
  <c r="L71" i="3"/>
  <c r="K71" i="3"/>
  <c r="J71" i="3"/>
  <c r="K70" i="3"/>
  <c r="L70" i="3" s="1"/>
  <c r="J70" i="3"/>
  <c r="L69" i="3"/>
  <c r="K69" i="3"/>
  <c r="J69" i="3"/>
  <c r="L68" i="3"/>
  <c r="K68" i="3"/>
  <c r="J68" i="3"/>
  <c r="K67" i="3"/>
  <c r="L67" i="3"/>
  <c r="J67" i="3"/>
  <c r="K66" i="3"/>
  <c r="L66" i="3"/>
  <c r="J66" i="3"/>
  <c r="J65" i="3"/>
  <c r="K65" i="3"/>
  <c r="L65" i="3"/>
  <c r="J64" i="3"/>
  <c r="K64" i="3"/>
  <c r="L64" i="3"/>
  <c r="J63" i="3"/>
  <c r="K63" i="3"/>
  <c r="L63" i="3"/>
  <c r="L62" i="3"/>
  <c r="J62" i="3"/>
  <c r="K62" i="3"/>
  <c r="K61" i="3"/>
  <c r="L61" i="3" s="1"/>
  <c r="J61" i="3"/>
  <c r="K60" i="3"/>
  <c r="L60" i="3"/>
  <c r="J60" i="3"/>
  <c r="J59" i="3"/>
  <c r="K59" i="3"/>
  <c r="L59" i="3" s="1"/>
  <c r="J58" i="3"/>
  <c r="K58" i="3"/>
  <c r="L58" i="3" s="1"/>
  <c r="J57" i="3"/>
  <c r="K57" i="3"/>
  <c r="L57" i="3"/>
  <c r="J56" i="3"/>
  <c r="K56" i="3"/>
  <c r="L56" i="3" s="1"/>
  <c r="J55" i="3"/>
  <c r="K55" i="3"/>
  <c r="L55" i="3"/>
  <c r="J54" i="3"/>
  <c r="K54" i="3"/>
  <c r="L54" i="3" s="1"/>
  <c r="L53" i="3"/>
  <c r="K53" i="3"/>
  <c r="J53" i="3"/>
  <c r="J52" i="3"/>
  <c r="K52" i="3"/>
  <c r="L52" i="3" s="1"/>
  <c r="K51" i="3"/>
  <c r="J51" i="3"/>
  <c r="L51" i="3"/>
  <c r="J50" i="3"/>
  <c r="L50" i="3"/>
  <c r="K50" i="3"/>
  <c r="L49" i="3"/>
  <c r="K49" i="3"/>
  <c r="J49" i="3"/>
  <c r="L48" i="3"/>
  <c r="J48" i="3"/>
  <c r="K48" i="3"/>
  <c r="L47" i="3"/>
  <c r="K47" i="3"/>
  <c r="J47" i="3"/>
  <c r="L46" i="3"/>
  <c r="K46" i="3"/>
  <c r="J46" i="3"/>
  <c r="K45" i="3"/>
  <c r="L45" i="3" s="1"/>
  <c r="J45" i="3"/>
  <c r="J44" i="3"/>
  <c r="K44" i="3"/>
  <c r="L44" i="3" s="1"/>
  <c r="J43" i="3"/>
  <c r="K43" i="3"/>
  <c r="L43" i="3"/>
  <c r="K42" i="3"/>
  <c r="J42" i="3"/>
  <c r="L42" i="3"/>
  <c r="L41" i="3"/>
  <c r="K41" i="3"/>
  <c r="J41" i="3"/>
  <c r="L40" i="3"/>
  <c r="J40" i="3"/>
  <c r="K40" i="3"/>
  <c r="L39" i="3"/>
  <c r="K39" i="3"/>
  <c r="J39" i="3"/>
  <c r="J38" i="3"/>
  <c r="K38" i="3"/>
  <c r="L38" i="3" s="1"/>
  <c r="L37" i="3"/>
  <c r="J37" i="3"/>
  <c r="K37" i="3"/>
  <c r="K36" i="3"/>
  <c r="L36" i="3" s="1"/>
  <c r="J36" i="3"/>
  <c r="K35" i="3"/>
  <c r="L35" i="3" s="1"/>
  <c r="J35" i="3"/>
  <c r="L34" i="3"/>
  <c r="K34" i="3"/>
  <c r="J34" i="3"/>
  <c r="J33" i="3"/>
  <c r="L33" i="3"/>
  <c r="K33" i="3"/>
  <c r="J32" i="3"/>
  <c r="L32" i="3"/>
  <c r="K32" i="3"/>
  <c r="J31" i="3"/>
  <c r="K31" i="3"/>
  <c r="L31" i="3"/>
  <c r="K30" i="3"/>
  <c r="L30" i="3" s="1"/>
  <c r="J30" i="3"/>
  <c r="K29" i="3"/>
  <c r="J29" i="3"/>
  <c r="L29" i="3"/>
  <c r="K28" i="3"/>
  <c r="L28" i="3" s="1"/>
  <c r="J28" i="3"/>
  <c r="L27" i="3"/>
  <c r="K27" i="3"/>
  <c r="J27" i="3"/>
  <c r="L26" i="3"/>
  <c r="K26" i="3"/>
  <c r="J26" i="3"/>
  <c r="L25" i="3"/>
  <c r="K25" i="3"/>
  <c r="J25" i="3"/>
  <c r="L24" i="3"/>
  <c r="J24" i="3"/>
  <c r="K24" i="3"/>
  <c r="L23" i="3"/>
  <c r="K23" i="3"/>
  <c r="J23" i="3"/>
  <c r="K22" i="3"/>
  <c r="J22" i="3"/>
  <c r="L22" i="3"/>
  <c r="L21" i="3"/>
  <c r="K21" i="3"/>
  <c r="J21" i="3"/>
  <c r="K20" i="3"/>
  <c r="L20" i="3"/>
  <c r="J20" i="3"/>
  <c r="J19" i="3"/>
  <c r="K19" i="3"/>
  <c r="L19" i="3"/>
  <c r="K18" i="3"/>
  <c r="L18" i="3" s="1"/>
  <c r="J18" i="3"/>
  <c r="L17" i="3"/>
  <c r="K17" i="3"/>
  <c r="J17" i="3"/>
  <c r="J16" i="3"/>
  <c r="K16" i="3"/>
  <c r="L16" i="3"/>
  <c r="J15" i="3"/>
  <c r="K15" i="3"/>
  <c r="L15" i="3" s="1"/>
  <c r="J14" i="3"/>
  <c r="K14" i="3"/>
  <c r="L14" i="3"/>
  <c r="L13" i="3"/>
  <c r="K13" i="3"/>
  <c r="J13" i="3"/>
  <c r="J12" i="3"/>
  <c r="K12" i="3"/>
  <c r="L12" i="3" s="1"/>
  <c r="K11" i="3"/>
  <c r="L11" i="3" s="1"/>
  <c r="J11" i="3"/>
  <c r="K10" i="3"/>
  <c r="L10" i="3"/>
  <c r="J10" i="3"/>
  <c r="J9" i="3"/>
  <c r="K9" i="3"/>
  <c r="L9" i="3"/>
  <c r="K8" i="3"/>
  <c r="L8" i="3" s="1"/>
  <c r="J8" i="3"/>
  <c r="K7" i="3"/>
  <c r="L7" i="3" s="1"/>
  <c r="J7" i="3"/>
  <c r="J6" i="3"/>
  <c r="K6" i="3"/>
  <c r="L6" i="3" s="1"/>
  <c r="K5" i="3"/>
  <c r="L5" i="3" s="1"/>
  <c r="J5" i="3"/>
  <c r="L4" i="3"/>
  <c r="K4" i="3"/>
  <c r="J4" i="3"/>
  <c r="K3" i="3"/>
  <c r="L3" i="3" s="1"/>
  <c r="J3" i="3"/>
  <c r="B2" i="14"/>
  <c r="L2" i="3"/>
  <c r="K2" i="3"/>
  <c r="J2" i="3"/>
  <c r="C16" i="15"/>
  <c r="C15" i="15"/>
  <c r="C14" i="15"/>
  <c r="C13" i="15"/>
  <c r="C12" i="15"/>
  <c r="C11" i="15"/>
  <c r="C10" i="15"/>
  <c r="C8" i="15"/>
  <c r="C7" i="15"/>
  <c r="C6" i="15"/>
  <c r="B5" i="14" l="1"/>
  <c r="B11" i="14"/>
  <c r="B12" i="14" s="1"/>
  <c r="C6" i="8"/>
  <c r="B2" i="8"/>
  <c r="C2" i="8"/>
  <c r="B3" i="8"/>
  <c r="C3" i="8"/>
  <c r="B4" i="8"/>
  <c r="C4" i="8"/>
  <c r="B5" i="8"/>
  <c r="C5" i="8"/>
  <c r="B6" i="8"/>
  <c r="D3" i="8" l="1"/>
  <c r="D4" i="8"/>
  <c r="D2" i="8"/>
  <c r="D5" i="8"/>
  <c r="D6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<sst xmlns="http://schemas.openxmlformats.org/spreadsheetml/2006/main" count="16320" uniqueCount="3517">
  <si>
    <t>FIN-W5-005 | FINANCIAL INTELLIGENCE DASHBOARD</t>
  </si>
  <si>
    <t>Corporate Finance • FP&amp;A • Receivables • Cash Flow • Risk Management</t>
  </si>
  <si>
    <t>EXPENSE FILTER / SELECTED VALUES</t>
  </si>
  <si>
    <t>Month</t>
  </si>
  <si>
    <t>Department</t>
  </si>
  <si>
    <t>All Departments</t>
  </si>
  <si>
    <t>Category</t>
  </si>
  <si>
    <t>All Categories</t>
  </si>
  <si>
    <t>Outstanding AR</t>
  </si>
  <si>
    <t>Collection Efficiency</t>
  </si>
  <si>
    <t>SELECTED MONTH EXPENSE</t>
  </si>
  <si>
    <t>SELECTED DEPARTMENT EXPENSE</t>
  </si>
  <si>
    <t>SELECTED CATEGORY EXPENSE</t>
  </si>
  <si>
    <t>CURRENT FILTERED EXPENSE</t>
  </si>
  <si>
    <t>Overdue Receivables</t>
  </si>
  <si>
    <t>Receivable Days</t>
  </si>
  <si>
    <t>Liquidity Risk Score</t>
  </si>
  <si>
    <t>Liquidity Risk Level</t>
  </si>
  <si>
    <t>Revenue collection</t>
  </si>
  <si>
    <t>REVENUE COLLECTION</t>
  </si>
  <si>
    <t>CASH FORECAST</t>
  </si>
  <si>
    <t>Field</t>
  </si>
  <si>
    <t>Data Type</t>
  </si>
  <si>
    <t>Business Meaning</t>
  </si>
  <si>
    <t>Validation / Calculation</t>
  </si>
  <si>
    <t>Invoice_ID</t>
  </si>
  <si>
    <t>Text</t>
  </si>
  <si>
    <t>Unique invoice identifier</t>
  </si>
  <si>
    <t>Must be unique</t>
  </si>
  <si>
    <t>Customer_ID</t>
  </si>
  <si>
    <t>Customer reference</t>
  </si>
  <si>
    <t>Must exist in Customer_Master</t>
  </si>
  <si>
    <t>Invoice_Amount</t>
  </si>
  <si>
    <t>Numeric</t>
  </si>
  <si>
    <t>Billed revenue</t>
  </si>
  <si>
    <t>Must be &gt;= 0</t>
  </si>
  <si>
    <t>Amount_Collected</t>
  </si>
  <si>
    <t>Cash received</t>
  </si>
  <si>
    <t>Must be &lt;= Invoice_Amount</t>
  </si>
  <si>
    <t>Due_Date</t>
  </si>
  <si>
    <t>Date</t>
  </si>
  <si>
    <t>Payment deadline</t>
  </si>
  <si>
    <t>Must be &gt;= Invoice_Date</t>
  </si>
  <si>
    <t>Payment_Date</t>
  </si>
  <si>
    <t>Actual collection date</t>
  </si>
  <si>
    <t>Blank when unpaid</t>
  </si>
  <si>
    <t>Outstanding_Amount</t>
  </si>
  <si>
    <t>Uncollected balance</t>
  </si>
  <si>
    <t>Invoice_Amount - Amount_Collected</t>
  </si>
  <si>
    <t>Payment_Delay_Days</t>
  </si>
  <si>
    <t>Days late/early</t>
  </si>
  <si>
    <t>Payment_Date - Due_Date</t>
  </si>
  <si>
    <t>Budget</t>
  </si>
  <si>
    <t>Approved spending</t>
  </si>
  <si>
    <t>Actual_Expense</t>
  </si>
  <si>
    <t>Actual spending</t>
  </si>
  <si>
    <t>Variance</t>
  </si>
  <si>
    <t>Budget variance</t>
  </si>
  <si>
    <t>Actual - Budget</t>
  </si>
  <si>
    <t>Variance_%</t>
  </si>
  <si>
    <t>Percentage</t>
  </si>
  <si>
    <t>Relative budget variance</t>
  </si>
  <si>
    <t>(Actual-Budget)/Budget</t>
  </si>
  <si>
    <t>Invoice_Date</t>
  </si>
  <si>
    <t>Payment_Status</t>
  </si>
  <si>
    <t>Age_Days</t>
  </si>
  <si>
    <t>Age_Bucket</t>
  </si>
  <si>
    <t>Invoice_Month</t>
  </si>
  <si>
    <t>Collection_Month</t>
  </si>
  <si>
    <t>INV-100001</t>
  </si>
  <si>
    <t>CUST-036</t>
  </si>
  <si>
    <t>INV-100002</t>
  </si>
  <si>
    <t>CUST-006</t>
  </si>
  <si>
    <t>INV-100003</t>
  </si>
  <si>
    <t>CUST-039</t>
  </si>
  <si>
    <t>INV-100004</t>
  </si>
  <si>
    <t>CUST-038</t>
  </si>
  <si>
    <t>INV-100005</t>
  </si>
  <si>
    <t>INV-100006</t>
  </si>
  <si>
    <t>CUST-046</t>
  </si>
  <si>
    <t>INV-100007</t>
  </si>
  <si>
    <t>CUST-025</t>
  </si>
  <si>
    <t>INV-100008</t>
  </si>
  <si>
    <t>CUST-048</t>
  </si>
  <si>
    <t>INV-100009</t>
  </si>
  <si>
    <t>CUST-003</t>
  </si>
  <si>
    <t>INV-100010</t>
  </si>
  <si>
    <t>CUST-011</t>
  </si>
  <si>
    <t>INV-100011</t>
  </si>
  <si>
    <t>CUST-030</t>
  </si>
  <si>
    <t>INV-100012</t>
  </si>
  <si>
    <t>CUST-012</t>
  </si>
  <si>
    <t>INV-100013</t>
  </si>
  <si>
    <t>CUST-020</t>
  </si>
  <si>
    <t>INV-100014</t>
  </si>
  <si>
    <t>CUST-040</t>
  </si>
  <si>
    <t>INV-100015</t>
  </si>
  <si>
    <t>CUST-009</t>
  </si>
  <si>
    <t>INV-100016</t>
  </si>
  <si>
    <t>CUST-041</t>
  </si>
  <si>
    <t>INV-100017</t>
  </si>
  <si>
    <t>CUST-007</t>
  </si>
  <si>
    <t>INV-100018</t>
  </si>
  <si>
    <t>INV-100019</t>
  </si>
  <si>
    <t>INV-100020</t>
  </si>
  <si>
    <t>INV-100021</t>
  </si>
  <si>
    <t>INV-100022</t>
  </si>
  <si>
    <t>CUST-018</t>
  </si>
  <si>
    <t>INV-100023</t>
  </si>
  <si>
    <t>CUST-056</t>
  </si>
  <si>
    <t>INV-100024</t>
  </si>
  <si>
    <t>CUST-060</t>
  </si>
  <si>
    <t>INV-100025</t>
  </si>
  <si>
    <t>CUST-035</t>
  </si>
  <si>
    <t>INV-100026</t>
  </si>
  <si>
    <t>CUST-027</t>
  </si>
  <si>
    <t>INV-100027</t>
  </si>
  <si>
    <t>CUST-021</t>
  </si>
  <si>
    <t>INV-100028</t>
  </si>
  <si>
    <t>CUST-037</t>
  </si>
  <si>
    <t>INV-100029</t>
  </si>
  <si>
    <t>INV-100030</t>
  </si>
  <si>
    <t>INV-100031</t>
  </si>
  <si>
    <t>CUST-002</t>
  </si>
  <si>
    <t>INV-100032</t>
  </si>
  <si>
    <t>CUST-010</t>
  </si>
  <si>
    <t>INV-100033</t>
  </si>
  <si>
    <t>CUST-058</t>
  </si>
  <si>
    <t>INV-100034</t>
  </si>
  <si>
    <t>CUST-026</t>
  </si>
  <si>
    <t>INV-100035</t>
  </si>
  <si>
    <t>CUST-029</t>
  </si>
  <si>
    <t>INV-100036</t>
  </si>
  <si>
    <t>INV-100037</t>
  </si>
  <si>
    <t>CUST-047</t>
  </si>
  <si>
    <t>INV-100038</t>
  </si>
  <si>
    <t>CUST-004</t>
  </si>
  <si>
    <t>INV-100039</t>
  </si>
  <si>
    <t>CUST-005</t>
  </si>
  <si>
    <t>INV-100040</t>
  </si>
  <si>
    <t>CUST-017</t>
  </si>
  <si>
    <t>INV-100041</t>
  </si>
  <si>
    <t>INV-100042</t>
  </si>
  <si>
    <t>INV-100043</t>
  </si>
  <si>
    <t>INV-100044</t>
  </si>
  <si>
    <t>INV-100045</t>
  </si>
  <si>
    <t>CUST-057</t>
  </si>
  <si>
    <t>INV-100046</t>
  </si>
  <si>
    <t>INV-100047</t>
  </si>
  <si>
    <t>INV-100048</t>
  </si>
  <si>
    <t>CUST-033</t>
  </si>
  <si>
    <t>INV-100049</t>
  </si>
  <si>
    <t>INV-100050</t>
  </si>
  <si>
    <t>CUST-049</t>
  </si>
  <si>
    <t>INV-100051</t>
  </si>
  <si>
    <t>INV-100052</t>
  </si>
  <si>
    <t>INV-100053</t>
  </si>
  <si>
    <t>INV-100054</t>
  </si>
  <si>
    <t>INV-100055</t>
  </si>
  <si>
    <t>CUST-032</t>
  </si>
  <si>
    <t>INV-100056</t>
  </si>
  <si>
    <t>CUST-051</t>
  </si>
  <si>
    <t>INV-100057</t>
  </si>
  <si>
    <t>INV-100058</t>
  </si>
  <si>
    <t>INV-100059</t>
  </si>
  <si>
    <t>INV-100060</t>
  </si>
  <si>
    <t>INV-100061</t>
  </si>
  <si>
    <t>INV-100062</t>
  </si>
  <si>
    <t>INV-100063</t>
  </si>
  <si>
    <t>CUST-016</t>
  </si>
  <si>
    <t>INV-100064</t>
  </si>
  <si>
    <t>CUST-044</t>
  </si>
  <si>
    <t>INV-100065</t>
  </si>
  <si>
    <t>INV-100066</t>
  </si>
  <si>
    <t>INV-100067</t>
  </si>
  <si>
    <t>INV-100068</t>
  </si>
  <si>
    <t>INV-100069</t>
  </si>
  <si>
    <t>INV-100070</t>
  </si>
  <si>
    <t>INV-100071</t>
  </si>
  <si>
    <t>INV-100072</t>
  </si>
  <si>
    <t>CUST-008</t>
  </si>
  <si>
    <t>INV-100073</t>
  </si>
  <si>
    <t>CUST-034</t>
  </si>
  <si>
    <t>INV-100074</t>
  </si>
  <si>
    <t>CUST-001</t>
  </si>
  <si>
    <t>INV-100075</t>
  </si>
  <si>
    <t>INV-100076</t>
  </si>
  <si>
    <t>INV-100077</t>
  </si>
  <si>
    <t>CUST-028</t>
  </si>
  <si>
    <t>INV-100078</t>
  </si>
  <si>
    <t>INV-100079</t>
  </si>
  <si>
    <t>INV-100080</t>
  </si>
  <si>
    <t>INV-100081</t>
  </si>
  <si>
    <t>INV-100082</t>
  </si>
  <si>
    <t>INV-100083</t>
  </si>
  <si>
    <t>INV-100084</t>
  </si>
  <si>
    <t>INV-100085</t>
  </si>
  <si>
    <t>INV-100086</t>
  </si>
  <si>
    <t>CUST-015</t>
  </si>
  <si>
    <t>INV-100087</t>
  </si>
  <si>
    <t>INV-100088</t>
  </si>
  <si>
    <t>INV-100089</t>
  </si>
  <si>
    <t>INV-100090</t>
  </si>
  <si>
    <t>INV-100091</t>
  </si>
  <si>
    <t>INV-100092</t>
  </si>
  <si>
    <t>INV-100093</t>
  </si>
  <si>
    <t>INV-100094</t>
  </si>
  <si>
    <t>INV-100095</t>
  </si>
  <si>
    <t>INV-100096</t>
  </si>
  <si>
    <t>INV-100097</t>
  </si>
  <si>
    <t>INV-100098</t>
  </si>
  <si>
    <t>INV-100099</t>
  </si>
  <si>
    <t>INV-100100</t>
  </si>
  <si>
    <t>INV-100101</t>
  </si>
  <si>
    <t>INV-100102</t>
  </si>
  <si>
    <t>CUST-013</t>
  </si>
  <si>
    <t>INV-100103</t>
  </si>
  <si>
    <t>INV-100104</t>
  </si>
  <si>
    <t>INV-100105</t>
  </si>
  <si>
    <t>INV-100106</t>
  </si>
  <si>
    <t>CUST-045</t>
  </si>
  <si>
    <t>INV-100107</t>
  </si>
  <si>
    <t>CUST-054</t>
  </si>
  <si>
    <t>INV-100108</t>
  </si>
  <si>
    <t>CUST-050</t>
  </si>
  <si>
    <t>INV-100109</t>
  </si>
  <si>
    <t>INV-100110</t>
  </si>
  <si>
    <t>INV-100111</t>
  </si>
  <si>
    <t>INV-100112</t>
  </si>
  <si>
    <t>INV-100113</t>
  </si>
  <si>
    <t>CUST-022</t>
  </si>
  <si>
    <t>INV-100114</t>
  </si>
  <si>
    <t>INV-100115</t>
  </si>
  <si>
    <t>CUST-019</t>
  </si>
  <si>
    <t>INV-100116</t>
  </si>
  <si>
    <t>INV-100117</t>
  </si>
  <si>
    <t>INV-100118</t>
  </si>
  <si>
    <t>INV-100119</t>
  </si>
  <si>
    <t>INV-100120</t>
  </si>
  <si>
    <t>INV-100121</t>
  </si>
  <si>
    <t>INV-100122</t>
  </si>
  <si>
    <t>INV-100123</t>
  </si>
  <si>
    <t>INV-100124</t>
  </si>
  <si>
    <t>INV-100125</t>
  </si>
  <si>
    <t>CUST-023</t>
  </si>
  <si>
    <t>INV-100126</t>
  </si>
  <si>
    <t>INV-100127</t>
  </si>
  <si>
    <t>INV-100128</t>
  </si>
  <si>
    <t>INV-100129</t>
  </si>
  <si>
    <t>INV-100130</t>
  </si>
  <si>
    <t>INV-100131</t>
  </si>
  <si>
    <t>INV-100132</t>
  </si>
  <si>
    <t>INV-100133</t>
  </si>
  <si>
    <t>INV-100134</t>
  </si>
  <si>
    <t>INV-100135</t>
  </si>
  <si>
    <t>INV-100136</t>
  </si>
  <si>
    <t>INV-100137</t>
  </si>
  <si>
    <t>INV-100138</t>
  </si>
  <si>
    <t>INV-100139</t>
  </si>
  <si>
    <t>INV-100140</t>
  </si>
  <si>
    <t>INV-100141</t>
  </si>
  <si>
    <t>INV-100142</t>
  </si>
  <si>
    <t>INV-100143</t>
  </si>
  <si>
    <t>INV-100144</t>
  </si>
  <si>
    <t>INV-100145</t>
  </si>
  <si>
    <t>CUST-052</t>
  </si>
  <si>
    <t>INV-100146</t>
  </si>
  <si>
    <t>INV-100147</t>
  </si>
  <si>
    <t>INV-100148</t>
  </si>
  <si>
    <t>INV-100149</t>
  </si>
  <si>
    <t>INV-100150</t>
  </si>
  <si>
    <t>CUST-055</t>
  </si>
  <si>
    <t>INV-100151</t>
  </si>
  <si>
    <t>INV-100152</t>
  </si>
  <si>
    <t>CUST-043</t>
  </si>
  <si>
    <t>INV-100153</t>
  </si>
  <si>
    <t>INV-100154</t>
  </si>
  <si>
    <t>INV-100155</t>
  </si>
  <si>
    <t>CUST-024</t>
  </si>
  <si>
    <t>INV-100156</t>
  </si>
  <si>
    <t>INV-100157</t>
  </si>
  <si>
    <t>INV-100158</t>
  </si>
  <si>
    <t>INV-100159</t>
  </si>
  <si>
    <t>INV-100160</t>
  </si>
  <si>
    <t>INV-100161</t>
  </si>
  <si>
    <t>INV-100162</t>
  </si>
  <si>
    <t>INV-100163</t>
  </si>
  <si>
    <t>INV-100164</t>
  </si>
  <si>
    <t>INV-100165</t>
  </si>
  <si>
    <t>INV-100166</t>
  </si>
  <si>
    <t>INV-100167</t>
  </si>
  <si>
    <t>INV-100168</t>
  </si>
  <si>
    <t>INV-100169</t>
  </si>
  <si>
    <t>INV-100170</t>
  </si>
  <si>
    <t>INV-100171</t>
  </si>
  <si>
    <t>INV-100172</t>
  </si>
  <si>
    <t>INV-100173</t>
  </si>
  <si>
    <t>INV-100174</t>
  </si>
  <si>
    <t>INV-100175</t>
  </si>
  <si>
    <t>INV-100176</t>
  </si>
  <si>
    <t>INV-100177</t>
  </si>
  <si>
    <t>INV-100178</t>
  </si>
  <si>
    <t>INV-100179</t>
  </si>
  <si>
    <t>INV-100180</t>
  </si>
  <si>
    <t>INV-100181</t>
  </si>
  <si>
    <t>INV-100182</t>
  </si>
  <si>
    <t>INV-100183</t>
  </si>
  <si>
    <t>INV-100184</t>
  </si>
  <si>
    <t>INV-100185</t>
  </si>
  <si>
    <t>INV-100186</t>
  </si>
  <si>
    <t>INV-100187</t>
  </si>
  <si>
    <t>INV-100188</t>
  </si>
  <si>
    <t>INV-100189</t>
  </si>
  <si>
    <t>INV-100190</t>
  </si>
  <si>
    <t>CUST-014</t>
  </si>
  <si>
    <t>INV-100191</t>
  </si>
  <si>
    <t>INV-100192</t>
  </si>
  <si>
    <t>INV-100193</t>
  </si>
  <si>
    <t>INV-100194</t>
  </si>
  <si>
    <t>INV-100195</t>
  </si>
  <si>
    <t>INV-100196</t>
  </si>
  <si>
    <t>INV-100197</t>
  </si>
  <si>
    <t>INV-100198</t>
  </si>
  <si>
    <t>INV-100199</t>
  </si>
  <si>
    <t>INV-100200</t>
  </si>
  <si>
    <t>INV-100201</t>
  </si>
  <si>
    <t>INV-100202</t>
  </si>
  <si>
    <t>INV-100203</t>
  </si>
  <si>
    <t>INV-100204</t>
  </si>
  <si>
    <t>INV-100205</t>
  </si>
  <si>
    <t>INV-100206</t>
  </si>
  <si>
    <t>CUST-053</t>
  </si>
  <si>
    <t>INV-100207</t>
  </si>
  <si>
    <t>INV-100208</t>
  </si>
  <si>
    <t>INV-100209</t>
  </si>
  <si>
    <t>INV-100210</t>
  </si>
  <si>
    <t>INV-100211</t>
  </si>
  <si>
    <t>INV-100212</t>
  </si>
  <si>
    <t>INV-100213</t>
  </si>
  <si>
    <t>INV-100214</t>
  </si>
  <si>
    <t>CUST-031</t>
  </si>
  <si>
    <t>INV-100215</t>
  </si>
  <si>
    <t>INV-100216</t>
  </si>
  <si>
    <t>INV-100217</t>
  </si>
  <si>
    <t>INV-100218</t>
  </si>
  <si>
    <t>INV-100219</t>
  </si>
  <si>
    <t>INV-100220</t>
  </si>
  <si>
    <t>INV-100221</t>
  </si>
  <si>
    <t>INV-100222</t>
  </si>
  <si>
    <t>INV-100223</t>
  </si>
  <si>
    <t>INV-100224</t>
  </si>
  <si>
    <t>INV-100225</t>
  </si>
  <si>
    <t>INV-100226</t>
  </si>
  <si>
    <t>INV-100227</t>
  </si>
  <si>
    <t>INV-100228</t>
  </si>
  <si>
    <t>INV-100229</t>
  </si>
  <si>
    <t>INV-100230</t>
  </si>
  <si>
    <t>INV-100231</t>
  </si>
  <si>
    <t>INV-100232</t>
  </si>
  <si>
    <t>INV-100233</t>
  </si>
  <si>
    <t>INV-100234</t>
  </si>
  <si>
    <t>INV-100235</t>
  </si>
  <si>
    <t>INV-100236</t>
  </si>
  <si>
    <t>INV-100237</t>
  </si>
  <si>
    <t>INV-100238</t>
  </si>
  <si>
    <t>INV-100239</t>
  </si>
  <si>
    <t>INV-100240</t>
  </si>
  <si>
    <t>INV-100241</t>
  </si>
  <si>
    <t>INV-100242</t>
  </si>
  <si>
    <t>INV-100243</t>
  </si>
  <si>
    <t>INV-100244</t>
  </si>
  <si>
    <t>INV-100245</t>
  </si>
  <si>
    <t>INV-100246</t>
  </si>
  <si>
    <t>INV-100247</t>
  </si>
  <si>
    <t>INV-100248</t>
  </si>
  <si>
    <t>INV-100249</t>
  </si>
  <si>
    <t>INV-100250</t>
  </si>
  <si>
    <t>INV-100251</t>
  </si>
  <si>
    <t>INV-100252</t>
  </si>
  <si>
    <t>INV-100253</t>
  </si>
  <si>
    <t>INV-100254</t>
  </si>
  <si>
    <t>INV-100255</t>
  </si>
  <si>
    <t>INV-100256</t>
  </si>
  <si>
    <t>INV-100257</t>
  </si>
  <si>
    <t>INV-100258</t>
  </si>
  <si>
    <t>INV-100259</t>
  </si>
  <si>
    <t>INV-100260</t>
  </si>
  <si>
    <t>INV-100261</t>
  </si>
  <si>
    <t>INV-100262</t>
  </si>
  <si>
    <t>INV-100263</t>
  </si>
  <si>
    <t>INV-100264</t>
  </si>
  <si>
    <t>INV-100265</t>
  </si>
  <si>
    <t>INV-100266</t>
  </si>
  <si>
    <t>INV-100267</t>
  </si>
  <si>
    <t>INV-100268</t>
  </si>
  <si>
    <t>INV-100269</t>
  </si>
  <si>
    <t>INV-100270</t>
  </si>
  <si>
    <t>INV-100271</t>
  </si>
  <si>
    <t>INV-100272</t>
  </si>
  <si>
    <t>INV-100273</t>
  </si>
  <si>
    <t>INV-100274</t>
  </si>
  <si>
    <t>INV-100275</t>
  </si>
  <si>
    <t>INV-100276</t>
  </si>
  <si>
    <t>INV-100277</t>
  </si>
  <si>
    <t>INV-100278</t>
  </si>
  <si>
    <t>INV-100279</t>
  </si>
  <si>
    <t>INV-100280</t>
  </si>
  <si>
    <t>INV-100281</t>
  </si>
  <si>
    <t>INV-100282</t>
  </si>
  <si>
    <t>INV-100283</t>
  </si>
  <si>
    <t>INV-100284</t>
  </si>
  <si>
    <t>INV-100285</t>
  </si>
  <si>
    <t>INV-100286</t>
  </si>
  <si>
    <t>INV-100287</t>
  </si>
  <si>
    <t>INV-100288</t>
  </si>
  <si>
    <t>INV-100289</t>
  </si>
  <si>
    <t>INV-100290</t>
  </si>
  <si>
    <t>INV-100291</t>
  </si>
  <si>
    <t>INV-100292</t>
  </si>
  <si>
    <t>INV-100293</t>
  </si>
  <si>
    <t>INV-100294</t>
  </si>
  <si>
    <t>INV-100295</t>
  </si>
  <si>
    <t>INV-100296</t>
  </si>
  <si>
    <t>INV-100297</t>
  </si>
  <si>
    <t>INV-100298</t>
  </si>
  <si>
    <t>INV-100299</t>
  </si>
  <si>
    <t>INV-100300</t>
  </si>
  <si>
    <t>INV-100301</t>
  </si>
  <si>
    <t>INV-100302</t>
  </si>
  <si>
    <t>INV-100303</t>
  </si>
  <si>
    <t>INV-100304</t>
  </si>
  <si>
    <t>INV-100305</t>
  </si>
  <si>
    <t>INV-100306</t>
  </si>
  <si>
    <t>INV-100307</t>
  </si>
  <si>
    <t>INV-100308</t>
  </si>
  <si>
    <t>INV-100309</t>
  </si>
  <si>
    <t>INV-100310</t>
  </si>
  <si>
    <t>INV-100311</t>
  </si>
  <si>
    <t>INV-100312</t>
  </si>
  <si>
    <t>INV-100313</t>
  </si>
  <si>
    <t>INV-100314</t>
  </si>
  <si>
    <t>INV-100315</t>
  </si>
  <si>
    <t>INV-100316</t>
  </si>
  <si>
    <t>INV-100317</t>
  </si>
  <si>
    <t>INV-100318</t>
  </si>
  <si>
    <t>INV-100319</t>
  </si>
  <si>
    <t>INV-100320</t>
  </si>
  <si>
    <t>INV-100321</t>
  </si>
  <si>
    <t>INV-100322</t>
  </si>
  <si>
    <t>CUST-042</t>
  </si>
  <si>
    <t>INV-100323</t>
  </si>
  <si>
    <t>INV-100324</t>
  </si>
  <si>
    <t>INV-100325</t>
  </si>
  <si>
    <t>INV-100326</t>
  </si>
  <si>
    <t>INV-100327</t>
  </si>
  <si>
    <t>INV-100328</t>
  </si>
  <si>
    <t>INV-100329</t>
  </si>
  <si>
    <t>INV-100330</t>
  </si>
  <si>
    <t>INV-100331</t>
  </si>
  <si>
    <t>INV-100332</t>
  </si>
  <si>
    <t>INV-100333</t>
  </si>
  <si>
    <t>INV-100334</t>
  </si>
  <si>
    <t>INV-100335</t>
  </si>
  <si>
    <t>CUST-059</t>
  </si>
  <si>
    <t>INV-100336</t>
  </si>
  <si>
    <t>INV-100337</t>
  </si>
  <si>
    <t>INV-100338</t>
  </si>
  <si>
    <t>INV-100339</t>
  </si>
  <si>
    <t>INV-100340</t>
  </si>
  <si>
    <t>INV-100341</t>
  </si>
  <si>
    <t>INV-100342</t>
  </si>
  <si>
    <t>INV-100343</t>
  </si>
  <si>
    <t>INV-100344</t>
  </si>
  <si>
    <t>INV-100345</t>
  </si>
  <si>
    <t>INV-100346</t>
  </si>
  <si>
    <t>INV-100347</t>
  </si>
  <si>
    <t>INV-100348</t>
  </si>
  <si>
    <t>INV-100349</t>
  </si>
  <si>
    <t>INV-100350</t>
  </si>
  <si>
    <t>INV-100351</t>
  </si>
  <si>
    <t>INV-100352</t>
  </si>
  <si>
    <t>INV-100353</t>
  </si>
  <si>
    <t>INV-100354</t>
  </si>
  <si>
    <t>INV-100355</t>
  </si>
  <si>
    <t>INV-100356</t>
  </si>
  <si>
    <t>INV-100357</t>
  </si>
  <si>
    <t>INV-100358</t>
  </si>
  <si>
    <t>INV-100359</t>
  </si>
  <si>
    <t>INV-100360</t>
  </si>
  <si>
    <t>INV-100361</t>
  </si>
  <si>
    <t>INV-100362</t>
  </si>
  <si>
    <t>INV-100363</t>
  </si>
  <si>
    <t>INV-100364</t>
  </si>
  <si>
    <t>INV-100365</t>
  </si>
  <si>
    <t>INV-100366</t>
  </si>
  <si>
    <t>INV-100367</t>
  </si>
  <si>
    <t>INV-100368</t>
  </si>
  <si>
    <t>INV-100369</t>
  </si>
  <si>
    <t>INV-100370</t>
  </si>
  <si>
    <t>INV-100371</t>
  </si>
  <si>
    <t>INV-100372</t>
  </si>
  <si>
    <t>INV-100373</t>
  </si>
  <si>
    <t>INV-100374</t>
  </si>
  <si>
    <t>INV-100375</t>
  </si>
  <si>
    <t>INV-100376</t>
  </si>
  <si>
    <t>INV-100377</t>
  </si>
  <si>
    <t>INV-100378</t>
  </si>
  <si>
    <t>INV-100379</t>
  </si>
  <si>
    <t>INV-100380</t>
  </si>
  <si>
    <t>INV-100381</t>
  </si>
  <si>
    <t>INV-100382</t>
  </si>
  <si>
    <t>INV-100383</t>
  </si>
  <si>
    <t>INV-100384</t>
  </si>
  <si>
    <t>INV-100385</t>
  </si>
  <si>
    <t>INV-100386</t>
  </si>
  <si>
    <t>INV-100387</t>
  </si>
  <si>
    <t>INV-100388</t>
  </si>
  <si>
    <t>INV-100389</t>
  </si>
  <si>
    <t>INV-100390</t>
  </si>
  <si>
    <t>INV-100391</t>
  </si>
  <si>
    <t>INV-100392</t>
  </si>
  <si>
    <t>INV-100393</t>
  </si>
  <si>
    <t>INV-100394</t>
  </si>
  <si>
    <t>INV-100395</t>
  </si>
  <si>
    <t>INV-100396</t>
  </si>
  <si>
    <t>INV-100397</t>
  </si>
  <si>
    <t>INV-100398</t>
  </si>
  <si>
    <t>INV-100399</t>
  </si>
  <si>
    <t>INV-100400</t>
  </si>
  <si>
    <t>INV-100401</t>
  </si>
  <si>
    <t>INV-100402</t>
  </si>
  <si>
    <t>INV-100403</t>
  </si>
  <si>
    <t>INV-100404</t>
  </si>
  <si>
    <t>INV-100405</t>
  </si>
  <si>
    <t>INV-100406</t>
  </si>
  <si>
    <t>INV-100407</t>
  </si>
  <si>
    <t>INV-100408</t>
  </si>
  <si>
    <t>INV-100409</t>
  </si>
  <si>
    <t>INV-100410</t>
  </si>
  <si>
    <t>INV-100411</t>
  </si>
  <si>
    <t>INV-100412</t>
  </si>
  <si>
    <t>INV-100413</t>
  </si>
  <si>
    <t>INV-100414</t>
  </si>
  <si>
    <t>INV-100415</t>
  </si>
  <si>
    <t>INV-100416</t>
  </si>
  <si>
    <t>INV-100417</t>
  </si>
  <si>
    <t>INV-100418</t>
  </si>
  <si>
    <t>INV-100419</t>
  </si>
  <si>
    <t>INV-100420</t>
  </si>
  <si>
    <t>INV-100421</t>
  </si>
  <si>
    <t>INV-100422</t>
  </si>
  <si>
    <t>INV-100423</t>
  </si>
  <si>
    <t>INV-100424</t>
  </si>
  <si>
    <t>INV-100425</t>
  </si>
  <si>
    <t>INV-100426</t>
  </si>
  <si>
    <t>INV-100427</t>
  </si>
  <si>
    <t>INV-100428</t>
  </si>
  <si>
    <t>INV-100429</t>
  </si>
  <si>
    <t>INV-100430</t>
  </si>
  <si>
    <t>INV-100431</t>
  </si>
  <si>
    <t>INV-100432</t>
  </si>
  <si>
    <t>INV-100433</t>
  </si>
  <si>
    <t>INV-100434</t>
  </si>
  <si>
    <t>INV-100435</t>
  </si>
  <si>
    <t>INV-100436</t>
  </si>
  <si>
    <t>INV-100437</t>
  </si>
  <si>
    <t>INV-100438</t>
  </si>
  <si>
    <t>INV-100439</t>
  </si>
  <si>
    <t>INV-100440</t>
  </si>
  <si>
    <t>INV-100441</t>
  </si>
  <si>
    <t>INV-100442</t>
  </si>
  <si>
    <t>INV-100443</t>
  </si>
  <si>
    <t>INV-100444</t>
  </si>
  <si>
    <t>INV-100445</t>
  </si>
  <si>
    <t>INV-100446</t>
  </si>
  <si>
    <t>INV-100447</t>
  </si>
  <si>
    <t>INV-100448</t>
  </si>
  <si>
    <t>INV-100449</t>
  </si>
  <si>
    <t>INV-100450</t>
  </si>
  <si>
    <t>INV-100451</t>
  </si>
  <si>
    <t>INV-100452</t>
  </si>
  <si>
    <t>INV-100453</t>
  </si>
  <si>
    <t>INV-100454</t>
  </si>
  <si>
    <t>INV-100455</t>
  </si>
  <si>
    <t>INV-100456</t>
  </si>
  <si>
    <t>INV-100457</t>
  </si>
  <si>
    <t>INV-100458</t>
  </si>
  <si>
    <t>INV-100459</t>
  </si>
  <si>
    <t>INV-100460</t>
  </si>
  <si>
    <t>INV-100461</t>
  </si>
  <si>
    <t>INV-100462</t>
  </si>
  <si>
    <t>INV-100463</t>
  </si>
  <si>
    <t>INV-100464</t>
  </si>
  <si>
    <t>INV-100465</t>
  </si>
  <si>
    <t>INV-100466</t>
  </si>
  <si>
    <t>INV-100467</t>
  </si>
  <si>
    <t>INV-100468</t>
  </si>
  <si>
    <t>INV-100469</t>
  </si>
  <si>
    <t>INV-100470</t>
  </si>
  <si>
    <t>INV-100471</t>
  </si>
  <si>
    <t>INV-100472</t>
  </si>
  <si>
    <t>INV-100473</t>
  </si>
  <si>
    <t>INV-100474</t>
  </si>
  <si>
    <t>INV-100475</t>
  </si>
  <si>
    <t>INV-100476</t>
  </si>
  <si>
    <t>INV-100477</t>
  </si>
  <si>
    <t>INV-100478</t>
  </si>
  <si>
    <t>INV-100479</t>
  </si>
  <si>
    <t>INV-100480</t>
  </si>
  <si>
    <t>INV-100481</t>
  </si>
  <si>
    <t>INV-100482</t>
  </si>
  <si>
    <t>INV-100483</t>
  </si>
  <si>
    <t>INV-100484</t>
  </si>
  <si>
    <t>INV-100485</t>
  </si>
  <si>
    <t>INV-100486</t>
  </si>
  <si>
    <t>INV-100487</t>
  </si>
  <si>
    <t>INV-100488</t>
  </si>
  <si>
    <t>INV-100489</t>
  </si>
  <si>
    <t>INV-100490</t>
  </si>
  <si>
    <t>INV-100491</t>
  </si>
  <si>
    <t>INV-100492</t>
  </si>
  <si>
    <t>INV-100493</t>
  </si>
  <si>
    <t>INV-100494</t>
  </si>
  <si>
    <t>INV-100495</t>
  </si>
  <si>
    <t>INV-100496</t>
  </si>
  <si>
    <t>INV-100497</t>
  </si>
  <si>
    <t>INV-100498</t>
  </si>
  <si>
    <t>INV-100499</t>
  </si>
  <si>
    <t>INV-100500</t>
  </si>
  <si>
    <t>INV-100501</t>
  </si>
  <si>
    <t>INV-100502</t>
  </si>
  <si>
    <t>INV-100503</t>
  </si>
  <si>
    <t>INV-100504</t>
  </si>
  <si>
    <t>INV-100505</t>
  </si>
  <si>
    <t>INV-100506</t>
  </si>
  <si>
    <t>INV-100507</t>
  </si>
  <si>
    <t>INV-100508</t>
  </si>
  <si>
    <t>INV-100509</t>
  </si>
  <si>
    <t>INV-100510</t>
  </si>
  <si>
    <t>INV-100511</t>
  </si>
  <si>
    <t>INV-100512</t>
  </si>
  <si>
    <t>INV-100513</t>
  </si>
  <si>
    <t>INV-100514</t>
  </si>
  <si>
    <t>INV-100515</t>
  </si>
  <si>
    <t>INV-100516</t>
  </si>
  <si>
    <t>INV-100517</t>
  </si>
  <si>
    <t>INV-100518</t>
  </si>
  <si>
    <t>INV-100519</t>
  </si>
  <si>
    <t>INV-100520</t>
  </si>
  <si>
    <t>INV-100521</t>
  </si>
  <si>
    <t>INV-100522</t>
  </si>
  <si>
    <t>INV-100523</t>
  </si>
  <si>
    <t>INV-100524</t>
  </si>
  <si>
    <t>INV-100525</t>
  </si>
  <si>
    <t>INV-100526</t>
  </si>
  <si>
    <t>INV-100527</t>
  </si>
  <si>
    <t>INV-100528</t>
  </si>
  <si>
    <t>INV-100529</t>
  </si>
  <si>
    <t>INV-100530</t>
  </si>
  <si>
    <t>INV-100531</t>
  </si>
  <si>
    <t>INV-100532</t>
  </si>
  <si>
    <t>INV-100533</t>
  </si>
  <si>
    <t>INV-100534</t>
  </si>
  <si>
    <t>INV-100535</t>
  </si>
  <si>
    <t>INV-100536</t>
  </si>
  <si>
    <t>INV-100537</t>
  </si>
  <si>
    <t>INV-100538</t>
  </si>
  <si>
    <t>INV-100539</t>
  </si>
  <si>
    <t>INV-100540</t>
  </si>
  <si>
    <t>INV-100541</t>
  </si>
  <si>
    <t>INV-100542</t>
  </si>
  <si>
    <t>INV-100543</t>
  </si>
  <si>
    <t>INV-100544</t>
  </si>
  <si>
    <t>INV-100545</t>
  </si>
  <si>
    <t>INV-100546</t>
  </si>
  <si>
    <t>INV-100547</t>
  </si>
  <si>
    <t>INV-100548</t>
  </si>
  <si>
    <t>INV-100549</t>
  </si>
  <si>
    <t>INV-100550</t>
  </si>
  <si>
    <t>INV-100551</t>
  </si>
  <si>
    <t>INV-100552</t>
  </si>
  <si>
    <t>INV-100553</t>
  </si>
  <si>
    <t>INV-100554</t>
  </si>
  <si>
    <t>INV-100555</t>
  </si>
  <si>
    <t>INV-100556</t>
  </si>
  <si>
    <t>INV-100557</t>
  </si>
  <si>
    <t>INV-100558</t>
  </si>
  <si>
    <t>INV-100559</t>
  </si>
  <si>
    <t>INV-100560</t>
  </si>
  <si>
    <t>INV-100561</t>
  </si>
  <si>
    <t>INV-100562</t>
  </si>
  <si>
    <t>INV-100563</t>
  </si>
  <si>
    <t>INV-100564</t>
  </si>
  <si>
    <t>INV-100565</t>
  </si>
  <si>
    <t>INV-100566</t>
  </si>
  <si>
    <t>INV-100567</t>
  </si>
  <si>
    <t>INV-100568</t>
  </si>
  <si>
    <t>INV-100569</t>
  </si>
  <si>
    <t>INV-100570</t>
  </si>
  <si>
    <t>INV-100571</t>
  </si>
  <si>
    <t>INV-100572</t>
  </si>
  <si>
    <t>INV-100573</t>
  </si>
  <si>
    <t>INV-100574</t>
  </si>
  <si>
    <t>INV-100575</t>
  </si>
  <si>
    <t>INV-100576</t>
  </si>
  <si>
    <t>INV-100577</t>
  </si>
  <si>
    <t>INV-100578</t>
  </si>
  <si>
    <t>INV-100579</t>
  </si>
  <si>
    <t>INV-100580</t>
  </si>
  <si>
    <t>INV-100581</t>
  </si>
  <si>
    <t>INV-100582</t>
  </si>
  <si>
    <t>INV-100583</t>
  </si>
  <si>
    <t>INV-100584</t>
  </si>
  <si>
    <t>INV-100585</t>
  </si>
  <si>
    <t>INV-100586</t>
  </si>
  <si>
    <t>INV-100587</t>
  </si>
  <si>
    <t>INV-100588</t>
  </si>
  <si>
    <t>INV-100589</t>
  </si>
  <si>
    <t>INV-100590</t>
  </si>
  <si>
    <t>INV-100591</t>
  </si>
  <si>
    <t>INV-100592</t>
  </si>
  <si>
    <t>INV-100593</t>
  </si>
  <si>
    <t>INV-100594</t>
  </si>
  <si>
    <t>INV-100595</t>
  </si>
  <si>
    <t>INV-100596</t>
  </si>
  <si>
    <t>INV-100597</t>
  </si>
  <si>
    <t>INV-100598</t>
  </si>
  <si>
    <t>INV-100599</t>
  </si>
  <si>
    <t>INV-100600</t>
  </si>
  <si>
    <t>INV-100601</t>
  </si>
  <si>
    <t>INV-100602</t>
  </si>
  <si>
    <t>INV-100603</t>
  </si>
  <si>
    <t>INV-100604</t>
  </si>
  <si>
    <t>INV-100605</t>
  </si>
  <si>
    <t>INV-100606</t>
  </si>
  <si>
    <t>INV-100607</t>
  </si>
  <si>
    <t>INV-100608</t>
  </si>
  <si>
    <t>INV-100609</t>
  </si>
  <si>
    <t>INV-100610</t>
  </si>
  <si>
    <t>INV-100611</t>
  </si>
  <si>
    <t>INV-100612</t>
  </si>
  <si>
    <t>INV-100613</t>
  </si>
  <si>
    <t>INV-100614</t>
  </si>
  <si>
    <t>INV-100615</t>
  </si>
  <si>
    <t>INV-100616</t>
  </si>
  <si>
    <t>INV-100617</t>
  </si>
  <si>
    <t>INV-100618</t>
  </si>
  <si>
    <t>INV-100619</t>
  </si>
  <si>
    <t>INV-100620</t>
  </si>
  <si>
    <t>INV-100621</t>
  </si>
  <si>
    <t>INV-100622</t>
  </si>
  <si>
    <t>INV-100623</t>
  </si>
  <si>
    <t>INV-100624</t>
  </si>
  <si>
    <t>INV-100625</t>
  </si>
  <si>
    <t>INV-100626</t>
  </si>
  <si>
    <t>INV-100627</t>
  </si>
  <si>
    <t>INV-100628</t>
  </si>
  <si>
    <t>INV-100629</t>
  </si>
  <si>
    <t>INV-100630</t>
  </si>
  <si>
    <t>INV-100631</t>
  </si>
  <si>
    <t>INV-100632</t>
  </si>
  <si>
    <t>INV-100633</t>
  </si>
  <si>
    <t>INV-100634</t>
  </si>
  <si>
    <t>INV-100635</t>
  </si>
  <si>
    <t>INV-100636</t>
  </si>
  <si>
    <t>INV-100637</t>
  </si>
  <si>
    <t>INV-100638</t>
  </si>
  <si>
    <t>INV-100639</t>
  </si>
  <si>
    <t>INV-100640</t>
  </si>
  <si>
    <t>INV-100641</t>
  </si>
  <si>
    <t>INV-100642</t>
  </si>
  <si>
    <t>INV-100643</t>
  </si>
  <si>
    <t>INV-100644</t>
  </si>
  <si>
    <t>INV-100645</t>
  </si>
  <si>
    <t>INV-100646</t>
  </si>
  <si>
    <t>INV-100647</t>
  </si>
  <si>
    <t>INV-100648</t>
  </si>
  <si>
    <t>INV-100649</t>
  </si>
  <si>
    <t>INV-100650</t>
  </si>
  <si>
    <t>INV-100651</t>
  </si>
  <si>
    <t>INV-100652</t>
  </si>
  <si>
    <t>INV-100653</t>
  </si>
  <si>
    <t>INV-100654</t>
  </si>
  <si>
    <t>INV-100655</t>
  </si>
  <si>
    <t>INV-100656</t>
  </si>
  <si>
    <t>INV-100657</t>
  </si>
  <si>
    <t>INV-100658</t>
  </si>
  <si>
    <t>INV-100659</t>
  </si>
  <si>
    <t>INV-100660</t>
  </si>
  <si>
    <t>INV-100661</t>
  </si>
  <si>
    <t>INV-100662</t>
  </si>
  <si>
    <t>INV-100663</t>
  </si>
  <si>
    <t>INV-100664</t>
  </si>
  <si>
    <t>INV-100665</t>
  </si>
  <si>
    <t>INV-100666</t>
  </si>
  <si>
    <t>INV-100667</t>
  </si>
  <si>
    <t>INV-100668</t>
  </si>
  <si>
    <t>INV-100669</t>
  </si>
  <si>
    <t>INV-100670</t>
  </si>
  <si>
    <t>INV-100671</t>
  </si>
  <si>
    <t>INV-100672</t>
  </si>
  <si>
    <t>INV-100673</t>
  </si>
  <si>
    <t>INV-100674</t>
  </si>
  <si>
    <t>INV-100675</t>
  </si>
  <si>
    <t>INV-100676</t>
  </si>
  <si>
    <t>INV-100677</t>
  </si>
  <si>
    <t>INV-100678</t>
  </si>
  <si>
    <t>INV-100679</t>
  </si>
  <si>
    <t>INV-100680</t>
  </si>
  <si>
    <t>INV-100681</t>
  </si>
  <si>
    <t>INV-100682</t>
  </si>
  <si>
    <t>INV-100683</t>
  </si>
  <si>
    <t>INV-100684</t>
  </si>
  <si>
    <t>INV-100685</t>
  </si>
  <si>
    <t>INV-100686</t>
  </si>
  <si>
    <t>INV-100687</t>
  </si>
  <si>
    <t>INV-100688</t>
  </si>
  <si>
    <t>INV-100689</t>
  </si>
  <si>
    <t>INV-100690</t>
  </si>
  <si>
    <t>INV-100691</t>
  </si>
  <si>
    <t>INV-100692</t>
  </si>
  <si>
    <t>INV-100693</t>
  </si>
  <si>
    <t>INV-100694</t>
  </si>
  <si>
    <t>INV-100695</t>
  </si>
  <si>
    <t>INV-100696</t>
  </si>
  <si>
    <t>INV-100697</t>
  </si>
  <si>
    <t>INV-100698</t>
  </si>
  <si>
    <t>INV-100699</t>
  </si>
  <si>
    <t>INV-100700</t>
  </si>
  <si>
    <t>INV-100701</t>
  </si>
  <si>
    <t>INV-100702</t>
  </si>
  <si>
    <t>INV-100703</t>
  </si>
  <si>
    <t>INV-100704</t>
  </si>
  <si>
    <t>INV-100705</t>
  </si>
  <si>
    <t>INV-100706</t>
  </si>
  <si>
    <t>INV-100707</t>
  </si>
  <si>
    <t>INV-100708</t>
  </si>
  <si>
    <t>INV-100709</t>
  </si>
  <si>
    <t>INV-100710</t>
  </si>
  <si>
    <t>INV-100711</t>
  </si>
  <si>
    <t>INV-100712</t>
  </si>
  <si>
    <t>INV-100713</t>
  </si>
  <si>
    <t>INV-100714</t>
  </si>
  <si>
    <t>INV-100715</t>
  </si>
  <si>
    <t>INV-100716</t>
  </si>
  <si>
    <t>INV-100717</t>
  </si>
  <si>
    <t>INV-100718</t>
  </si>
  <si>
    <t>INV-100719</t>
  </si>
  <si>
    <t>INV-100720</t>
  </si>
  <si>
    <t>INV-100721</t>
  </si>
  <si>
    <t>INV-100722</t>
  </si>
  <si>
    <t>INV-100723</t>
  </si>
  <si>
    <t>INV-100724</t>
  </si>
  <si>
    <t>INV-100725</t>
  </si>
  <si>
    <t>INV-100726</t>
  </si>
  <si>
    <t>INV-100727</t>
  </si>
  <si>
    <t>INV-100728</t>
  </si>
  <si>
    <t>INV-100729</t>
  </si>
  <si>
    <t>INV-100730</t>
  </si>
  <si>
    <t>INV-100731</t>
  </si>
  <si>
    <t>INV-100732</t>
  </si>
  <si>
    <t>INV-100733</t>
  </si>
  <si>
    <t>INV-100734</t>
  </si>
  <si>
    <t>INV-100735</t>
  </si>
  <si>
    <t>INV-100736</t>
  </si>
  <si>
    <t>INV-100737</t>
  </si>
  <si>
    <t>INV-100738</t>
  </si>
  <si>
    <t>INV-100739</t>
  </si>
  <si>
    <t>INV-100740</t>
  </si>
  <si>
    <t>INV-100741</t>
  </si>
  <si>
    <t>INV-100742</t>
  </si>
  <si>
    <t>INV-100743</t>
  </si>
  <si>
    <t>INV-100744</t>
  </si>
  <si>
    <t>INV-100745</t>
  </si>
  <si>
    <t>INV-100746</t>
  </si>
  <si>
    <t>INV-100747</t>
  </si>
  <si>
    <t>INV-100748</t>
  </si>
  <si>
    <t>INV-100749</t>
  </si>
  <si>
    <t>INV-100750</t>
  </si>
  <si>
    <t>INV-100751</t>
  </si>
  <si>
    <t>INV-100752</t>
  </si>
  <si>
    <t>INV-100753</t>
  </si>
  <si>
    <t>INV-100754</t>
  </si>
  <si>
    <t>INV-100755</t>
  </si>
  <si>
    <t>INV-100756</t>
  </si>
  <si>
    <t>INV-100757</t>
  </si>
  <si>
    <t>INV-100758</t>
  </si>
  <si>
    <t>INV-100759</t>
  </si>
  <si>
    <t>INV-100760</t>
  </si>
  <si>
    <t>INV-100761</t>
  </si>
  <si>
    <t>INV-100762</t>
  </si>
  <si>
    <t>INV-100763</t>
  </si>
  <si>
    <t>INV-100764</t>
  </si>
  <si>
    <t>INV-100765</t>
  </si>
  <si>
    <t>INV-100766</t>
  </si>
  <si>
    <t>INV-100767</t>
  </si>
  <si>
    <t>INV-100768</t>
  </si>
  <si>
    <t>INV-100769</t>
  </si>
  <si>
    <t>INV-100770</t>
  </si>
  <si>
    <t>INV-100771</t>
  </si>
  <si>
    <t>INV-100772</t>
  </si>
  <si>
    <t>INV-100773</t>
  </si>
  <si>
    <t>INV-100774</t>
  </si>
  <si>
    <t>INV-100775</t>
  </si>
  <si>
    <t>INV-100776</t>
  </si>
  <si>
    <t>INV-100777</t>
  </si>
  <si>
    <t>INV-100778</t>
  </si>
  <si>
    <t>INV-100779</t>
  </si>
  <si>
    <t>INV-100780</t>
  </si>
  <si>
    <t>INV-100781</t>
  </si>
  <si>
    <t>INV-100782</t>
  </si>
  <si>
    <t>INV-100783</t>
  </si>
  <si>
    <t>INV-100784</t>
  </si>
  <si>
    <t>INV-100785</t>
  </si>
  <si>
    <t>INV-100786</t>
  </si>
  <si>
    <t>INV-100787</t>
  </si>
  <si>
    <t>INV-100788</t>
  </si>
  <si>
    <t>INV-100789</t>
  </si>
  <si>
    <t>INV-100790</t>
  </si>
  <si>
    <t>INV-100791</t>
  </si>
  <si>
    <t>INV-100792</t>
  </si>
  <si>
    <t>INV-100793</t>
  </si>
  <si>
    <t>INV-100794</t>
  </si>
  <si>
    <t>INV-100795</t>
  </si>
  <si>
    <t>INV-100796</t>
  </si>
  <si>
    <t>INV-100797</t>
  </si>
  <si>
    <t>INV-100798</t>
  </si>
  <si>
    <t>INV-100799</t>
  </si>
  <si>
    <t>INV-100800</t>
  </si>
  <si>
    <t>INV-100801</t>
  </si>
  <si>
    <t>INV-100802</t>
  </si>
  <si>
    <t>INV-100803</t>
  </si>
  <si>
    <t>INV-100804</t>
  </si>
  <si>
    <t>INV-100805</t>
  </si>
  <si>
    <t>INV-100806</t>
  </si>
  <si>
    <t>INV-100807</t>
  </si>
  <si>
    <t>INV-100808</t>
  </si>
  <si>
    <t>INV-100809</t>
  </si>
  <si>
    <t>INV-100810</t>
  </si>
  <si>
    <t>INV-100811</t>
  </si>
  <si>
    <t>INV-100812</t>
  </si>
  <si>
    <t>INV-100813</t>
  </si>
  <si>
    <t>INV-100814</t>
  </si>
  <si>
    <t>INV-100815</t>
  </si>
  <si>
    <t>INV-100816</t>
  </si>
  <si>
    <t>INV-100817</t>
  </si>
  <si>
    <t>INV-100818</t>
  </si>
  <si>
    <t>INV-100819</t>
  </si>
  <si>
    <t>INV-100820</t>
  </si>
  <si>
    <t>INV-100821</t>
  </si>
  <si>
    <t>INV-100822</t>
  </si>
  <si>
    <t>INV-100823</t>
  </si>
  <si>
    <t>INV-100824</t>
  </si>
  <si>
    <t>INV-100825</t>
  </si>
  <si>
    <t>INV-100826</t>
  </si>
  <si>
    <t>INV-100827</t>
  </si>
  <si>
    <t>INV-100828</t>
  </si>
  <si>
    <t>INV-100829</t>
  </si>
  <si>
    <t>INV-100830</t>
  </si>
  <si>
    <t>INV-100831</t>
  </si>
  <si>
    <t>INV-100832</t>
  </si>
  <si>
    <t>INV-100833</t>
  </si>
  <si>
    <t>INV-100834</t>
  </si>
  <si>
    <t>INV-100835</t>
  </si>
  <si>
    <t>INV-100836</t>
  </si>
  <si>
    <t>INV-100837</t>
  </si>
  <si>
    <t>INV-100838</t>
  </si>
  <si>
    <t>INV-100839</t>
  </si>
  <si>
    <t>INV-100840</t>
  </si>
  <si>
    <t>INV-100841</t>
  </si>
  <si>
    <t>INV-100842</t>
  </si>
  <si>
    <t>INV-100843</t>
  </si>
  <si>
    <t>INV-100844</t>
  </si>
  <si>
    <t>INV-100845</t>
  </si>
  <si>
    <t>INV-100846</t>
  </si>
  <si>
    <t>INV-100847</t>
  </si>
  <si>
    <t>INV-100848</t>
  </si>
  <si>
    <t>INV-100849</t>
  </si>
  <si>
    <t>INV-100850</t>
  </si>
  <si>
    <t>INV-100851</t>
  </si>
  <si>
    <t>INV-100852</t>
  </si>
  <si>
    <t>INV-100853</t>
  </si>
  <si>
    <t>INV-100854</t>
  </si>
  <si>
    <t>INV-100855</t>
  </si>
  <si>
    <t>INV-100856</t>
  </si>
  <si>
    <t>INV-100857</t>
  </si>
  <si>
    <t>INV-100858</t>
  </si>
  <si>
    <t>INV-100859</t>
  </si>
  <si>
    <t>INV-100860</t>
  </si>
  <si>
    <t>INV-100861</t>
  </si>
  <si>
    <t>INV-100862</t>
  </si>
  <si>
    <t>INV-100863</t>
  </si>
  <si>
    <t>INV-100864</t>
  </si>
  <si>
    <t>INV-100865</t>
  </si>
  <si>
    <t>INV-100866</t>
  </si>
  <si>
    <t>INV-100867</t>
  </si>
  <si>
    <t>INV-100868</t>
  </si>
  <si>
    <t>INV-100869</t>
  </si>
  <si>
    <t>INV-100870</t>
  </si>
  <si>
    <t>INV-100871</t>
  </si>
  <si>
    <t>INV-100872</t>
  </si>
  <si>
    <t>INV-100873</t>
  </si>
  <si>
    <t>INV-100874</t>
  </si>
  <si>
    <t>INV-100875</t>
  </si>
  <si>
    <t>INV-100876</t>
  </si>
  <si>
    <t>INV-100877</t>
  </si>
  <si>
    <t>INV-100878</t>
  </si>
  <si>
    <t>INV-100879</t>
  </si>
  <si>
    <t>INV-100880</t>
  </si>
  <si>
    <t>INV-100881</t>
  </si>
  <si>
    <t>INV-100882</t>
  </si>
  <si>
    <t>INV-100883</t>
  </si>
  <si>
    <t>INV-100884</t>
  </si>
  <si>
    <t>INV-100885</t>
  </si>
  <si>
    <t>INV-100886</t>
  </si>
  <si>
    <t>INV-100887</t>
  </si>
  <si>
    <t>INV-100888</t>
  </si>
  <si>
    <t>INV-100889</t>
  </si>
  <si>
    <t>INV-100890</t>
  </si>
  <si>
    <t>INV-100891</t>
  </si>
  <si>
    <t>INV-100892</t>
  </si>
  <si>
    <t>INV-100893</t>
  </si>
  <si>
    <t>INV-100894</t>
  </si>
  <si>
    <t>INV-100895</t>
  </si>
  <si>
    <t>INV-100896</t>
  </si>
  <si>
    <t>INV-100897</t>
  </si>
  <si>
    <t>INV-100898</t>
  </si>
  <si>
    <t>INV-100899</t>
  </si>
  <si>
    <t>INV-100900</t>
  </si>
  <si>
    <t>INV-100901</t>
  </si>
  <si>
    <t>INV-100902</t>
  </si>
  <si>
    <t>INV-100903</t>
  </si>
  <si>
    <t>INV-100904</t>
  </si>
  <si>
    <t>INV-100905</t>
  </si>
  <si>
    <t>INV-100906</t>
  </si>
  <si>
    <t>INV-100907</t>
  </si>
  <si>
    <t>INV-100908</t>
  </si>
  <si>
    <t>INV-100909</t>
  </si>
  <si>
    <t>INV-100910</t>
  </si>
  <si>
    <t>INV-100911</t>
  </si>
  <si>
    <t>INV-100912</t>
  </si>
  <si>
    <t>INV-100913</t>
  </si>
  <si>
    <t>INV-100914</t>
  </si>
  <si>
    <t>INV-100915</t>
  </si>
  <si>
    <t>INV-100916</t>
  </si>
  <si>
    <t>INV-100917</t>
  </si>
  <si>
    <t>INV-100918</t>
  </si>
  <si>
    <t>INV-100919</t>
  </si>
  <si>
    <t>INV-100920</t>
  </si>
  <si>
    <t>INV-100921</t>
  </si>
  <si>
    <t>INV-100922</t>
  </si>
  <si>
    <t>INV-100923</t>
  </si>
  <si>
    <t>INV-100924</t>
  </si>
  <si>
    <t>INV-100925</t>
  </si>
  <si>
    <t>INV-100926</t>
  </si>
  <si>
    <t>INV-100927</t>
  </si>
  <si>
    <t>INV-100928</t>
  </si>
  <si>
    <t>INV-100929</t>
  </si>
  <si>
    <t>INV-100930</t>
  </si>
  <si>
    <t>INV-100931</t>
  </si>
  <si>
    <t>INV-100932</t>
  </si>
  <si>
    <t>INV-100933</t>
  </si>
  <si>
    <t>INV-100934</t>
  </si>
  <si>
    <t>INV-100935</t>
  </si>
  <si>
    <t>INV-100936</t>
  </si>
  <si>
    <t>INV-100937</t>
  </si>
  <si>
    <t>INV-100938</t>
  </si>
  <si>
    <t>INV-100939</t>
  </si>
  <si>
    <t>INV-100940</t>
  </si>
  <si>
    <t>INV-100941</t>
  </si>
  <si>
    <t>INV-100942</t>
  </si>
  <si>
    <t>INV-100943</t>
  </si>
  <si>
    <t>INV-100944</t>
  </si>
  <si>
    <t>INV-100945</t>
  </si>
  <si>
    <t>INV-100946</t>
  </si>
  <si>
    <t>INV-100947</t>
  </si>
  <si>
    <t>INV-100948</t>
  </si>
  <si>
    <t>INV-100949</t>
  </si>
  <si>
    <t>INV-100950</t>
  </si>
  <si>
    <t>INV-100951</t>
  </si>
  <si>
    <t>INV-100952</t>
  </si>
  <si>
    <t>INV-100953</t>
  </si>
  <si>
    <t>INV-100954</t>
  </si>
  <si>
    <t>INV-100955</t>
  </si>
  <si>
    <t>INV-100956</t>
  </si>
  <si>
    <t>INV-100957</t>
  </si>
  <si>
    <t>INV-100958</t>
  </si>
  <si>
    <t>INV-100959</t>
  </si>
  <si>
    <t>INV-100960</t>
  </si>
  <si>
    <t>INV-100961</t>
  </si>
  <si>
    <t>INV-100962</t>
  </si>
  <si>
    <t>INV-100963</t>
  </si>
  <si>
    <t>INV-100964</t>
  </si>
  <si>
    <t>INV-100965</t>
  </si>
  <si>
    <t>INV-100966</t>
  </si>
  <si>
    <t>INV-100967</t>
  </si>
  <si>
    <t>INV-100968</t>
  </si>
  <si>
    <t>INV-100969</t>
  </si>
  <si>
    <t>INV-100970</t>
  </si>
  <si>
    <t>INV-100971</t>
  </si>
  <si>
    <t>INV-100972</t>
  </si>
  <si>
    <t>INV-100973</t>
  </si>
  <si>
    <t>INV-100974</t>
  </si>
  <si>
    <t>INV-100975</t>
  </si>
  <si>
    <t>INV-100976</t>
  </si>
  <si>
    <t>INV-100977</t>
  </si>
  <si>
    <t>INV-100978</t>
  </si>
  <si>
    <t>INV-100979</t>
  </si>
  <si>
    <t>INV-100980</t>
  </si>
  <si>
    <t>INV-100981</t>
  </si>
  <si>
    <t>INV-100982</t>
  </si>
  <si>
    <t>INV-100983</t>
  </si>
  <si>
    <t>INV-100984</t>
  </si>
  <si>
    <t>INV-100985</t>
  </si>
  <si>
    <t>INV-100986</t>
  </si>
  <si>
    <t>INV-100987</t>
  </si>
  <si>
    <t>INV-100988</t>
  </si>
  <si>
    <t>INV-100989</t>
  </si>
  <si>
    <t>INV-100990</t>
  </si>
  <si>
    <t>INV-100991</t>
  </si>
  <si>
    <t>INV-100992</t>
  </si>
  <si>
    <t>INV-100993</t>
  </si>
  <si>
    <t>INV-100994</t>
  </si>
  <si>
    <t>INV-100995</t>
  </si>
  <si>
    <t>INV-100996</t>
  </si>
  <si>
    <t>INV-100997</t>
  </si>
  <si>
    <t>INV-100998</t>
  </si>
  <si>
    <t>INV-100999</t>
  </si>
  <si>
    <t>INV-101000</t>
  </si>
  <si>
    <t>INV-101001</t>
  </si>
  <si>
    <t>INV-101002</t>
  </si>
  <si>
    <t>INV-101003</t>
  </si>
  <si>
    <t>INV-101004</t>
  </si>
  <si>
    <t>INV-101005</t>
  </si>
  <si>
    <t>INV-101006</t>
  </si>
  <si>
    <t>INV-101007</t>
  </si>
  <si>
    <t>INV-101008</t>
  </si>
  <si>
    <t>INV-101009</t>
  </si>
  <si>
    <t>INV-101010</t>
  </si>
  <si>
    <t>INV-101011</t>
  </si>
  <si>
    <t>INV-101012</t>
  </si>
  <si>
    <t>INV-101013</t>
  </si>
  <si>
    <t>INV-101014</t>
  </si>
  <si>
    <t>INV-101015</t>
  </si>
  <si>
    <t>INV-101016</t>
  </si>
  <si>
    <t>INV-101017</t>
  </si>
  <si>
    <t>INV-101018</t>
  </si>
  <si>
    <t>INV-101019</t>
  </si>
  <si>
    <t>INV-101020</t>
  </si>
  <si>
    <t>INV-101021</t>
  </si>
  <si>
    <t>INV-101022</t>
  </si>
  <si>
    <t>INV-101023</t>
  </si>
  <si>
    <t>INV-101024</t>
  </si>
  <si>
    <t>INV-101025</t>
  </si>
  <si>
    <t>INV-101026</t>
  </si>
  <si>
    <t>INV-101027</t>
  </si>
  <si>
    <t>INV-101028</t>
  </si>
  <si>
    <t>INV-101029</t>
  </si>
  <si>
    <t>INV-101030</t>
  </si>
  <si>
    <t>INV-101031</t>
  </si>
  <si>
    <t>INV-101032</t>
  </si>
  <si>
    <t>INV-101033</t>
  </si>
  <si>
    <t>INV-101034</t>
  </si>
  <si>
    <t>INV-101035</t>
  </si>
  <si>
    <t>INV-101036</t>
  </si>
  <si>
    <t>INV-101037</t>
  </si>
  <si>
    <t>INV-101038</t>
  </si>
  <si>
    <t>INV-101039</t>
  </si>
  <si>
    <t>INV-101040</t>
  </si>
  <si>
    <t>INV-101041</t>
  </si>
  <si>
    <t>INV-101042</t>
  </si>
  <si>
    <t>INV-101043</t>
  </si>
  <si>
    <t>INV-101044</t>
  </si>
  <si>
    <t>INV-101045</t>
  </si>
  <si>
    <t>INV-101046</t>
  </si>
  <si>
    <t>INV-101047</t>
  </si>
  <si>
    <t>INV-101048</t>
  </si>
  <si>
    <t>INV-101049</t>
  </si>
  <si>
    <t>INV-101050</t>
  </si>
  <si>
    <t>INV-101051</t>
  </si>
  <si>
    <t>INV-101052</t>
  </si>
  <si>
    <t>INV-101053</t>
  </si>
  <si>
    <t>INV-101054</t>
  </si>
  <si>
    <t>INV-101055</t>
  </si>
  <si>
    <t>INV-101056</t>
  </si>
  <si>
    <t>INV-101057</t>
  </si>
  <si>
    <t>INV-101058</t>
  </si>
  <si>
    <t>INV-101059</t>
  </si>
  <si>
    <t>INV-101060</t>
  </si>
  <si>
    <t>INV-101061</t>
  </si>
  <si>
    <t>INV-101062</t>
  </si>
  <si>
    <t>INV-101063</t>
  </si>
  <si>
    <t>INV-101064</t>
  </si>
  <si>
    <t>INV-101065</t>
  </si>
  <si>
    <t>INV-101066</t>
  </si>
  <si>
    <t>INV-101067</t>
  </si>
  <si>
    <t>INV-101068</t>
  </si>
  <si>
    <t>INV-101069</t>
  </si>
  <si>
    <t>INV-101070</t>
  </si>
  <si>
    <t>INV-101071</t>
  </si>
  <si>
    <t>INV-101072</t>
  </si>
  <si>
    <t>INV-101073</t>
  </si>
  <si>
    <t>INV-101074</t>
  </si>
  <si>
    <t>INV-101075</t>
  </si>
  <si>
    <t>INV-101076</t>
  </si>
  <si>
    <t>INV-101077</t>
  </si>
  <si>
    <t>INV-101078</t>
  </si>
  <si>
    <t>INV-101079</t>
  </si>
  <si>
    <t>INV-101080</t>
  </si>
  <si>
    <t>INV-101081</t>
  </si>
  <si>
    <t>INV-101082</t>
  </si>
  <si>
    <t>INV-101083</t>
  </si>
  <si>
    <t>INV-101084</t>
  </si>
  <si>
    <t>INV-101085</t>
  </si>
  <si>
    <t>INV-101086</t>
  </si>
  <si>
    <t>INV-101087</t>
  </si>
  <si>
    <t>INV-101088</t>
  </si>
  <si>
    <t>INV-101089</t>
  </si>
  <si>
    <t>INV-101090</t>
  </si>
  <si>
    <t>INV-101091</t>
  </si>
  <si>
    <t>INV-101092</t>
  </si>
  <si>
    <t>INV-101093</t>
  </si>
  <si>
    <t>INV-101094</t>
  </si>
  <si>
    <t>INV-101095</t>
  </si>
  <si>
    <t>INV-101096</t>
  </si>
  <si>
    <t>INV-101097</t>
  </si>
  <si>
    <t>INV-101098</t>
  </si>
  <si>
    <t>INV-101099</t>
  </si>
  <si>
    <t>INV-101100</t>
  </si>
  <si>
    <t>INV-101101</t>
  </si>
  <si>
    <t>INV-101102</t>
  </si>
  <si>
    <t>INV-101103</t>
  </si>
  <si>
    <t>INV-101104</t>
  </si>
  <si>
    <t>INV-101105</t>
  </si>
  <si>
    <t>INV-101106</t>
  </si>
  <si>
    <t>INV-101107</t>
  </si>
  <si>
    <t>INV-101108</t>
  </si>
  <si>
    <t>INV-101109</t>
  </si>
  <si>
    <t>INV-101110</t>
  </si>
  <si>
    <t>INV-101111</t>
  </si>
  <si>
    <t>INV-101112</t>
  </si>
  <si>
    <t>INV-101113</t>
  </si>
  <si>
    <t>INV-101114</t>
  </si>
  <si>
    <t>INV-101115</t>
  </si>
  <si>
    <t>INV-101116</t>
  </si>
  <si>
    <t>INV-101117</t>
  </si>
  <si>
    <t>INV-101118</t>
  </si>
  <si>
    <t>INV-101119</t>
  </si>
  <si>
    <t>INV-101120</t>
  </si>
  <si>
    <t>INV-101121</t>
  </si>
  <si>
    <t>INV-101122</t>
  </si>
  <si>
    <t>INV-101123</t>
  </si>
  <si>
    <t>INV-101124</t>
  </si>
  <si>
    <t>INV-101125</t>
  </si>
  <si>
    <t>INV-101126</t>
  </si>
  <si>
    <t>INV-101127</t>
  </si>
  <si>
    <t>INV-101128</t>
  </si>
  <si>
    <t>INV-101129</t>
  </si>
  <si>
    <t>INV-101130</t>
  </si>
  <si>
    <t>INV-101131</t>
  </si>
  <si>
    <t>INV-101132</t>
  </si>
  <si>
    <t>INV-101133</t>
  </si>
  <si>
    <t>INV-101134</t>
  </si>
  <si>
    <t>INV-101135</t>
  </si>
  <si>
    <t>INV-101136</t>
  </si>
  <si>
    <t>INV-101137</t>
  </si>
  <si>
    <t>INV-101138</t>
  </si>
  <si>
    <t>INV-101139</t>
  </si>
  <si>
    <t>INV-101140</t>
  </si>
  <si>
    <t>INV-101141</t>
  </si>
  <si>
    <t>INV-101142</t>
  </si>
  <si>
    <t>INV-101143</t>
  </si>
  <si>
    <t>INV-101144</t>
  </si>
  <si>
    <t>INV-101145</t>
  </si>
  <si>
    <t>INV-101146</t>
  </si>
  <si>
    <t>INV-101147</t>
  </si>
  <si>
    <t>INV-101148</t>
  </si>
  <si>
    <t>INV-101149</t>
  </si>
  <si>
    <t>INV-101150</t>
  </si>
  <si>
    <t>INV-101151</t>
  </si>
  <si>
    <t>INV-101152</t>
  </si>
  <si>
    <t>INV-101153</t>
  </si>
  <si>
    <t>INV-101154</t>
  </si>
  <si>
    <t>INV-101155</t>
  </si>
  <si>
    <t>INV-101156</t>
  </si>
  <si>
    <t>INV-101157</t>
  </si>
  <si>
    <t>INV-101158</t>
  </si>
  <si>
    <t>INV-101159</t>
  </si>
  <si>
    <t>INV-101160</t>
  </si>
  <si>
    <t>INV-101161</t>
  </si>
  <si>
    <t>INV-101162</t>
  </si>
  <si>
    <t>INV-101163</t>
  </si>
  <si>
    <t>INV-101164</t>
  </si>
  <si>
    <t>INV-101165</t>
  </si>
  <si>
    <t>INV-101166</t>
  </si>
  <si>
    <t>INV-101167</t>
  </si>
  <si>
    <t>INV-101168</t>
  </si>
  <si>
    <t>INV-101169</t>
  </si>
  <si>
    <t>INV-101170</t>
  </si>
  <si>
    <t>INV-101171</t>
  </si>
  <si>
    <t>INV-101172</t>
  </si>
  <si>
    <t>INV-101173</t>
  </si>
  <si>
    <t>INV-101174</t>
  </si>
  <si>
    <t>INV-101175</t>
  </si>
  <si>
    <t>INV-101176</t>
  </si>
  <si>
    <t>INV-101177</t>
  </si>
  <si>
    <t>INV-101178</t>
  </si>
  <si>
    <t>INV-101179</t>
  </si>
  <si>
    <t>INV-101180</t>
  </si>
  <si>
    <t>INV-101181</t>
  </si>
  <si>
    <t>INV-101182</t>
  </si>
  <si>
    <t>INV-101183</t>
  </si>
  <si>
    <t>INV-101184</t>
  </si>
  <si>
    <t>INV-101185</t>
  </si>
  <si>
    <t>INV-101186</t>
  </si>
  <si>
    <t>INV-101187</t>
  </si>
  <si>
    <t>INV-101188</t>
  </si>
  <si>
    <t>INV-101189</t>
  </si>
  <si>
    <t>INV-101190</t>
  </si>
  <si>
    <t>INV-101191</t>
  </si>
  <si>
    <t>INV-101192</t>
  </si>
  <si>
    <t>INV-101193</t>
  </si>
  <si>
    <t>INV-101194</t>
  </si>
  <si>
    <t>INV-101195</t>
  </si>
  <si>
    <t>INV-101196</t>
  </si>
  <si>
    <t>INV-101197</t>
  </si>
  <si>
    <t>INV-101198</t>
  </si>
  <si>
    <t>INV-101199</t>
  </si>
  <si>
    <t>INV-101200</t>
  </si>
  <si>
    <t>INV-101201</t>
  </si>
  <si>
    <t>INV-101202</t>
  </si>
  <si>
    <t>INV-101203</t>
  </si>
  <si>
    <t>INV-101204</t>
  </si>
  <si>
    <t>INV-101205</t>
  </si>
  <si>
    <t>INV-101206</t>
  </si>
  <si>
    <t>INV-101207</t>
  </si>
  <si>
    <t>INV-101208</t>
  </si>
  <si>
    <t>INV-101209</t>
  </si>
  <si>
    <t>INV-101210</t>
  </si>
  <si>
    <t>INV-101211</t>
  </si>
  <si>
    <t>INV-101212</t>
  </si>
  <si>
    <t>INV-101213</t>
  </si>
  <si>
    <t>INV-101214</t>
  </si>
  <si>
    <t>INV-101215</t>
  </si>
  <si>
    <t>INV-101216</t>
  </si>
  <si>
    <t>INV-101217</t>
  </si>
  <si>
    <t>INV-101218</t>
  </si>
  <si>
    <t>INV-101219</t>
  </si>
  <si>
    <t>INV-101220</t>
  </si>
  <si>
    <t>INV-101221</t>
  </si>
  <si>
    <t>INV-101222</t>
  </si>
  <si>
    <t>INV-101223</t>
  </si>
  <si>
    <t>INV-101224</t>
  </si>
  <si>
    <t>INV-101225</t>
  </si>
  <si>
    <t>INV-101226</t>
  </si>
  <si>
    <t>INV-101227</t>
  </si>
  <si>
    <t>INV-101228</t>
  </si>
  <si>
    <t>INV-101229</t>
  </si>
  <si>
    <t>INV-101230</t>
  </si>
  <si>
    <t>INV-101231</t>
  </si>
  <si>
    <t>INV-101232</t>
  </si>
  <si>
    <t>INV-101233</t>
  </si>
  <si>
    <t>INV-101234</t>
  </si>
  <si>
    <t>INV-101235</t>
  </si>
  <si>
    <t>INV-101236</t>
  </si>
  <si>
    <t>INV-101237</t>
  </si>
  <si>
    <t>INV-101238</t>
  </si>
  <si>
    <t>INV-101239</t>
  </si>
  <si>
    <t>INV-101240</t>
  </si>
  <si>
    <t>INV-101241</t>
  </si>
  <si>
    <t>INV-101242</t>
  </si>
  <si>
    <t>INV-101243</t>
  </si>
  <si>
    <t>INV-101244</t>
  </si>
  <si>
    <t>INV-101245</t>
  </si>
  <si>
    <t>INV-101246</t>
  </si>
  <si>
    <t>INV-101247</t>
  </si>
  <si>
    <t>INV-101248</t>
  </si>
  <si>
    <t>INV-101249</t>
  </si>
  <si>
    <t>INV-101250</t>
  </si>
  <si>
    <t>INV-101251</t>
  </si>
  <si>
    <t>INV-101252</t>
  </si>
  <si>
    <t>INV-101253</t>
  </si>
  <si>
    <t>INV-101254</t>
  </si>
  <si>
    <t>INV-101255</t>
  </si>
  <si>
    <t>INV-101256</t>
  </si>
  <si>
    <t>INV-101257</t>
  </si>
  <si>
    <t>INV-101258</t>
  </si>
  <si>
    <t>INV-101259</t>
  </si>
  <si>
    <t>INV-101260</t>
  </si>
  <si>
    <t>INV-101261</t>
  </si>
  <si>
    <t>INV-101262</t>
  </si>
  <si>
    <t>INV-101263</t>
  </si>
  <si>
    <t>INV-101264</t>
  </si>
  <si>
    <t>INV-101265</t>
  </si>
  <si>
    <t>INV-101266</t>
  </si>
  <si>
    <t>INV-101267</t>
  </si>
  <si>
    <t>INV-101268</t>
  </si>
  <si>
    <t>INV-101269</t>
  </si>
  <si>
    <t>INV-101270</t>
  </si>
  <si>
    <t>INV-101271</t>
  </si>
  <si>
    <t>INV-101272</t>
  </si>
  <si>
    <t>INV-101273</t>
  </si>
  <si>
    <t>INV-101274</t>
  </si>
  <si>
    <t>INV-101275</t>
  </si>
  <si>
    <t>INV-101276</t>
  </si>
  <si>
    <t>INV-101277</t>
  </si>
  <si>
    <t>INV-101278</t>
  </si>
  <si>
    <t>INV-101279</t>
  </si>
  <si>
    <t>INV-101280</t>
  </si>
  <si>
    <t>INV-101281</t>
  </si>
  <si>
    <t>INV-101282</t>
  </si>
  <si>
    <t>INV-101283</t>
  </si>
  <si>
    <t>INV-101284</t>
  </si>
  <si>
    <t>INV-101285</t>
  </si>
  <si>
    <t>INV-101286</t>
  </si>
  <si>
    <t>INV-101287</t>
  </si>
  <si>
    <t>INV-101288</t>
  </si>
  <si>
    <t>INV-101289</t>
  </si>
  <si>
    <t>INV-101290</t>
  </si>
  <si>
    <t>INV-101291</t>
  </si>
  <si>
    <t>INV-101292</t>
  </si>
  <si>
    <t>INV-101293</t>
  </si>
  <si>
    <t>INV-101294</t>
  </si>
  <si>
    <t>INV-101295</t>
  </si>
  <si>
    <t>INV-101296</t>
  </si>
  <si>
    <t>INV-101297</t>
  </si>
  <si>
    <t>INV-101298</t>
  </si>
  <si>
    <t>INV-101299</t>
  </si>
  <si>
    <t>INV-101300</t>
  </si>
  <si>
    <t>INV-101301</t>
  </si>
  <si>
    <t>INV-101302</t>
  </si>
  <si>
    <t>INV-101303</t>
  </si>
  <si>
    <t>INV-101304</t>
  </si>
  <si>
    <t>INV-101305</t>
  </si>
  <si>
    <t>INV-101306</t>
  </si>
  <si>
    <t>INV-101307</t>
  </si>
  <si>
    <t>INV-101308</t>
  </si>
  <si>
    <t>INV-101309</t>
  </si>
  <si>
    <t>INV-101310</t>
  </si>
  <si>
    <t>INV-101311</t>
  </si>
  <si>
    <t>INV-101312</t>
  </si>
  <si>
    <t>INV-101313</t>
  </si>
  <si>
    <t>INV-101314</t>
  </si>
  <si>
    <t>INV-101315</t>
  </si>
  <si>
    <t>INV-101316</t>
  </si>
  <si>
    <t>INV-101317</t>
  </si>
  <si>
    <t>INV-101318</t>
  </si>
  <si>
    <t>INV-101319</t>
  </si>
  <si>
    <t>INV-101320</t>
  </si>
  <si>
    <t>INV-101321</t>
  </si>
  <si>
    <t>INV-101322</t>
  </si>
  <si>
    <t>INV-101323</t>
  </si>
  <si>
    <t>INV-101324</t>
  </si>
  <si>
    <t>INV-101325</t>
  </si>
  <si>
    <t>INV-101326</t>
  </si>
  <si>
    <t>INV-101327</t>
  </si>
  <si>
    <t>INV-101328</t>
  </si>
  <si>
    <t>INV-101329</t>
  </si>
  <si>
    <t>INV-101330</t>
  </si>
  <si>
    <t>INV-101331</t>
  </si>
  <si>
    <t>INV-101332</t>
  </si>
  <si>
    <t>INV-101333</t>
  </si>
  <si>
    <t>INV-101334</t>
  </si>
  <si>
    <t>INV-101335</t>
  </si>
  <si>
    <t>INV-101336</t>
  </si>
  <si>
    <t>INV-101337</t>
  </si>
  <si>
    <t>INV-101338</t>
  </si>
  <si>
    <t>INV-101339</t>
  </si>
  <si>
    <t>INV-101340</t>
  </si>
  <si>
    <t>INV-101341</t>
  </si>
  <si>
    <t>INV-101342</t>
  </si>
  <si>
    <t>INV-101343</t>
  </si>
  <si>
    <t>INV-101344</t>
  </si>
  <si>
    <t>INV-101345</t>
  </si>
  <si>
    <t>INV-101346</t>
  </si>
  <si>
    <t>INV-101347</t>
  </si>
  <si>
    <t>INV-101348</t>
  </si>
  <si>
    <t>INV-101349</t>
  </si>
  <si>
    <t>INV-101350</t>
  </si>
  <si>
    <t>INV-101351</t>
  </si>
  <si>
    <t>INV-101352</t>
  </si>
  <si>
    <t>INV-101353</t>
  </si>
  <si>
    <t>INV-101354</t>
  </si>
  <si>
    <t>INV-101355</t>
  </si>
  <si>
    <t>INV-101356</t>
  </si>
  <si>
    <t>INV-101357</t>
  </si>
  <si>
    <t>INV-101358</t>
  </si>
  <si>
    <t>INV-101359</t>
  </si>
  <si>
    <t>INV-101360</t>
  </si>
  <si>
    <t>INV-101361</t>
  </si>
  <si>
    <t>INV-101362</t>
  </si>
  <si>
    <t>INV-101363</t>
  </si>
  <si>
    <t>INV-101364</t>
  </si>
  <si>
    <t>INV-101365</t>
  </si>
  <si>
    <t>INV-101366</t>
  </si>
  <si>
    <t>INV-101367</t>
  </si>
  <si>
    <t>INV-101368</t>
  </si>
  <si>
    <t>INV-101369</t>
  </si>
  <si>
    <t>INV-101370</t>
  </si>
  <si>
    <t>INV-101371</t>
  </si>
  <si>
    <t>INV-101372</t>
  </si>
  <si>
    <t>INV-101373</t>
  </si>
  <si>
    <t>INV-101374</t>
  </si>
  <si>
    <t>INV-101375</t>
  </si>
  <si>
    <t>INV-101376</t>
  </si>
  <si>
    <t>INV-101377</t>
  </si>
  <si>
    <t>INV-101378</t>
  </si>
  <si>
    <t>INV-101379</t>
  </si>
  <si>
    <t>INV-101380</t>
  </si>
  <si>
    <t>INV-101381</t>
  </si>
  <si>
    <t>INV-101382</t>
  </si>
  <si>
    <t>INV-101383</t>
  </si>
  <si>
    <t>INV-101384</t>
  </si>
  <si>
    <t>INV-101385</t>
  </si>
  <si>
    <t>INV-101386</t>
  </si>
  <si>
    <t>INV-101387</t>
  </si>
  <si>
    <t>INV-101388</t>
  </si>
  <si>
    <t>INV-101389</t>
  </si>
  <si>
    <t>INV-101390</t>
  </si>
  <si>
    <t>INV-101391</t>
  </si>
  <si>
    <t>INV-101392</t>
  </si>
  <si>
    <t>INV-101393</t>
  </si>
  <si>
    <t>INV-101394</t>
  </si>
  <si>
    <t>INV-101395</t>
  </si>
  <si>
    <t>INV-101396</t>
  </si>
  <si>
    <t>INV-101397</t>
  </si>
  <si>
    <t>INV-101398</t>
  </si>
  <si>
    <t>INV-101399</t>
  </si>
  <si>
    <t>INV-101400</t>
  </si>
  <si>
    <t>INV-101401</t>
  </si>
  <si>
    <t>INV-101402</t>
  </si>
  <si>
    <t>INV-101403</t>
  </si>
  <si>
    <t>INV-101404</t>
  </si>
  <si>
    <t>INV-101405</t>
  </si>
  <si>
    <t>INV-101406</t>
  </si>
  <si>
    <t>INV-101407</t>
  </si>
  <si>
    <t>INV-101408</t>
  </si>
  <si>
    <t>INV-101409</t>
  </si>
  <si>
    <t>INV-101410</t>
  </si>
  <si>
    <t>INV-101411</t>
  </si>
  <si>
    <t>INV-101412</t>
  </si>
  <si>
    <t>INV-101413</t>
  </si>
  <si>
    <t>INV-101414</t>
  </si>
  <si>
    <t>INV-101415</t>
  </si>
  <si>
    <t>INV-101416</t>
  </si>
  <si>
    <t>INV-101417</t>
  </si>
  <si>
    <t>INV-101418</t>
  </si>
  <si>
    <t>INV-101419</t>
  </si>
  <si>
    <t>INV-101420</t>
  </si>
  <si>
    <t>INV-101421</t>
  </si>
  <si>
    <t>INV-101422</t>
  </si>
  <si>
    <t>INV-101423</t>
  </si>
  <si>
    <t>INV-101424</t>
  </si>
  <si>
    <t>INV-101425</t>
  </si>
  <si>
    <t>INV-101426</t>
  </si>
  <si>
    <t>INV-101427</t>
  </si>
  <si>
    <t>INV-101428</t>
  </si>
  <si>
    <t>INV-101429</t>
  </si>
  <si>
    <t>INV-101430</t>
  </si>
  <si>
    <t>INV-101431</t>
  </si>
  <si>
    <t>INV-101432</t>
  </si>
  <si>
    <t>INV-101433</t>
  </si>
  <si>
    <t>INV-101434</t>
  </si>
  <si>
    <t>INV-101435</t>
  </si>
  <si>
    <t>INV-101436</t>
  </si>
  <si>
    <t>INV-101437</t>
  </si>
  <si>
    <t>INV-101438</t>
  </si>
  <si>
    <t>INV-101439</t>
  </si>
  <si>
    <t>INV-101440</t>
  </si>
  <si>
    <t>INV-101441</t>
  </si>
  <si>
    <t>INV-101442</t>
  </si>
  <si>
    <t>INV-101443</t>
  </si>
  <si>
    <t>INV-101444</t>
  </si>
  <si>
    <t>INV-101445</t>
  </si>
  <si>
    <t>INV-101446</t>
  </si>
  <si>
    <t>INV-101447</t>
  </si>
  <si>
    <t>INV-101448</t>
  </si>
  <si>
    <t>INV-101449</t>
  </si>
  <si>
    <t>INV-101450</t>
  </si>
  <si>
    <t>INV-101451</t>
  </si>
  <si>
    <t>INV-101452</t>
  </si>
  <si>
    <t>INV-101453</t>
  </si>
  <si>
    <t>INV-101454</t>
  </si>
  <si>
    <t>INV-101455</t>
  </si>
  <si>
    <t>INV-101456</t>
  </si>
  <si>
    <t>INV-101457</t>
  </si>
  <si>
    <t>INV-101458</t>
  </si>
  <si>
    <t>INV-101459</t>
  </si>
  <si>
    <t>INV-101460</t>
  </si>
  <si>
    <t>INV-101461</t>
  </si>
  <si>
    <t>INV-101462</t>
  </si>
  <si>
    <t>INV-101463</t>
  </si>
  <si>
    <t>INV-101464</t>
  </si>
  <si>
    <t>INV-101465</t>
  </si>
  <si>
    <t>INV-101466</t>
  </si>
  <si>
    <t>INV-101467</t>
  </si>
  <si>
    <t>INV-101468</t>
  </si>
  <si>
    <t>INV-101469</t>
  </si>
  <si>
    <t>INV-101470</t>
  </si>
  <si>
    <t>INV-101471</t>
  </si>
  <si>
    <t>INV-101472</t>
  </si>
  <si>
    <t>INV-101473</t>
  </si>
  <si>
    <t>INV-101474</t>
  </si>
  <si>
    <t>INV-101475</t>
  </si>
  <si>
    <t>INV-101476</t>
  </si>
  <si>
    <t>INV-101477</t>
  </si>
  <si>
    <t>INV-101478</t>
  </si>
  <si>
    <t>INV-101479</t>
  </si>
  <si>
    <t>INV-101480</t>
  </si>
  <si>
    <t>INV-101481</t>
  </si>
  <si>
    <t>INV-101482</t>
  </si>
  <si>
    <t>INV-101483</t>
  </si>
  <si>
    <t>INV-101484</t>
  </si>
  <si>
    <t>INV-101485</t>
  </si>
  <si>
    <t>INV-101486</t>
  </si>
  <si>
    <t>INV-101487</t>
  </si>
  <si>
    <t>INV-101488</t>
  </si>
  <si>
    <t>INV-101489</t>
  </si>
  <si>
    <t>INV-101490</t>
  </si>
  <si>
    <t>INV-101491</t>
  </si>
  <si>
    <t>INV-101492</t>
  </si>
  <si>
    <t>INV-101493</t>
  </si>
  <si>
    <t>INV-101494</t>
  </si>
  <si>
    <t>INV-101495</t>
  </si>
  <si>
    <t>INV-101496</t>
  </si>
  <si>
    <t>INV-101497</t>
  </si>
  <si>
    <t>INV-101498</t>
  </si>
  <si>
    <t>INV-101499</t>
  </si>
  <si>
    <t>INV-101500</t>
  </si>
  <si>
    <t>INV-101501</t>
  </si>
  <si>
    <t>INV-101502</t>
  </si>
  <si>
    <t>INV-101503</t>
  </si>
  <si>
    <t>INV-101504</t>
  </si>
  <si>
    <t>INV-101505</t>
  </si>
  <si>
    <t>INV-101506</t>
  </si>
  <si>
    <t>INV-101507</t>
  </si>
  <si>
    <t>INV-101508</t>
  </si>
  <si>
    <t>INV-101509</t>
  </si>
  <si>
    <t>INV-101510</t>
  </si>
  <si>
    <t>INV-101511</t>
  </si>
  <si>
    <t>INV-101512</t>
  </si>
  <si>
    <t>INV-101513</t>
  </si>
  <si>
    <t>INV-101514</t>
  </si>
  <si>
    <t>INV-101515</t>
  </si>
  <si>
    <t>INV-101516</t>
  </si>
  <si>
    <t>INV-101517</t>
  </si>
  <si>
    <t>INV-101518</t>
  </si>
  <si>
    <t>INV-101519</t>
  </si>
  <si>
    <t>INV-101520</t>
  </si>
  <si>
    <t>INV-101521</t>
  </si>
  <si>
    <t>INV-101522</t>
  </si>
  <si>
    <t>INV-101523</t>
  </si>
  <si>
    <t>INV-101524</t>
  </si>
  <si>
    <t>INV-101525</t>
  </si>
  <si>
    <t>INV-101526</t>
  </si>
  <si>
    <t>INV-101527</t>
  </si>
  <si>
    <t>INV-101528</t>
  </si>
  <si>
    <t>INV-101529</t>
  </si>
  <si>
    <t>INV-101530</t>
  </si>
  <si>
    <t>INV-101531</t>
  </si>
  <si>
    <t>INV-101532</t>
  </si>
  <si>
    <t>INV-101533</t>
  </si>
  <si>
    <t>INV-101534</t>
  </si>
  <si>
    <t>INV-101535</t>
  </si>
  <si>
    <t>INV-101536</t>
  </si>
  <si>
    <t>INV-101537</t>
  </si>
  <si>
    <t>INV-101538</t>
  </si>
  <si>
    <t>INV-101539</t>
  </si>
  <si>
    <t>INV-101540</t>
  </si>
  <si>
    <t>INV-101541</t>
  </si>
  <si>
    <t>INV-101542</t>
  </si>
  <si>
    <t>INV-101543</t>
  </si>
  <si>
    <t>INV-101544</t>
  </si>
  <si>
    <t>INV-101545</t>
  </si>
  <si>
    <t>INV-101546</t>
  </si>
  <si>
    <t>INV-101547</t>
  </si>
  <si>
    <t>INV-101548</t>
  </si>
  <si>
    <t>INV-101549</t>
  </si>
  <si>
    <t>INV-101550</t>
  </si>
  <si>
    <t>INV-101551</t>
  </si>
  <si>
    <t>INV-101552</t>
  </si>
  <si>
    <t>INV-101553</t>
  </si>
  <si>
    <t>INV-101554</t>
  </si>
  <si>
    <t>INV-101555</t>
  </si>
  <si>
    <t>INV-101556</t>
  </si>
  <si>
    <t>INV-101557</t>
  </si>
  <si>
    <t>INV-101558</t>
  </si>
  <si>
    <t>INV-101559</t>
  </si>
  <si>
    <t>INV-101560</t>
  </si>
  <si>
    <t>INV-101561</t>
  </si>
  <si>
    <t>INV-101562</t>
  </si>
  <si>
    <t>INV-101563</t>
  </si>
  <si>
    <t>INV-101564</t>
  </si>
  <si>
    <t>INV-101565</t>
  </si>
  <si>
    <t>INV-101566</t>
  </si>
  <si>
    <t>INV-101567</t>
  </si>
  <si>
    <t>INV-101568</t>
  </si>
  <si>
    <t>INV-101569</t>
  </si>
  <si>
    <t>INV-101570</t>
  </si>
  <si>
    <t>INV-101571</t>
  </si>
  <si>
    <t>INV-101572</t>
  </si>
  <si>
    <t>INV-101573</t>
  </si>
  <si>
    <t>INV-101574</t>
  </si>
  <si>
    <t>INV-101575</t>
  </si>
  <si>
    <t>INV-101576</t>
  </si>
  <si>
    <t>INV-101577</t>
  </si>
  <si>
    <t>INV-101578</t>
  </si>
  <si>
    <t>INV-101579</t>
  </si>
  <si>
    <t>INV-101580</t>
  </si>
  <si>
    <t>INV-101581</t>
  </si>
  <si>
    <t>INV-101582</t>
  </si>
  <si>
    <t>INV-101583</t>
  </si>
  <si>
    <t>INV-101584</t>
  </si>
  <si>
    <t>INV-101585</t>
  </si>
  <si>
    <t>INV-101586</t>
  </si>
  <si>
    <t>INV-101587</t>
  </si>
  <si>
    <t>INV-101588</t>
  </si>
  <si>
    <t>INV-101589</t>
  </si>
  <si>
    <t>INV-101590</t>
  </si>
  <si>
    <t>INV-101591</t>
  </si>
  <si>
    <t>INV-101592</t>
  </si>
  <si>
    <t>INV-101593</t>
  </si>
  <si>
    <t>INV-101594</t>
  </si>
  <si>
    <t>INV-101595</t>
  </si>
  <si>
    <t>INV-101596</t>
  </si>
  <si>
    <t>INV-101597</t>
  </si>
  <si>
    <t>INV-101598</t>
  </si>
  <si>
    <t>INV-101599</t>
  </si>
  <si>
    <t>INV-101600</t>
  </si>
  <si>
    <t>INV-101601</t>
  </si>
  <si>
    <t>INV-101602</t>
  </si>
  <si>
    <t>INV-101603</t>
  </si>
  <si>
    <t>INV-101604</t>
  </si>
  <si>
    <t>INV-101605</t>
  </si>
  <si>
    <t>INV-101606</t>
  </si>
  <si>
    <t>INV-101607</t>
  </si>
  <si>
    <t>INV-101608</t>
  </si>
  <si>
    <t>INV-101609</t>
  </si>
  <si>
    <t>INV-101610</t>
  </si>
  <si>
    <t>INV-101611</t>
  </si>
  <si>
    <t>INV-101612</t>
  </si>
  <si>
    <t>INV-101613</t>
  </si>
  <si>
    <t>INV-101614</t>
  </si>
  <si>
    <t>INV-101615</t>
  </si>
  <si>
    <t>INV-101616</t>
  </si>
  <si>
    <t>INV-101617</t>
  </si>
  <si>
    <t>INV-101618</t>
  </si>
  <si>
    <t>INV-101619</t>
  </si>
  <si>
    <t>INV-101620</t>
  </si>
  <si>
    <t>INV-101621</t>
  </si>
  <si>
    <t>INV-101622</t>
  </si>
  <si>
    <t>INV-101623</t>
  </si>
  <si>
    <t>INV-101624</t>
  </si>
  <si>
    <t>INV-101625</t>
  </si>
  <si>
    <t>INV-101626</t>
  </si>
  <si>
    <t>INV-101627</t>
  </si>
  <si>
    <t>INV-101628</t>
  </si>
  <si>
    <t>INV-101629</t>
  </si>
  <si>
    <t>INV-101630</t>
  </si>
  <si>
    <t>INV-101631</t>
  </si>
  <si>
    <t>INV-101632</t>
  </si>
  <si>
    <t>INV-101633</t>
  </si>
  <si>
    <t>INV-101634</t>
  </si>
  <si>
    <t>INV-101635</t>
  </si>
  <si>
    <t>INV-101636</t>
  </si>
  <si>
    <t>INV-101637</t>
  </si>
  <si>
    <t>INV-101638</t>
  </si>
  <si>
    <t>INV-101639</t>
  </si>
  <si>
    <t>INV-101640</t>
  </si>
  <si>
    <t>INV-101641</t>
  </si>
  <si>
    <t>Expense_ID</t>
  </si>
  <si>
    <t>Expense_Date</t>
  </si>
  <si>
    <t>Vendor_ID</t>
  </si>
  <si>
    <t>EXP-500001</t>
  </si>
  <si>
    <t>IT</t>
  </si>
  <si>
    <t>Salaries</t>
  </si>
  <si>
    <t>VEND-121</t>
  </si>
  <si>
    <t>EXP-500002</t>
  </si>
  <si>
    <t>Rent</t>
  </si>
  <si>
    <t>EXP-500003</t>
  </si>
  <si>
    <t>Utilities</t>
  </si>
  <si>
    <t>VEND-134</t>
  </si>
  <si>
    <t>EXP-500004</t>
  </si>
  <si>
    <t>Software</t>
  </si>
  <si>
    <t>VEND-172</t>
  </si>
  <si>
    <t>EXP-500005</t>
  </si>
  <si>
    <t>Marketing</t>
  </si>
  <si>
    <t>VEND-146</t>
  </si>
  <si>
    <t>EXP-500006</t>
  </si>
  <si>
    <t>Travel</t>
  </si>
  <si>
    <t>VEND-155</t>
  </si>
  <si>
    <t>EXP-500007</t>
  </si>
  <si>
    <t>Operations</t>
  </si>
  <si>
    <t>VEND-104</t>
  </si>
  <si>
    <t>EXP-500008</t>
  </si>
  <si>
    <t>Taxes</t>
  </si>
  <si>
    <t>EXP-500009</t>
  </si>
  <si>
    <t>Other</t>
  </si>
  <si>
    <t>EXP-500010</t>
  </si>
  <si>
    <t>HR</t>
  </si>
  <si>
    <t>VEND-156</t>
  </si>
  <si>
    <t>EXP-500011</t>
  </si>
  <si>
    <t>VEND-130</t>
  </si>
  <si>
    <t>EXP-500012</t>
  </si>
  <si>
    <t>VEND-165</t>
  </si>
  <si>
    <t>EXP-500013</t>
  </si>
  <si>
    <t>VEND-127</t>
  </si>
  <si>
    <t>EXP-500014</t>
  </si>
  <si>
    <t>VEND-107</t>
  </si>
  <si>
    <t>EXP-500015</t>
  </si>
  <si>
    <t>VEND-102</t>
  </si>
  <si>
    <t>EXP-500016</t>
  </si>
  <si>
    <t>VEND-124</t>
  </si>
  <si>
    <t>EXP-500017</t>
  </si>
  <si>
    <t>VEND-179</t>
  </si>
  <si>
    <t>EXP-500018</t>
  </si>
  <si>
    <t>VEND-142</t>
  </si>
  <si>
    <t>EXP-500019</t>
  </si>
  <si>
    <t>Finance</t>
  </si>
  <si>
    <t>EXP-500020</t>
  </si>
  <si>
    <t>VEND-176</t>
  </si>
  <si>
    <t>EXP-500021</t>
  </si>
  <si>
    <t>VEND-133</t>
  </si>
  <si>
    <t>EXP-500022</t>
  </si>
  <si>
    <t>VEND-170</t>
  </si>
  <si>
    <t>EXP-500023</t>
  </si>
  <si>
    <t>VEND-167</t>
  </si>
  <si>
    <t>EXP-500024</t>
  </si>
  <si>
    <t>VEND-157</t>
  </si>
  <si>
    <t>EXP-500025</t>
  </si>
  <si>
    <t>VEND-138</t>
  </si>
  <si>
    <t>EXP-500026</t>
  </si>
  <si>
    <t>EXP-500027</t>
  </si>
  <si>
    <t>VEND-125</t>
  </si>
  <si>
    <t>EXP-500028</t>
  </si>
  <si>
    <t>EXP-500029</t>
  </si>
  <si>
    <t>VEND-110</t>
  </si>
  <si>
    <t>EXP-500030</t>
  </si>
  <si>
    <t>VEND-171</t>
  </si>
  <si>
    <t>EXP-500031</t>
  </si>
  <si>
    <t>VEND-136</t>
  </si>
  <si>
    <t>EXP-500032</t>
  </si>
  <si>
    <t>EXP-500033</t>
  </si>
  <si>
    <t>EXP-500034</t>
  </si>
  <si>
    <t>VEND-128</t>
  </si>
  <si>
    <t>EXP-500035</t>
  </si>
  <si>
    <t>EXP-500036</t>
  </si>
  <si>
    <t>EXP-500037</t>
  </si>
  <si>
    <t>EXP-500038</t>
  </si>
  <si>
    <t>EXP-500039</t>
  </si>
  <si>
    <t>VEND-122</t>
  </si>
  <si>
    <t>EXP-500040</t>
  </si>
  <si>
    <t>VEND-109</t>
  </si>
  <si>
    <t>EXP-500041</t>
  </si>
  <si>
    <t>VEND-144</t>
  </si>
  <si>
    <t>EXP-500042</t>
  </si>
  <si>
    <t>VEND-149</t>
  </si>
  <si>
    <t>EXP-500043</t>
  </si>
  <si>
    <t>EXP-500044</t>
  </si>
  <si>
    <t>VEND-139</t>
  </si>
  <si>
    <t>EXP-500045</t>
  </si>
  <si>
    <t>EXP-500046</t>
  </si>
  <si>
    <t>Administration</t>
  </si>
  <si>
    <t>VEND-112</t>
  </si>
  <si>
    <t>EXP-500047</t>
  </si>
  <si>
    <t>VEND-168</t>
  </si>
  <si>
    <t>EXP-500048</t>
  </si>
  <si>
    <t>VEND-150</t>
  </si>
  <si>
    <t>EXP-500049</t>
  </si>
  <si>
    <t>EXP-500050</t>
  </si>
  <si>
    <t>EXP-500051</t>
  </si>
  <si>
    <t>VEND-135</t>
  </si>
  <si>
    <t>EXP-500052</t>
  </si>
  <si>
    <t>EXP-500053</t>
  </si>
  <si>
    <t>EXP-500054</t>
  </si>
  <si>
    <t>VEND-131</t>
  </si>
  <si>
    <t>EXP-500055</t>
  </si>
  <si>
    <t>Sales</t>
  </si>
  <si>
    <t>EXP-500056</t>
  </si>
  <si>
    <t>EXP-500057</t>
  </si>
  <si>
    <t>VEND-143</t>
  </si>
  <si>
    <t>EXP-500058</t>
  </si>
  <si>
    <t>VEND-163</t>
  </si>
  <si>
    <t>EXP-500059</t>
  </si>
  <si>
    <t>VEND-178</t>
  </si>
  <si>
    <t>EXP-500060</t>
  </si>
  <si>
    <t>VEND-147</t>
  </si>
  <si>
    <t>EXP-500061</t>
  </si>
  <si>
    <t>VEND-126</t>
  </si>
  <si>
    <t>EXP-500062</t>
  </si>
  <si>
    <t>EXP-500063</t>
  </si>
  <si>
    <t>VEND-100</t>
  </si>
  <si>
    <t>EXP-500064</t>
  </si>
  <si>
    <t>EXP-500065</t>
  </si>
  <si>
    <t>EXP-500066</t>
  </si>
  <si>
    <t>EXP-500067</t>
  </si>
  <si>
    <t>EXP-500068</t>
  </si>
  <si>
    <t>EXP-500069</t>
  </si>
  <si>
    <t>VEND-106</t>
  </si>
  <si>
    <t>EXP-500070</t>
  </si>
  <si>
    <t>EXP-500071</t>
  </si>
  <si>
    <t>VEND-119</t>
  </si>
  <si>
    <t>EXP-500072</t>
  </si>
  <si>
    <t>EXP-500073</t>
  </si>
  <si>
    <t>VEND-154</t>
  </si>
  <si>
    <t>EXP-500074</t>
  </si>
  <si>
    <t>VEND-151</t>
  </si>
  <si>
    <t>EXP-500075</t>
  </si>
  <si>
    <t>EXP-500076</t>
  </si>
  <si>
    <t>EXP-500077</t>
  </si>
  <si>
    <t>EXP-500078</t>
  </si>
  <si>
    <t>EXP-500079</t>
  </si>
  <si>
    <t>EXP-500080</t>
  </si>
  <si>
    <t>EXP-500081</t>
  </si>
  <si>
    <t>EXP-500082</t>
  </si>
  <si>
    <t>EXP-500083</t>
  </si>
  <si>
    <t>EXP-500084</t>
  </si>
  <si>
    <t>VEND-140</t>
  </si>
  <si>
    <t>EXP-500085</t>
  </si>
  <si>
    <t>EXP-500086</t>
  </si>
  <si>
    <t>EXP-500087</t>
  </si>
  <si>
    <t>EXP-500088</t>
  </si>
  <si>
    <t>EXP-500089</t>
  </si>
  <si>
    <t>EXP-500090</t>
  </si>
  <si>
    <t>VEND-115</t>
  </si>
  <si>
    <t>EXP-500091</t>
  </si>
  <si>
    <t>EXP-500092</t>
  </si>
  <si>
    <t>VEND-153</t>
  </si>
  <si>
    <t>EXP-500093</t>
  </si>
  <si>
    <t>EXP-500094</t>
  </si>
  <si>
    <t>VEND-161</t>
  </si>
  <si>
    <t>EXP-500095</t>
  </si>
  <si>
    <t>EXP-500096</t>
  </si>
  <si>
    <t>EXP-500097</t>
  </si>
  <si>
    <t>EXP-500098</t>
  </si>
  <si>
    <t>VEND-108</t>
  </si>
  <si>
    <t>EXP-500099</t>
  </si>
  <si>
    <t>EXP-500100</t>
  </si>
  <si>
    <t>EXP-500101</t>
  </si>
  <si>
    <t>VEND-177</t>
  </si>
  <si>
    <t>EXP-500102</t>
  </si>
  <si>
    <t>VEND-174</t>
  </si>
  <si>
    <t>EXP-500103</t>
  </si>
  <si>
    <t>EXP-500104</t>
  </si>
  <si>
    <t>EXP-500105</t>
  </si>
  <si>
    <t>EXP-500106</t>
  </si>
  <si>
    <t>VEND-159</t>
  </si>
  <si>
    <t>EXP-500107</t>
  </si>
  <si>
    <t>EXP-500108</t>
  </si>
  <si>
    <t>EXP-500109</t>
  </si>
  <si>
    <t>EXP-500110</t>
  </si>
  <si>
    <t>EXP-500111</t>
  </si>
  <si>
    <t>EXP-500112</t>
  </si>
  <si>
    <t>EXP-500113</t>
  </si>
  <si>
    <t>EXP-500114</t>
  </si>
  <si>
    <t>EXP-500115</t>
  </si>
  <si>
    <t>EXP-500116</t>
  </si>
  <si>
    <t>EXP-500117</t>
  </si>
  <si>
    <t>VEND-129</t>
  </si>
  <si>
    <t>EXP-500118</t>
  </si>
  <si>
    <t>VEND-132</t>
  </si>
  <si>
    <t>EXP-500119</t>
  </si>
  <si>
    <t>EXP-500120</t>
  </si>
  <si>
    <t>EXP-500121</t>
  </si>
  <si>
    <t>EXP-500122</t>
  </si>
  <si>
    <t>EXP-500123</t>
  </si>
  <si>
    <t>EXP-500124</t>
  </si>
  <si>
    <t>EXP-500125</t>
  </si>
  <si>
    <t>VEND-103</t>
  </si>
  <si>
    <t>EXP-500126</t>
  </si>
  <si>
    <t>VEND-145</t>
  </si>
  <si>
    <t>EXP-500127</t>
  </si>
  <si>
    <t>EXP-500128</t>
  </si>
  <si>
    <t>EXP-500129</t>
  </si>
  <si>
    <t>EXP-500130</t>
  </si>
  <si>
    <t>EXP-500131</t>
  </si>
  <si>
    <t>EXP-500132</t>
  </si>
  <si>
    <t>VEND-152</t>
  </si>
  <si>
    <t>EXP-500133</t>
  </si>
  <si>
    <t>VEND-164</t>
  </si>
  <si>
    <t>EXP-500134</t>
  </si>
  <si>
    <t>EXP-500135</t>
  </si>
  <si>
    <t>EXP-500136</t>
  </si>
  <si>
    <t>EXP-500137</t>
  </si>
  <si>
    <t>EXP-500138</t>
  </si>
  <si>
    <t>VEND-116</t>
  </si>
  <si>
    <t>EXP-500139</t>
  </si>
  <si>
    <t>EXP-500140</t>
  </si>
  <si>
    <t>VEND-101</t>
  </si>
  <si>
    <t>EXP-500141</t>
  </si>
  <si>
    <t>VEND-175</t>
  </si>
  <si>
    <t>EXP-500142</t>
  </si>
  <si>
    <t>EXP-500143</t>
  </si>
  <si>
    <t>EXP-500144</t>
  </si>
  <si>
    <t>EXP-500145</t>
  </si>
  <si>
    <t>EXP-500146</t>
  </si>
  <si>
    <t>EXP-500147</t>
  </si>
  <si>
    <t>VEND-148</t>
  </si>
  <si>
    <t>EXP-500148</t>
  </si>
  <si>
    <t>EXP-500149</t>
  </si>
  <si>
    <t>EXP-500150</t>
  </si>
  <si>
    <t>EXP-500151</t>
  </si>
  <si>
    <t>EXP-500152</t>
  </si>
  <si>
    <t>EXP-500153</t>
  </si>
  <si>
    <t>EXP-500154</t>
  </si>
  <si>
    <t>VEND-113</t>
  </si>
  <si>
    <t>EXP-500155</t>
  </si>
  <si>
    <t>EXP-500156</t>
  </si>
  <si>
    <t>EXP-500157</t>
  </si>
  <si>
    <t>EXP-500158</t>
  </si>
  <si>
    <t>EXP-500159</t>
  </si>
  <si>
    <t>EXP-500160</t>
  </si>
  <si>
    <t>EXP-500161</t>
  </si>
  <si>
    <t>EXP-500162</t>
  </si>
  <si>
    <t>EXP-500163</t>
  </si>
  <si>
    <t>EXP-500164</t>
  </si>
  <si>
    <t>EXP-500165</t>
  </si>
  <si>
    <t>EXP-500166</t>
  </si>
  <si>
    <t>EXP-500167</t>
  </si>
  <si>
    <t>EXP-500168</t>
  </si>
  <si>
    <t>EXP-500169</t>
  </si>
  <si>
    <t>EXP-500170</t>
  </si>
  <si>
    <t>EXP-500171</t>
  </si>
  <si>
    <t>EXP-500172</t>
  </si>
  <si>
    <t>VEND-114</t>
  </si>
  <si>
    <t>EXP-500173</t>
  </si>
  <si>
    <t>EXP-500174</t>
  </si>
  <si>
    <t>EXP-500175</t>
  </si>
  <si>
    <t>EXP-500176</t>
  </si>
  <si>
    <t>EXP-500177</t>
  </si>
  <si>
    <t>EXP-500178</t>
  </si>
  <si>
    <t>EXP-500179</t>
  </si>
  <si>
    <t>EXP-500180</t>
  </si>
  <si>
    <t>EXP-500181</t>
  </si>
  <si>
    <t>EXP-500182</t>
  </si>
  <si>
    <t>EXP-500183</t>
  </si>
  <si>
    <t>EXP-500184</t>
  </si>
  <si>
    <t>EXP-500185</t>
  </si>
  <si>
    <t>EXP-500186</t>
  </si>
  <si>
    <t>EXP-500187</t>
  </si>
  <si>
    <t>VEND-120</t>
  </si>
  <si>
    <t>EXP-500188</t>
  </si>
  <si>
    <t>VEND-141</t>
  </si>
  <si>
    <t>EXP-500189</t>
  </si>
  <si>
    <t>EXP-500190</t>
  </si>
  <si>
    <t>EXP-500191</t>
  </si>
  <si>
    <t>EXP-500192</t>
  </si>
  <si>
    <t>EXP-500193</t>
  </si>
  <si>
    <t>EXP-500194</t>
  </si>
  <si>
    <t>EXP-500195</t>
  </si>
  <si>
    <t>EXP-500196</t>
  </si>
  <si>
    <t>EXP-500197</t>
  </si>
  <si>
    <t>EXP-500198</t>
  </si>
  <si>
    <t>EXP-500199</t>
  </si>
  <si>
    <t>EXP-500200</t>
  </si>
  <si>
    <t>EXP-500201</t>
  </si>
  <si>
    <t>EXP-500202</t>
  </si>
  <si>
    <t>EXP-500203</t>
  </si>
  <si>
    <t>EXP-500204</t>
  </si>
  <si>
    <t>EXP-500205</t>
  </si>
  <si>
    <t>EXP-500206</t>
  </si>
  <si>
    <t>EXP-500207</t>
  </si>
  <si>
    <t>VEND-118</t>
  </si>
  <si>
    <t>EXP-500208</t>
  </si>
  <si>
    <t>EXP-500209</t>
  </si>
  <si>
    <t>EXP-500210</t>
  </si>
  <si>
    <t>EXP-500211</t>
  </si>
  <si>
    <t>EXP-500212</t>
  </si>
  <si>
    <t>EXP-500213</t>
  </si>
  <si>
    <t>EXP-500214</t>
  </si>
  <si>
    <t>EXP-500215</t>
  </si>
  <si>
    <t>EXP-500216</t>
  </si>
  <si>
    <t>VEND-123</t>
  </si>
  <si>
    <t>EXP-500217</t>
  </si>
  <si>
    <t>VEND-117</t>
  </si>
  <si>
    <t>EXP-500218</t>
  </si>
  <si>
    <t>EXP-500219</t>
  </si>
  <si>
    <t>EXP-500220</t>
  </si>
  <si>
    <t>VEND-111</t>
  </si>
  <si>
    <t>EXP-500221</t>
  </si>
  <si>
    <t>EXP-500222</t>
  </si>
  <si>
    <t>EXP-500223</t>
  </si>
  <si>
    <t>EXP-500224</t>
  </si>
  <si>
    <t>EXP-500225</t>
  </si>
  <si>
    <t>EXP-500226</t>
  </si>
  <si>
    <t>EXP-500227</t>
  </si>
  <si>
    <t>EXP-500228</t>
  </si>
  <si>
    <t>EXP-500229</t>
  </si>
  <si>
    <t>EXP-500230</t>
  </si>
  <si>
    <t>EXP-500231</t>
  </si>
  <si>
    <t>EXP-500232</t>
  </si>
  <si>
    <t>EXP-500233</t>
  </si>
  <si>
    <t>EXP-500234</t>
  </si>
  <si>
    <t>VEND-160</t>
  </si>
  <si>
    <t>EXP-500235</t>
  </si>
  <si>
    <t>EXP-500236</t>
  </si>
  <si>
    <t>EXP-500237</t>
  </si>
  <si>
    <t>EXP-500238</t>
  </si>
  <si>
    <t>EXP-500239</t>
  </si>
  <si>
    <t>EXP-500240</t>
  </si>
  <si>
    <t>EXP-500241</t>
  </si>
  <si>
    <t>EXP-500242</t>
  </si>
  <si>
    <t>EXP-500243</t>
  </si>
  <si>
    <t>EXP-500244</t>
  </si>
  <si>
    <t>EXP-500245</t>
  </si>
  <si>
    <t>EXP-500246</t>
  </si>
  <si>
    <t>EXP-500247</t>
  </si>
  <si>
    <t>EXP-500248</t>
  </si>
  <si>
    <t>EXP-500249</t>
  </si>
  <si>
    <t>EXP-500250</t>
  </si>
  <si>
    <t>EXP-500251</t>
  </si>
  <si>
    <t>EXP-500252</t>
  </si>
  <si>
    <t>EXP-500253</t>
  </si>
  <si>
    <t>VEND-169</t>
  </si>
  <si>
    <t>EXP-500254</t>
  </si>
  <si>
    <t>EXP-500255</t>
  </si>
  <si>
    <t>EXP-500256</t>
  </si>
  <si>
    <t>EXP-500257</t>
  </si>
  <si>
    <t>EXP-500258</t>
  </si>
  <si>
    <t>EXP-500259</t>
  </si>
  <si>
    <t>EXP-500260</t>
  </si>
  <si>
    <t>EXP-500261</t>
  </si>
  <si>
    <t>EXP-500262</t>
  </si>
  <si>
    <t>EXP-500263</t>
  </si>
  <si>
    <t>EXP-500264</t>
  </si>
  <si>
    <t>EXP-500265</t>
  </si>
  <si>
    <t>EXP-500266</t>
  </si>
  <si>
    <t>EXP-500267</t>
  </si>
  <si>
    <t>VEND-158</t>
  </si>
  <si>
    <t>EXP-500268</t>
  </si>
  <si>
    <t>EXP-500269</t>
  </si>
  <si>
    <t>EXP-500270</t>
  </si>
  <si>
    <t>EXP-500271</t>
  </si>
  <si>
    <t>EXP-500272</t>
  </si>
  <si>
    <t>EXP-500273</t>
  </si>
  <si>
    <t>EXP-500274</t>
  </si>
  <si>
    <t>EXP-500275</t>
  </si>
  <si>
    <t>EXP-500276</t>
  </si>
  <si>
    <t>EXP-500277</t>
  </si>
  <si>
    <t>EXP-500278</t>
  </si>
  <si>
    <t>EXP-500279</t>
  </si>
  <si>
    <t>EXP-500280</t>
  </si>
  <si>
    <t>EXP-500281</t>
  </si>
  <si>
    <t>EXP-500282</t>
  </si>
  <si>
    <t>EXP-500283</t>
  </si>
  <si>
    <t>EXP-500284</t>
  </si>
  <si>
    <t>EXP-500285</t>
  </si>
  <si>
    <t>EXP-500286</t>
  </si>
  <si>
    <t>EXP-500287</t>
  </si>
  <si>
    <t>EXP-500288</t>
  </si>
  <si>
    <t>EXP-500289</t>
  </si>
  <si>
    <t>EXP-500290</t>
  </si>
  <si>
    <t>EXP-500291</t>
  </si>
  <si>
    <t>EXP-500292</t>
  </si>
  <si>
    <t>EXP-500293</t>
  </si>
  <si>
    <t>EXP-500294</t>
  </si>
  <si>
    <t>EXP-500295</t>
  </si>
  <si>
    <t>EXP-500296</t>
  </si>
  <si>
    <t>EXP-500297</t>
  </si>
  <si>
    <t>VEND-162</t>
  </si>
  <si>
    <t>EXP-500298</t>
  </si>
  <si>
    <t>EXP-500299</t>
  </si>
  <si>
    <t>VEND-105</t>
  </si>
  <si>
    <t>EXP-500300</t>
  </si>
  <si>
    <t>EXP-500301</t>
  </si>
  <si>
    <t>EXP-500302</t>
  </si>
  <si>
    <t>EXP-500303</t>
  </si>
  <si>
    <t>EXP-500304</t>
  </si>
  <si>
    <t>EXP-500305</t>
  </si>
  <si>
    <t>EXP-500306</t>
  </si>
  <si>
    <t>EXP-500307</t>
  </si>
  <si>
    <t>EXP-500308</t>
  </si>
  <si>
    <t>EXP-500309</t>
  </si>
  <si>
    <t>EXP-500310</t>
  </si>
  <si>
    <t>EXP-500311</t>
  </si>
  <si>
    <t>EXP-500312</t>
  </si>
  <si>
    <t>EXP-500313</t>
  </si>
  <si>
    <t>EXP-500314</t>
  </si>
  <si>
    <t>EXP-500315</t>
  </si>
  <si>
    <t>EXP-500316</t>
  </si>
  <si>
    <t>EXP-500317</t>
  </si>
  <si>
    <t>EXP-500318</t>
  </si>
  <si>
    <t>EXP-500319</t>
  </si>
  <si>
    <t>EXP-500320</t>
  </si>
  <si>
    <t>EXP-500321</t>
  </si>
  <si>
    <t>EXP-500322</t>
  </si>
  <si>
    <t>VEND-166</t>
  </si>
  <si>
    <t>EXP-500323</t>
  </si>
  <si>
    <t>EXP-500324</t>
  </si>
  <si>
    <t>EXP-500325</t>
  </si>
  <si>
    <t>EXP-500326</t>
  </si>
  <si>
    <t>EXP-500327</t>
  </si>
  <si>
    <t>VEND-173</t>
  </si>
  <si>
    <t>EXP-500328</t>
  </si>
  <si>
    <t>EXP-500329</t>
  </si>
  <si>
    <t>EXP-500330</t>
  </si>
  <si>
    <t>EXP-500331</t>
  </si>
  <si>
    <t>EXP-500332</t>
  </si>
  <si>
    <t>EXP-500333</t>
  </si>
  <si>
    <t>EXP-500334</t>
  </si>
  <si>
    <t>EXP-500335</t>
  </si>
  <si>
    <t>EXP-500336</t>
  </si>
  <si>
    <t>EXP-500337</t>
  </si>
  <si>
    <t>EXP-500338</t>
  </si>
  <si>
    <t>EXP-500339</t>
  </si>
  <si>
    <t>EXP-500340</t>
  </si>
  <si>
    <t>EXP-500341</t>
  </si>
  <si>
    <t>EXP-500342</t>
  </si>
  <si>
    <t>EXP-500343</t>
  </si>
  <si>
    <t>EXP-500344</t>
  </si>
  <si>
    <t>EXP-500345</t>
  </si>
  <si>
    <t>EXP-500346</t>
  </si>
  <si>
    <t>EXP-500347</t>
  </si>
  <si>
    <t>EXP-500348</t>
  </si>
  <si>
    <t>EXP-500349</t>
  </si>
  <si>
    <t>EXP-500350</t>
  </si>
  <si>
    <t>EXP-500351</t>
  </si>
  <si>
    <t>EXP-500352</t>
  </si>
  <si>
    <t>EXP-500353</t>
  </si>
  <si>
    <t>EXP-500354</t>
  </si>
  <si>
    <t>EXP-500355</t>
  </si>
  <si>
    <t>EXP-500356</t>
  </si>
  <si>
    <t>EXP-500357</t>
  </si>
  <si>
    <t>EXP-500358</t>
  </si>
  <si>
    <t>EXP-500359</t>
  </si>
  <si>
    <t>EXP-500360</t>
  </si>
  <si>
    <t>EXP-500361</t>
  </si>
  <si>
    <t>EXP-500362</t>
  </si>
  <si>
    <t>EXP-500363</t>
  </si>
  <si>
    <t>EXP-500364</t>
  </si>
  <si>
    <t>EXP-500365</t>
  </si>
  <si>
    <t>EXP-500366</t>
  </si>
  <si>
    <t>EXP-500367</t>
  </si>
  <si>
    <t>EXP-500368</t>
  </si>
  <si>
    <t>EXP-500369</t>
  </si>
  <si>
    <t>EXP-500370</t>
  </si>
  <si>
    <t>EXP-500371</t>
  </si>
  <si>
    <t>EXP-500372</t>
  </si>
  <si>
    <t>EXP-500373</t>
  </si>
  <si>
    <t>EXP-500374</t>
  </si>
  <si>
    <t>EXP-500375</t>
  </si>
  <si>
    <t>EXP-500376</t>
  </si>
  <si>
    <t>EXP-500377</t>
  </si>
  <si>
    <t>EXP-500378</t>
  </si>
  <si>
    <t>EXP-500379</t>
  </si>
  <si>
    <t>EXP-500380</t>
  </si>
  <si>
    <t>EXP-500381</t>
  </si>
  <si>
    <t>EXP-500382</t>
  </si>
  <si>
    <t>EXP-500383</t>
  </si>
  <si>
    <t>EXP-500384</t>
  </si>
  <si>
    <t>EXP-500385</t>
  </si>
  <si>
    <t>EXP-500386</t>
  </si>
  <si>
    <t>EXP-500387</t>
  </si>
  <si>
    <t>EXP-500388</t>
  </si>
  <si>
    <t>EXP-500389</t>
  </si>
  <si>
    <t>EXP-500390</t>
  </si>
  <si>
    <t>EXP-500391</t>
  </si>
  <si>
    <t>EXP-500392</t>
  </si>
  <si>
    <t>EXP-500393</t>
  </si>
  <si>
    <t>EXP-500394</t>
  </si>
  <si>
    <t>EXP-500395</t>
  </si>
  <si>
    <t>EXP-500396</t>
  </si>
  <si>
    <t>EXP-500397</t>
  </si>
  <si>
    <t>EXP-500398</t>
  </si>
  <si>
    <t>EXP-500399</t>
  </si>
  <si>
    <t>EXP-500400</t>
  </si>
  <si>
    <t>EXP-500401</t>
  </si>
  <si>
    <t>EXP-500402</t>
  </si>
  <si>
    <t>EXP-500403</t>
  </si>
  <si>
    <t>EXP-500404</t>
  </si>
  <si>
    <t>EXP-500405</t>
  </si>
  <si>
    <t>EXP-500406</t>
  </si>
  <si>
    <t>EXP-500407</t>
  </si>
  <si>
    <t>EXP-500408</t>
  </si>
  <si>
    <t>EXP-500409</t>
  </si>
  <si>
    <t>EXP-500410</t>
  </si>
  <si>
    <t>EXP-500411</t>
  </si>
  <si>
    <t>EXP-500412</t>
  </si>
  <si>
    <t>EXP-500413</t>
  </si>
  <si>
    <t>EXP-500414</t>
  </si>
  <si>
    <t>EXP-500415</t>
  </si>
  <si>
    <t>EXP-500416</t>
  </si>
  <si>
    <t>EXP-500417</t>
  </si>
  <si>
    <t>EXP-500418</t>
  </si>
  <si>
    <t>EXP-500419</t>
  </si>
  <si>
    <t>EXP-500420</t>
  </si>
  <si>
    <t>EXP-500421</t>
  </si>
  <si>
    <t>EXP-500422</t>
  </si>
  <si>
    <t>EXP-500423</t>
  </si>
  <si>
    <t>EXP-500424</t>
  </si>
  <si>
    <t>EXP-500425</t>
  </si>
  <si>
    <t>EXP-500426</t>
  </si>
  <si>
    <t>EXP-500427</t>
  </si>
  <si>
    <t>EXP-500428</t>
  </si>
  <si>
    <t>EXP-500429</t>
  </si>
  <si>
    <t>EXP-500430</t>
  </si>
  <si>
    <t>EXP-500431</t>
  </si>
  <si>
    <t>EXP-500432</t>
  </si>
  <si>
    <t>EXP-500433</t>
  </si>
  <si>
    <t>EXP-500434</t>
  </si>
  <si>
    <t>EXP-500435</t>
  </si>
  <si>
    <t>EXP-500436</t>
  </si>
  <si>
    <t>EXP-500437</t>
  </si>
  <si>
    <t>EXP-500438</t>
  </si>
  <si>
    <t>EXP-500439</t>
  </si>
  <si>
    <t>EXP-500440</t>
  </si>
  <si>
    <t>EXP-500441</t>
  </si>
  <si>
    <t>EXP-500442</t>
  </si>
  <si>
    <t>EXP-500443</t>
  </si>
  <si>
    <t>EXP-500444</t>
  </si>
  <si>
    <t>EXP-500445</t>
  </si>
  <si>
    <t>EXP-500446</t>
  </si>
  <si>
    <t>EXP-500447</t>
  </si>
  <si>
    <t>EXP-500448</t>
  </si>
  <si>
    <t>EXP-500449</t>
  </si>
  <si>
    <t>EXP-500450</t>
  </si>
  <si>
    <t>EXP-500451</t>
  </si>
  <si>
    <t>EXP-500452</t>
  </si>
  <si>
    <t>EXP-500453</t>
  </si>
  <si>
    <t>EXP-500454</t>
  </si>
  <si>
    <t>EXP-500455</t>
  </si>
  <si>
    <t>EXP-500456</t>
  </si>
  <si>
    <t>EXP-500457</t>
  </si>
  <si>
    <t>EXP-500458</t>
  </si>
  <si>
    <t>EXP-500459</t>
  </si>
  <si>
    <t>EXP-500460</t>
  </si>
  <si>
    <t>EXP-500461</t>
  </si>
  <si>
    <t>EXP-500462</t>
  </si>
  <si>
    <t>EXP-500463</t>
  </si>
  <si>
    <t>EXP-500464</t>
  </si>
  <si>
    <t>EXP-500465</t>
  </si>
  <si>
    <t>EXP-500466</t>
  </si>
  <si>
    <t>EXP-500467</t>
  </si>
  <si>
    <t>EXP-500468</t>
  </si>
  <si>
    <t>EXP-500469</t>
  </si>
  <si>
    <t>EXP-500470</t>
  </si>
  <si>
    <t>EXP-500471</t>
  </si>
  <si>
    <t>EXP-500472</t>
  </si>
  <si>
    <t>EXP-500473</t>
  </si>
  <si>
    <t>EXP-500474</t>
  </si>
  <si>
    <t>EXP-500475</t>
  </si>
  <si>
    <t>EXP-500476</t>
  </si>
  <si>
    <t>EXP-500477</t>
  </si>
  <si>
    <t>EXP-500478</t>
  </si>
  <si>
    <t>EXP-500479</t>
  </si>
  <si>
    <t>EXP-500480</t>
  </si>
  <si>
    <t>EXP-500481</t>
  </si>
  <si>
    <t>EXP-500482</t>
  </si>
  <si>
    <t>EXP-500483</t>
  </si>
  <si>
    <t>EXP-500484</t>
  </si>
  <si>
    <t>EXP-500485</t>
  </si>
  <si>
    <t>EXP-500486</t>
  </si>
  <si>
    <t>EXP-500487</t>
  </si>
  <si>
    <t>EXP-500488</t>
  </si>
  <si>
    <t>EXP-500489</t>
  </si>
  <si>
    <t>EXP-500490</t>
  </si>
  <si>
    <t>EXP-500491</t>
  </si>
  <si>
    <t>EXP-500492</t>
  </si>
  <si>
    <t>EXP-500493</t>
  </si>
  <si>
    <t>EXP-500494</t>
  </si>
  <si>
    <t>EXP-500495</t>
  </si>
  <si>
    <t>EXP-500496</t>
  </si>
  <si>
    <t>EXP-500497</t>
  </si>
  <si>
    <t>EXP-500498</t>
  </si>
  <si>
    <t>EXP-500499</t>
  </si>
  <si>
    <t>EXP-500500</t>
  </si>
  <si>
    <t>EXP-500501</t>
  </si>
  <si>
    <t>EXP-500502</t>
  </si>
  <si>
    <t>EXP-500503</t>
  </si>
  <si>
    <t>EXP-500504</t>
  </si>
  <si>
    <t>EXP-500505</t>
  </si>
  <si>
    <t>EXP-500506</t>
  </si>
  <si>
    <t>EXP-500507</t>
  </si>
  <si>
    <t>EXP-500508</t>
  </si>
  <si>
    <t>EXP-500509</t>
  </si>
  <si>
    <t>EXP-500510</t>
  </si>
  <si>
    <t>EXP-500511</t>
  </si>
  <si>
    <t>EXP-500512</t>
  </si>
  <si>
    <t>EXP-500513</t>
  </si>
  <si>
    <t>EXP-500514</t>
  </si>
  <si>
    <t>EXP-500515</t>
  </si>
  <si>
    <t>EXP-500516</t>
  </si>
  <si>
    <t>EXP-500517</t>
  </si>
  <si>
    <t>EXP-500518</t>
  </si>
  <si>
    <t>EXP-500519</t>
  </si>
  <si>
    <t>EXP-500520</t>
  </si>
  <si>
    <t>EXP-500521</t>
  </si>
  <si>
    <t>EXP-500522</t>
  </si>
  <si>
    <t>EXP-500523</t>
  </si>
  <si>
    <t>EXP-500524</t>
  </si>
  <si>
    <t>EXP-500525</t>
  </si>
  <si>
    <t>EXP-500526</t>
  </si>
  <si>
    <t>EXP-500527</t>
  </si>
  <si>
    <t>EXP-500528</t>
  </si>
  <si>
    <t>EXP-500529</t>
  </si>
  <si>
    <t>EXP-500530</t>
  </si>
  <si>
    <t>EXP-500531</t>
  </si>
  <si>
    <t>EXP-500532</t>
  </si>
  <si>
    <t>EXP-500533</t>
  </si>
  <si>
    <t>EXP-500534</t>
  </si>
  <si>
    <t>EXP-500535</t>
  </si>
  <si>
    <t>EXP-500536</t>
  </si>
  <si>
    <t>EXP-500537</t>
  </si>
  <si>
    <t>EXP-500538</t>
  </si>
  <si>
    <t>EXP-500539</t>
  </si>
  <si>
    <t>EXP-500540</t>
  </si>
  <si>
    <t>EXP-500541</t>
  </si>
  <si>
    <t>EXP-500542</t>
  </si>
  <si>
    <t>EXP-500543</t>
  </si>
  <si>
    <t>EXP-500544</t>
  </si>
  <si>
    <t>EXP-500545</t>
  </si>
  <si>
    <t>VEND-137</t>
  </si>
  <si>
    <t>EXP-500546</t>
  </si>
  <si>
    <t>EXP-500547</t>
  </si>
  <si>
    <t>EXP-500548</t>
  </si>
  <si>
    <t>EXP-500549</t>
  </si>
  <si>
    <t>EXP-500550</t>
  </si>
  <si>
    <t>EXP-500551</t>
  </si>
  <si>
    <t>EXP-500552</t>
  </si>
  <si>
    <t>EXP-500553</t>
  </si>
  <si>
    <t>EXP-500554</t>
  </si>
  <si>
    <t>EXP-500555</t>
  </si>
  <si>
    <t>EXP-500556</t>
  </si>
  <si>
    <t>EXP-500557</t>
  </si>
  <si>
    <t>EXP-500558</t>
  </si>
  <si>
    <t>EXP-500559</t>
  </si>
  <si>
    <t>EXP-500560</t>
  </si>
  <si>
    <t>EXP-500561</t>
  </si>
  <si>
    <t>EXP-500562</t>
  </si>
  <si>
    <t>EXP-500563</t>
  </si>
  <si>
    <t>EXP-500564</t>
  </si>
  <si>
    <t>EXP-500565</t>
  </si>
  <si>
    <t>EXP-500566</t>
  </si>
  <si>
    <t>EXP-500567</t>
  </si>
  <si>
    <t>EXP-500568</t>
  </si>
  <si>
    <t>EXP-500569</t>
  </si>
  <si>
    <t>EXP-500570</t>
  </si>
  <si>
    <t>EXP-500571</t>
  </si>
  <si>
    <t>EXP-500572</t>
  </si>
  <si>
    <t>EXP-500573</t>
  </si>
  <si>
    <t>EXP-500574</t>
  </si>
  <si>
    <t>EXP-500575</t>
  </si>
  <si>
    <t>EXP-500576</t>
  </si>
  <si>
    <t>EXP-500577</t>
  </si>
  <si>
    <t>EXP-500578</t>
  </si>
  <si>
    <t>EXP-500579</t>
  </si>
  <si>
    <t>EXP-500580</t>
  </si>
  <si>
    <t>EXP-500581</t>
  </si>
  <si>
    <t>EXP-500582</t>
  </si>
  <si>
    <t>EXP-500583</t>
  </si>
  <si>
    <t>EXP-500584</t>
  </si>
  <si>
    <t>EXP-500585</t>
  </si>
  <si>
    <t>EXP-500586</t>
  </si>
  <si>
    <t>EXP-500587</t>
  </si>
  <si>
    <t>EXP-500588</t>
  </si>
  <si>
    <t>EXP-500589</t>
  </si>
  <si>
    <t>EXP-500590</t>
  </si>
  <si>
    <t>EXP-500591</t>
  </si>
  <si>
    <t>EXP-500592</t>
  </si>
  <si>
    <t>EXP-500593</t>
  </si>
  <si>
    <t>EXP-500594</t>
  </si>
  <si>
    <t>EXP-500595</t>
  </si>
  <si>
    <t>EXP-500596</t>
  </si>
  <si>
    <t>EXP-500597</t>
  </si>
  <si>
    <t>EXP-500598</t>
  </si>
  <si>
    <t>EXP-500599</t>
  </si>
  <si>
    <t>EXP-500600</t>
  </si>
  <si>
    <t>EXP-500601</t>
  </si>
  <si>
    <t>EXP-500602</t>
  </si>
  <si>
    <t>EXP-500603</t>
  </si>
  <si>
    <t>EXP-500604</t>
  </si>
  <si>
    <t>EXP-500605</t>
  </si>
  <si>
    <t>EXP-500606</t>
  </si>
  <si>
    <t>EXP-500607</t>
  </si>
  <si>
    <t>EXP-500608</t>
  </si>
  <si>
    <t>EXP-500609</t>
  </si>
  <si>
    <t>EXP-500610</t>
  </si>
  <si>
    <t>EXP-500611</t>
  </si>
  <si>
    <t>EXP-500612</t>
  </si>
  <si>
    <t>EXP-500613</t>
  </si>
  <si>
    <t>EXP-500614</t>
  </si>
  <si>
    <t>EXP-500615</t>
  </si>
  <si>
    <t>EXP-500616</t>
  </si>
  <si>
    <t>EXP-500617</t>
  </si>
  <si>
    <t>EXP-500618</t>
  </si>
  <si>
    <t>EXP-500619</t>
  </si>
  <si>
    <t>EXP-500620</t>
  </si>
  <si>
    <t>EXP-500621</t>
  </si>
  <si>
    <t>EXP-500622</t>
  </si>
  <si>
    <t>EXP-500623</t>
  </si>
  <si>
    <t>EXP-500624</t>
  </si>
  <si>
    <t>EXP-500625</t>
  </si>
  <si>
    <t>EXP-500626</t>
  </si>
  <si>
    <t>EXP-500627</t>
  </si>
  <si>
    <t>EXP-500628</t>
  </si>
  <si>
    <t>EXP-500629</t>
  </si>
  <si>
    <t>EXP-500630</t>
  </si>
  <si>
    <t>EXP-500631</t>
  </si>
  <si>
    <t>EXP-500632</t>
  </si>
  <si>
    <t>EXP-500633</t>
  </si>
  <si>
    <t>EXP-500634</t>
  </si>
  <si>
    <t>EXP-500635</t>
  </si>
  <si>
    <t>EXP-500636</t>
  </si>
  <si>
    <t>EXP-500637</t>
  </si>
  <si>
    <t>EXP-500638</t>
  </si>
  <si>
    <t>EXP-500639</t>
  </si>
  <si>
    <t>EXP-500640</t>
  </si>
  <si>
    <t>EXP-500641</t>
  </si>
  <si>
    <t>EXP-500642</t>
  </si>
  <si>
    <t>EXP-500643</t>
  </si>
  <si>
    <t>EXP-500644</t>
  </si>
  <si>
    <t>EXP-500645</t>
  </si>
  <si>
    <t>EXP-500646</t>
  </si>
  <si>
    <t>EXP-500647</t>
  </si>
  <si>
    <t>EXP-500648</t>
  </si>
  <si>
    <t>EXP-500649</t>
  </si>
  <si>
    <t>EXP-500650</t>
  </si>
  <si>
    <t>EXP-500651</t>
  </si>
  <si>
    <t>EXP-500652</t>
  </si>
  <si>
    <t>EXP-500653</t>
  </si>
  <si>
    <t>EXP-500654</t>
  </si>
  <si>
    <t>EXP-500655</t>
  </si>
  <si>
    <t>EXP-500656</t>
  </si>
  <si>
    <t>EXP-500657</t>
  </si>
  <si>
    <t>EXP-500658</t>
  </si>
  <si>
    <t>EXP-500659</t>
  </si>
  <si>
    <t>EXP-500660</t>
  </si>
  <si>
    <t>EXP-500661</t>
  </si>
  <si>
    <t>EXP-500662</t>
  </si>
  <si>
    <t>EXP-500663</t>
  </si>
  <si>
    <t>EXP-500664</t>
  </si>
  <si>
    <t>EXP-500665</t>
  </si>
  <si>
    <t>EXP-500666</t>
  </si>
  <si>
    <t>EXP-500667</t>
  </si>
  <si>
    <t>EXP-500668</t>
  </si>
  <si>
    <t>EXP-500669</t>
  </si>
  <si>
    <t>EXP-500670</t>
  </si>
  <si>
    <t>EXP-500671</t>
  </si>
  <si>
    <t>EXP-500672</t>
  </si>
  <si>
    <t>EXP-500673</t>
  </si>
  <si>
    <t>EXP-500674</t>
  </si>
  <si>
    <t>EXP-500675</t>
  </si>
  <si>
    <t>EXP-500676</t>
  </si>
  <si>
    <t>EXP-500677</t>
  </si>
  <si>
    <t>EXP-500678</t>
  </si>
  <si>
    <t>EXP-500679</t>
  </si>
  <si>
    <t>EXP-500680</t>
  </si>
  <si>
    <t>EXP-500681</t>
  </si>
  <si>
    <t>EXP-500682</t>
  </si>
  <si>
    <t>EXP-500683</t>
  </si>
  <si>
    <t>EXP-500684</t>
  </si>
  <si>
    <t>EXP-500685</t>
  </si>
  <si>
    <t>EXP-500686</t>
  </si>
  <si>
    <t>EXP-500687</t>
  </si>
  <si>
    <t>EXP-500688</t>
  </si>
  <si>
    <t>EXP-500689</t>
  </si>
  <si>
    <t>EXP-500690</t>
  </si>
  <si>
    <t>EXP-500691</t>
  </si>
  <si>
    <t>EXP-500692</t>
  </si>
  <si>
    <t>EXP-500693</t>
  </si>
  <si>
    <t>EXP-500694</t>
  </si>
  <si>
    <t>EXP-500695</t>
  </si>
  <si>
    <t>EXP-500696</t>
  </si>
  <si>
    <t>EXP-500697</t>
  </si>
  <si>
    <t>EXP-500698</t>
  </si>
  <si>
    <t>EXP-500699</t>
  </si>
  <si>
    <t>EXP-500700</t>
  </si>
  <si>
    <t>EXP-500701</t>
  </si>
  <si>
    <t>EXP-500702</t>
  </si>
  <si>
    <t>EXP-500703</t>
  </si>
  <si>
    <t>EXP-500704</t>
  </si>
  <si>
    <t>EXP-500705</t>
  </si>
  <si>
    <t>EXP-500706</t>
  </si>
  <si>
    <t>EXP-500707</t>
  </si>
  <si>
    <t>EXP-500708</t>
  </si>
  <si>
    <t>EXP-500709</t>
  </si>
  <si>
    <t>EXP-500710</t>
  </si>
  <si>
    <t>EXP-500711</t>
  </si>
  <si>
    <t>EXP-500712</t>
  </si>
  <si>
    <t>EXP-500713</t>
  </si>
  <si>
    <t>EXP-500714</t>
  </si>
  <si>
    <t>EXP-500715</t>
  </si>
  <si>
    <t>EXP-500716</t>
  </si>
  <si>
    <t>EXP-500717</t>
  </si>
  <si>
    <t>EXP-500718</t>
  </si>
  <si>
    <t>EXP-500719</t>
  </si>
  <si>
    <t>EXP-500720</t>
  </si>
  <si>
    <t>EXP-500721</t>
  </si>
  <si>
    <t>EXP-500722</t>
  </si>
  <si>
    <t>EXP-500723</t>
  </si>
  <si>
    <t>EXP-500724</t>
  </si>
  <si>
    <t>EXP-500725</t>
  </si>
  <si>
    <t>EXP-500726</t>
  </si>
  <si>
    <t>EXP-500727</t>
  </si>
  <si>
    <t>EXP-500728</t>
  </si>
  <si>
    <t>EXP-500729</t>
  </si>
  <si>
    <t>EXP-500730</t>
  </si>
  <si>
    <t>EXP-500731</t>
  </si>
  <si>
    <t>EXP-500732</t>
  </si>
  <si>
    <t>EXP-500733</t>
  </si>
  <si>
    <t>EXP-500734</t>
  </si>
  <si>
    <t>EXP-500735</t>
  </si>
  <si>
    <t>EXP-500736</t>
  </si>
  <si>
    <t>EXP-500737</t>
  </si>
  <si>
    <t>EXP-500738</t>
  </si>
  <si>
    <t>EXP-500739</t>
  </si>
  <si>
    <t>EXP-500740</t>
  </si>
  <si>
    <t>EXP-500741</t>
  </si>
  <si>
    <t>EXP-500742</t>
  </si>
  <si>
    <t>EXP-500743</t>
  </si>
  <si>
    <t>EXP-500744</t>
  </si>
  <si>
    <t>EXP-500745</t>
  </si>
  <si>
    <t>EXP-500746</t>
  </si>
  <si>
    <t>EXP-500747</t>
  </si>
  <si>
    <t>EXP-500748</t>
  </si>
  <si>
    <t>EXP-500749</t>
  </si>
  <si>
    <t>EXP-500750</t>
  </si>
  <si>
    <t>EXP-500751</t>
  </si>
  <si>
    <t>EXP-500752</t>
  </si>
  <si>
    <t>EXP-500753</t>
  </si>
  <si>
    <t>EXP-500754</t>
  </si>
  <si>
    <t>EXP-500755</t>
  </si>
  <si>
    <t>EXP-500756</t>
  </si>
  <si>
    <t>EXP-500757</t>
  </si>
  <si>
    <t>EXP-500758</t>
  </si>
  <si>
    <t>EXP-500759</t>
  </si>
  <si>
    <t>EXP-500760</t>
  </si>
  <si>
    <t>EXP-500761</t>
  </si>
  <si>
    <t>EXP-500762</t>
  </si>
  <si>
    <t>EXP-500763</t>
  </si>
  <si>
    <t>EXP-500764</t>
  </si>
  <si>
    <t>EXP-500765</t>
  </si>
  <si>
    <t>EXP-500766</t>
  </si>
  <si>
    <t>EXP-500767</t>
  </si>
  <si>
    <t>EXP-500768</t>
  </si>
  <si>
    <t>EXP-500769</t>
  </si>
  <si>
    <t>EXP-500770</t>
  </si>
  <si>
    <t>EXP-500771</t>
  </si>
  <si>
    <t>EXP-500772</t>
  </si>
  <si>
    <t>EXP-500773</t>
  </si>
  <si>
    <t>EXP-500774</t>
  </si>
  <si>
    <t>EXP-500775</t>
  </si>
  <si>
    <t>EXP-500776</t>
  </si>
  <si>
    <t>EXP-500777</t>
  </si>
  <si>
    <t>EXP-500778</t>
  </si>
  <si>
    <t>EXP-500779</t>
  </si>
  <si>
    <t>EXP-500780</t>
  </si>
  <si>
    <t>EXP-500781</t>
  </si>
  <si>
    <t>EXP-500782</t>
  </si>
  <si>
    <t>EXP-500783</t>
  </si>
  <si>
    <t>EXP-500784</t>
  </si>
  <si>
    <t>EXP-500785</t>
  </si>
  <si>
    <t>EXP-500786</t>
  </si>
  <si>
    <t>EXP-500787</t>
  </si>
  <si>
    <t>EXP-500788</t>
  </si>
  <si>
    <t>EXP-500789</t>
  </si>
  <si>
    <t>EXP-500790</t>
  </si>
  <si>
    <t>EXP-500791</t>
  </si>
  <si>
    <t>EXP-500792</t>
  </si>
  <si>
    <t>EXP-500793</t>
  </si>
  <si>
    <t>EXP-500794</t>
  </si>
  <si>
    <t>EXP-500795</t>
  </si>
  <si>
    <t>EXP-500796</t>
  </si>
  <si>
    <t>EXP-500797</t>
  </si>
  <si>
    <t>EXP-500798</t>
  </si>
  <si>
    <t>EXP-500799</t>
  </si>
  <si>
    <t>EXP-500800</t>
  </si>
  <si>
    <t>EXP-500801</t>
  </si>
  <si>
    <t>EXP-500802</t>
  </si>
  <si>
    <t>EXP-500803</t>
  </si>
  <si>
    <t>EXP-500804</t>
  </si>
  <si>
    <t>EXP-500805</t>
  </si>
  <si>
    <t>EXP-500806</t>
  </si>
  <si>
    <t>EXP-500807</t>
  </si>
  <si>
    <t>EXP-500808</t>
  </si>
  <si>
    <t>EXP-500809</t>
  </si>
  <si>
    <t>EXP-500810</t>
  </si>
  <si>
    <t>EXP-500811</t>
  </si>
  <si>
    <t>EXP-500812</t>
  </si>
  <si>
    <t>EXP-500813</t>
  </si>
  <si>
    <t>EXP-500814</t>
  </si>
  <si>
    <t>EXP-500815</t>
  </si>
  <si>
    <t>EXP-500816</t>
  </si>
  <si>
    <t>EXP-500817</t>
  </si>
  <si>
    <t>EXP-500818</t>
  </si>
  <si>
    <t>EXP-500819</t>
  </si>
  <si>
    <t>EXP-500820</t>
  </si>
  <si>
    <t>EXP-500821</t>
  </si>
  <si>
    <t>EXP-500822</t>
  </si>
  <si>
    <t>EXP-500823</t>
  </si>
  <si>
    <t>EXP-500824</t>
  </si>
  <si>
    <t>EXP-500825</t>
  </si>
  <si>
    <t>EXP-500826</t>
  </si>
  <si>
    <t>EXP-500827</t>
  </si>
  <si>
    <t>EXP-500828</t>
  </si>
  <si>
    <t>EXP-500829</t>
  </si>
  <si>
    <t>EXP-500830</t>
  </si>
  <si>
    <t>EXP-500831</t>
  </si>
  <si>
    <t>EXP-500832</t>
  </si>
  <si>
    <t>EXP-500833</t>
  </si>
  <si>
    <t>EXP-500834</t>
  </si>
  <si>
    <t>EXP-500835</t>
  </si>
  <si>
    <t>EXP-500836</t>
  </si>
  <si>
    <t>EXP-500837</t>
  </si>
  <si>
    <t>EXP-500838</t>
  </si>
  <si>
    <t>EXP-500839</t>
  </si>
  <si>
    <t>EXP-500840</t>
  </si>
  <si>
    <t>EXP-500841</t>
  </si>
  <si>
    <t>EXP-500842</t>
  </si>
  <si>
    <t>EXP-500843</t>
  </si>
  <si>
    <t>EXP-500844</t>
  </si>
  <si>
    <t>EXP-500845</t>
  </si>
  <si>
    <t>EXP-500846</t>
  </si>
  <si>
    <t>EXP-500847</t>
  </si>
  <si>
    <t>EXP-500848</t>
  </si>
  <si>
    <t>EXP-500849</t>
  </si>
  <si>
    <t>EXP-500850</t>
  </si>
  <si>
    <t>EXP-500851</t>
  </si>
  <si>
    <t>EXP-500852</t>
  </si>
  <si>
    <t>EXP-500853</t>
  </si>
  <si>
    <t>EXP-500854</t>
  </si>
  <si>
    <t>EXP-500855</t>
  </si>
  <si>
    <t>EXP-500856</t>
  </si>
  <si>
    <t>EXP-500857</t>
  </si>
  <si>
    <t>EXP-500858</t>
  </si>
  <si>
    <t>EXP-500859</t>
  </si>
  <si>
    <t>EXP-500860</t>
  </si>
  <si>
    <t>EXP-500861</t>
  </si>
  <si>
    <t>EXP-500862</t>
  </si>
  <si>
    <t>EXP-500863</t>
  </si>
  <si>
    <t>EXP-500864</t>
  </si>
  <si>
    <t>EXP-500865</t>
  </si>
  <si>
    <t>EXP-500866</t>
  </si>
  <si>
    <t>EXP-500867</t>
  </si>
  <si>
    <t>EXP-500868</t>
  </si>
  <si>
    <t>EXP-500869</t>
  </si>
  <si>
    <t>EXP-500870</t>
  </si>
  <si>
    <t>EXP-500871</t>
  </si>
  <si>
    <t>EXP-500872</t>
  </si>
  <si>
    <t>EXP-500873</t>
  </si>
  <si>
    <t>EXP-500874</t>
  </si>
  <si>
    <t>EXP-500875</t>
  </si>
  <si>
    <t>EXP-500876</t>
  </si>
  <si>
    <t>EXP-500877</t>
  </si>
  <si>
    <t>EXP-500878</t>
  </si>
  <si>
    <t>EXP-500879</t>
  </si>
  <si>
    <t>EXP-500880</t>
  </si>
  <si>
    <t>EXP-500881</t>
  </si>
  <si>
    <t>EXP-500882</t>
  </si>
  <si>
    <t>EXP-500883</t>
  </si>
  <si>
    <t>EXP-500884</t>
  </si>
  <si>
    <t>EXP-500885</t>
  </si>
  <si>
    <t>EXP-500886</t>
  </si>
  <si>
    <t>EXP-500887</t>
  </si>
  <si>
    <t>EXP-500888</t>
  </si>
  <si>
    <t>EXP-500889</t>
  </si>
  <si>
    <t>EXP-500890</t>
  </si>
  <si>
    <t>EXP-500891</t>
  </si>
  <si>
    <t>EXP-500892</t>
  </si>
  <si>
    <t>EXP-500893</t>
  </si>
  <si>
    <t>EXP-500894</t>
  </si>
  <si>
    <t>EXP-500895</t>
  </si>
  <si>
    <t>EXP-500896</t>
  </si>
  <si>
    <t>EXP-500897</t>
  </si>
  <si>
    <t>EXP-500898</t>
  </si>
  <si>
    <t>EXP-500899</t>
  </si>
  <si>
    <t>EXP-500900</t>
  </si>
  <si>
    <t>EXP-500901</t>
  </si>
  <si>
    <t>EXP-500902</t>
  </si>
  <si>
    <t>EXP-500903</t>
  </si>
  <si>
    <t>EXP-500904</t>
  </si>
  <si>
    <t>EXP-500905</t>
  </si>
  <si>
    <t>EXP-500906</t>
  </si>
  <si>
    <t>EXP-500907</t>
  </si>
  <si>
    <t>EXP-500908</t>
  </si>
  <si>
    <t>EXP-500909</t>
  </si>
  <si>
    <t>EXP-500910</t>
  </si>
  <si>
    <t>EXP-500911</t>
  </si>
  <si>
    <t>EXP-500912</t>
  </si>
  <si>
    <t>EXP-500913</t>
  </si>
  <si>
    <t>EXP-500914</t>
  </si>
  <si>
    <t>EXP-500915</t>
  </si>
  <si>
    <t>EXP-500916</t>
  </si>
  <si>
    <t>EXP-500917</t>
  </si>
  <si>
    <t>EXP-500918</t>
  </si>
  <si>
    <t>EXP-500919</t>
  </si>
  <si>
    <t>EXP-500920</t>
  </si>
  <si>
    <t>EXP-500921</t>
  </si>
  <si>
    <t>EXP-500922</t>
  </si>
  <si>
    <t>EXP-500923</t>
  </si>
  <si>
    <t>EXP-500924</t>
  </si>
  <si>
    <t>EXP-500925</t>
  </si>
  <si>
    <t>EXP-500926</t>
  </si>
  <si>
    <t>EXP-500927</t>
  </si>
  <si>
    <t>EXP-500928</t>
  </si>
  <si>
    <t>EXP-500929</t>
  </si>
  <si>
    <t>EXP-500930</t>
  </si>
  <si>
    <t>EXP-500931</t>
  </si>
  <si>
    <t>EXP-500932</t>
  </si>
  <si>
    <t>EXP-500933</t>
  </si>
  <si>
    <t>EXP-500934</t>
  </si>
  <si>
    <t>EXP-500935</t>
  </si>
  <si>
    <t>EXP-500936</t>
  </si>
  <si>
    <t>EXP-500937</t>
  </si>
  <si>
    <t>EXP-500938</t>
  </si>
  <si>
    <t>EXP-500939</t>
  </si>
  <si>
    <t>EXP-500940</t>
  </si>
  <si>
    <t>EXP-500941</t>
  </si>
  <si>
    <t>EXP-500942</t>
  </si>
  <si>
    <t>EXP-500943</t>
  </si>
  <si>
    <t>EXP-500944</t>
  </si>
  <si>
    <t>EXP-500945</t>
  </si>
  <si>
    <t>EXP-500946</t>
  </si>
  <si>
    <t>EXP-500947</t>
  </si>
  <si>
    <t>EXP-500948</t>
  </si>
  <si>
    <t>EXP-500949</t>
  </si>
  <si>
    <t>EXP-500950</t>
  </si>
  <si>
    <t>EXP-500951</t>
  </si>
  <si>
    <t>EXP-500952</t>
  </si>
  <si>
    <t>EXP-500953</t>
  </si>
  <si>
    <t>EXP-500954</t>
  </si>
  <si>
    <t>EXP-500955</t>
  </si>
  <si>
    <t>EXP-500956</t>
  </si>
  <si>
    <t>EXP-500957</t>
  </si>
  <si>
    <t>EXP-500958</t>
  </si>
  <si>
    <t>EXP-500959</t>
  </si>
  <si>
    <t>EXP-500960</t>
  </si>
  <si>
    <t>EXP-500961</t>
  </si>
  <si>
    <t>EXP-500962</t>
  </si>
  <si>
    <t>EXP-500963</t>
  </si>
  <si>
    <t>EXP-500964</t>
  </si>
  <si>
    <t>EXP-500965</t>
  </si>
  <si>
    <t>EXP-500966</t>
  </si>
  <si>
    <t>EXP-500967</t>
  </si>
  <si>
    <t>EXP-500968</t>
  </si>
  <si>
    <t>EXP-500969</t>
  </si>
  <si>
    <t>EXP-500970</t>
  </si>
  <si>
    <t>EXP-500971</t>
  </si>
  <si>
    <t>EXP-500972</t>
  </si>
  <si>
    <t>EXP-500973</t>
  </si>
  <si>
    <t>EXP-500974</t>
  </si>
  <si>
    <t>EXP-500975</t>
  </si>
  <si>
    <t>EXP-500976</t>
  </si>
  <si>
    <t>EXP-500977</t>
  </si>
  <si>
    <t>EXP-500978</t>
  </si>
  <si>
    <t>EXP-500979</t>
  </si>
  <si>
    <t>EXP-500980</t>
  </si>
  <si>
    <t>EXP-500981</t>
  </si>
  <si>
    <t>EXP-500982</t>
  </si>
  <si>
    <t>EXP-500983</t>
  </si>
  <si>
    <t>EXP-500984</t>
  </si>
  <si>
    <t>EXP-500985</t>
  </si>
  <si>
    <t>EXP-500986</t>
  </si>
  <si>
    <t>EXP-500987</t>
  </si>
  <si>
    <t>EXP-500988</t>
  </si>
  <si>
    <t>EXP-500989</t>
  </si>
  <si>
    <t>EXP-500990</t>
  </si>
  <si>
    <t>EXP-500991</t>
  </si>
  <si>
    <t>EXP-500992</t>
  </si>
  <si>
    <t>EXP-500993</t>
  </si>
  <si>
    <t>EXP-500994</t>
  </si>
  <si>
    <t>EXP-500995</t>
  </si>
  <si>
    <t>EXP-500996</t>
  </si>
  <si>
    <t>EXP-500997</t>
  </si>
  <si>
    <t>EXP-500998</t>
  </si>
  <si>
    <t>EXP-500999</t>
  </si>
  <si>
    <t>EXP-501000</t>
  </si>
  <si>
    <t>EXP-501001</t>
  </si>
  <si>
    <t>EXP-501002</t>
  </si>
  <si>
    <t>EXP-501003</t>
  </si>
  <si>
    <t>EXP-501004</t>
  </si>
  <si>
    <t>EXP-501005</t>
  </si>
  <si>
    <t>EXP-501006</t>
  </si>
  <si>
    <t>EXP-501007</t>
  </si>
  <si>
    <t>EXP-501008</t>
  </si>
  <si>
    <t>EXP-501009</t>
  </si>
  <si>
    <t>EXP-501010</t>
  </si>
  <si>
    <t>EXP-501011</t>
  </si>
  <si>
    <t>EXP-501012</t>
  </si>
  <si>
    <t>EXP-501013</t>
  </si>
  <si>
    <t>EXP-501014</t>
  </si>
  <si>
    <t>EXP-501015</t>
  </si>
  <si>
    <t>EXP-501016</t>
  </si>
  <si>
    <t>EXP-501017</t>
  </si>
  <si>
    <t>EXP-501018</t>
  </si>
  <si>
    <t>EXP-501019</t>
  </si>
  <si>
    <t>EXP-501020</t>
  </si>
  <si>
    <t>EXP-501021</t>
  </si>
  <si>
    <t>EXP-501022</t>
  </si>
  <si>
    <t>EXP-501023</t>
  </si>
  <si>
    <t>EXP-501024</t>
  </si>
  <si>
    <t>EXP-501025</t>
  </si>
  <si>
    <t>EXP-501026</t>
  </si>
  <si>
    <t>EXP-501027</t>
  </si>
  <si>
    <t>EXP-501028</t>
  </si>
  <si>
    <t>EXP-501029</t>
  </si>
  <si>
    <t>EXP-501030</t>
  </si>
  <si>
    <t>EXP-501031</t>
  </si>
  <si>
    <t>EXP-501032</t>
  </si>
  <si>
    <t>EXP-501033</t>
  </si>
  <si>
    <t>EXP-501034</t>
  </si>
  <si>
    <t>EXP-501035</t>
  </si>
  <si>
    <t>EXP-501036</t>
  </si>
  <si>
    <t>EXP-501037</t>
  </si>
  <si>
    <t>EXP-501038</t>
  </si>
  <si>
    <t>EXP-501039</t>
  </si>
  <si>
    <t>EXP-501040</t>
  </si>
  <si>
    <t>EXP-501041</t>
  </si>
  <si>
    <t>EXP-501042</t>
  </si>
  <si>
    <t>EXP-501043</t>
  </si>
  <si>
    <t>EXP-501044</t>
  </si>
  <si>
    <t>EXP-501045</t>
  </si>
  <si>
    <t>EXP-501046</t>
  </si>
  <si>
    <t>EXP-501047</t>
  </si>
  <si>
    <t>EXP-501048</t>
  </si>
  <si>
    <t>EXP-501049</t>
  </si>
  <si>
    <t>EXP-501050</t>
  </si>
  <si>
    <t>EXP-501051</t>
  </si>
  <si>
    <t>EXP-501052</t>
  </si>
  <si>
    <t>EXP-501053</t>
  </si>
  <si>
    <t>EXP-501054</t>
  </si>
  <si>
    <t>EXP-501055</t>
  </si>
  <si>
    <t>EXP-501056</t>
  </si>
  <si>
    <t>EXP-501057</t>
  </si>
  <si>
    <t>EXP-501058</t>
  </si>
  <si>
    <t>EXP-501059</t>
  </si>
  <si>
    <t>EXP-501060</t>
  </si>
  <si>
    <t>EXP-501061</t>
  </si>
  <si>
    <t>EXP-501062</t>
  </si>
  <si>
    <t>EXP-501063</t>
  </si>
  <si>
    <t>EXP-501064</t>
  </si>
  <si>
    <t>EXP-501065</t>
  </si>
  <si>
    <t>EXP-501066</t>
  </si>
  <si>
    <t>EXP-501067</t>
  </si>
  <si>
    <t>EXP-501068</t>
  </si>
  <si>
    <t>EXP-501069</t>
  </si>
  <si>
    <t>EXP-501070</t>
  </si>
  <si>
    <t>EXP-501071</t>
  </si>
  <si>
    <t>EXP-501072</t>
  </si>
  <si>
    <t>EXP-501073</t>
  </si>
  <si>
    <t>EXP-501074</t>
  </si>
  <si>
    <t>EXP-501075</t>
  </si>
  <si>
    <t>EXP-501076</t>
  </si>
  <si>
    <t>EXP-501077</t>
  </si>
  <si>
    <t>EXP-501078</t>
  </si>
  <si>
    <t>EXP-501079</t>
  </si>
  <si>
    <t>EXP-501080</t>
  </si>
  <si>
    <t>EXP-501081</t>
  </si>
  <si>
    <t>EXP-501082</t>
  </si>
  <si>
    <t>EXP-501083</t>
  </si>
  <si>
    <t>EXP-501084</t>
  </si>
  <si>
    <t>EXP-501085</t>
  </si>
  <si>
    <t>EXP-501086</t>
  </si>
  <si>
    <t>EXP-501087</t>
  </si>
  <si>
    <t>EXP-501088</t>
  </si>
  <si>
    <t>EXP-501089</t>
  </si>
  <si>
    <t>EXP-501090</t>
  </si>
  <si>
    <t>EXP-501091</t>
  </si>
  <si>
    <t>EXP-501092</t>
  </si>
  <si>
    <t>EXP-501093</t>
  </si>
  <si>
    <t>EXP-501094</t>
  </si>
  <si>
    <t>EXP-501095</t>
  </si>
  <si>
    <t>EXP-501096</t>
  </si>
  <si>
    <t>EXP-501097</t>
  </si>
  <si>
    <t>EXP-501098</t>
  </si>
  <si>
    <t>EXP-501099</t>
  </si>
  <si>
    <t>EXP-501100</t>
  </si>
  <si>
    <t>EXP-501101</t>
  </si>
  <si>
    <t>EXP-501102</t>
  </si>
  <si>
    <t>EXP-501103</t>
  </si>
  <si>
    <t>EXP-501104</t>
  </si>
  <si>
    <t>EXP-501105</t>
  </si>
  <si>
    <t>EXP-501106</t>
  </si>
  <si>
    <t>EXP-501107</t>
  </si>
  <si>
    <t>EXP-501108</t>
  </si>
  <si>
    <t>EXP-501109</t>
  </si>
  <si>
    <t>EXP-501110</t>
  </si>
  <si>
    <t>EXP-501111</t>
  </si>
  <si>
    <t>EXP-501112</t>
  </si>
  <si>
    <t>EXP-501113</t>
  </si>
  <si>
    <t>EXP-501114</t>
  </si>
  <si>
    <t>EXP-501115</t>
  </si>
  <si>
    <t>EXP-501116</t>
  </si>
  <si>
    <t>EXP-501117</t>
  </si>
  <si>
    <t>EXP-501118</t>
  </si>
  <si>
    <t>EXP-501119</t>
  </si>
  <si>
    <t>EXP-501120</t>
  </si>
  <si>
    <t>EXP-501121</t>
  </si>
  <si>
    <t>EXP-501122</t>
  </si>
  <si>
    <t>EXP-501123</t>
  </si>
  <si>
    <t>EXP-501124</t>
  </si>
  <si>
    <t>EXP-501125</t>
  </si>
  <si>
    <t>EXP-501126</t>
  </si>
  <si>
    <t>EXP-501127</t>
  </si>
  <si>
    <t>EXP-501128</t>
  </si>
  <si>
    <t>EXP-501129</t>
  </si>
  <si>
    <t>EXP-501130</t>
  </si>
  <si>
    <t>EXP-501131</t>
  </si>
  <si>
    <t>EXP-501132</t>
  </si>
  <si>
    <t>EXP-501133</t>
  </si>
  <si>
    <t>EXP-501134</t>
  </si>
  <si>
    <t>EXP-501135</t>
  </si>
  <si>
    <t>EXP-501136</t>
  </si>
  <si>
    <t>EXP-501137</t>
  </si>
  <si>
    <t>EXP-501138</t>
  </si>
  <si>
    <t>EXP-501139</t>
  </si>
  <si>
    <t>EXP-501140</t>
  </si>
  <si>
    <t>EXP-501141</t>
  </si>
  <si>
    <t>EXP-501142</t>
  </si>
  <si>
    <t>EXP-501143</t>
  </si>
  <si>
    <t>EXP-501144</t>
  </si>
  <si>
    <t>EXP-501145</t>
  </si>
  <si>
    <t>EXP-501146</t>
  </si>
  <si>
    <t>EXP-501147</t>
  </si>
  <si>
    <t>EXP-501148</t>
  </si>
  <si>
    <t>EXP-501149</t>
  </si>
  <si>
    <t>EXP-501150</t>
  </si>
  <si>
    <t>EXP-501151</t>
  </si>
  <si>
    <t>EXP-501152</t>
  </si>
  <si>
    <t>EXP-501153</t>
  </si>
  <si>
    <t>EXP-501154</t>
  </si>
  <si>
    <t>EXP-501155</t>
  </si>
  <si>
    <t>EXP-501156</t>
  </si>
  <si>
    <t>EXP-501157</t>
  </si>
  <si>
    <t>EXP-501158</t>
  </si>
  <si>
    <t>EXP-501159</t>
  </si>
  <si>
    <t>EXP-501160</t>
  </si>
  <si>
    <t>EXP-501161</t>
  </si>
  <si>
    <t>EXP-501162</t>
  </si>
  <si>
    <t>EXP-501163</t>
  </si>
  <si>
    <t>EXP-501164</t>
  </si>
  <si>
    <t>EXP-501165</t>
  </si>
  <si>
    <t>EXP-501166</t>
  </si>
  <si>
    <t>EXP-501167</t>
  </si>
  <si>
    <t>EXP-501168</t>
  </si>
  <si>
    <t>EXP-501169</t>
  </si>
  <si>
    <t>EXP-501170</t>
  </si>
  <si>
    <t>EXP-501171</t>
  </si>
  <si>
    <t>EXP-501172</t>
  </si>
  <si>
    <t>EXP-501173</t>
  </si>
  <si>
    <t>EXP-501174</t>
  </si>
  <si>
    <t>EXP-501175</t>
  </si>
  <si>
    <t>EXP-501176</t>
  </si>
  <si>
    <t>EXP-501177</t>
  </si>
  <si>
    <t>EXP-501178</t>
  </si>
  <si>
    <t>EXP-501179</t>
  </si>
  <si>
    <t>EXP-501180</t>
  </si>
  <si>
    <t>EXP-501181</t>
  </si>
  <si>
    <t>EXP-501182</t>
  </si>
  <si>
    <t>EXP-501183</t>
  </si>
  <si>
    <t>EXP-501184</t>
  </si>
  <si>
    <t>EXP-501185</t>
  </si>
  <si>
    <t>EXP-501186</t>
  </si>
  <si>
    <t>EXP-501187</t>
  </si>
  <si>
    <t>EXP-501188</t>
  </si>
  <si>
    <t>EXP-501189</t>
  </si>
  <si>
    <t>EXP-501190</t>
  </si>
  <si>
    <t>EXP-501191</t>
  </si>
  <si>
    <t>EXP-501192</t>
  </si>
  <si>
    <t>EXP-501193</t>
  </si>
  <si>
    <t>EXP-501194</t>
  </si>
  <si>
    <t>EXP-501195</t>
  </si>
  <si>
    <t>EXP-501196</t>
  </si>
  <si>
    <t>EXP-501197</t>
  </si>
  <si>
    <t>EXP-501198</t>
  </si>
  <si>
    <t>EXP-501199</t>
  </si>
  <si>
    <t>EXP-501200</t>
  </si>
  <si>
    <t>EXP-501201</t>
  </si>
  <si>
    <t>EXP-501202</t>
  </si>
  <si>
    <t>EXP-501203</t>
  </si>
  <si>
    <t>EXP-501204</t>
  </si>
  <si>
    <t>EXP-501205</t>
  </si>
  <si>
    <t>EXP-501206</t>
  </si>
  <si>
    <t>EXP-501207</t>
  </si>
  <si>
    <t>EXP-501208</t>
  </si>
  <si>
    <t>EXP-501209</t>
  </si>
  <si>
    <t>EXP-501210</t>
  </si>
  <si>
    <t>EXP-501211</t>
  </si>
  <si>
    <t>EXP-501212</t>
  </si>
  <si>
    <t>EXP-501213</t>
  </si>
  <si>
    <t>EXP-501214</t>
  </si>
  <si>
    <t>EXP-501215</t>
  </si>
  <si>
    <t>EXP-501216</t>
  </si>
  <si>
    <t>EXP-501217</t>
  </si>
  <si>
    <t>EXP-501218</t>
  </si>
  <si>
    <t>EXP-501219</t>
  </si>
  <si>
    <t>EXP-501220</t>
  </si>
  <si>
    <t>EXP-501221</t>
  </si>
  <si>
    <t>EXP-501222</t>
  </si>
  <si>
    <t>EXP-501223</t>
  </si>
  <si>
    <t>EXP-501224</t>
  </si>
  <si>
    <t>EXP-501225</t>
  </si>
  <si>
    <t>EXP-501226</t>
  </si>
  <si>
    <t>EXP-501227</t>
  </si>
  <si>
    <t>EXP-501228</t>
  </si>
  <si>
    <t>EXP-501229</t>
  </si>
  <si>
    <t>EXP-501230</t>
  </si>
  <si>
    <t>EXP-501231</t>
  </si>
  <si>
    <t>EXP-501232</t>
  </si>
  <si>
    <t>EXP-501233</t>
  </si>
  <si>
    <t>EXP-501234</t>
  </si>
  <si>
    <t>EXP-501235</t>
  </si>
  <si>
    <t>EXP-501236</t>
  </si>
  <si>
    <t>EXP-501237</t>
  </si>
  <si>
    <t>EXP-501238</t>
  </si>
  <si>
    <t>EXP-501239</t>
  </si>
  <si>
    <t>EXP-501240</t>
  </si>
  <si>
    <t>EXP-501241</t>
  </si>
  <si>
    <t>EXP-501242</t>
  </si>
  <si>
    <t>EXP-501243</t>
  </si>
  <si>
    <t>EXP-501244</t>
  </si>
  <si>
    <t>EXP-501245</t>
  </si>
  <si>
    <t>EXP-501246</t>
  </si>
  <si>
    <t>EXP-501247</t>
  </si>
  <si>
    <t>EXP-501248</t>
  </si>
  <si>
    <t>EXP-501249</t>
  </si>
  <si>
    <t>EXP-501250</t>
  </si>
  <si>
    <t>EXP-501251</t>
  </si>
  <si>
    <t>EXP-501252</t>
  </si>
  <si>
    <t>EXP-501253</t>
  </si>
  <si>
    <t>EXP-501254</t>
  </si>
  <si>
    <t>EXP-501255</t>
  </si>
  <si>
    <t>EXP-501256</t>
  </si>
  <si>
    <t>EXP-501257</t>
  </si>
  <si>
    <t>EXP-501258</t>
  </si>
  <si>
    <t>EXP-501259</t>
  </si>
  <si>
    <t>EXP-501260</t>
  </si>
  <si>
    <t>EXP-501261</t>
  </si>
  <si>
    <t>EXP-501262</t>
  </si>
  <si>
    <t>EXP-501263</t>
  </si>
  <si>
    <t>EXP-501264</t>
  </si>
  <si>
    <t>EXP-501265</t>
  </si>
  <si>
    <t>EXP-501266</t>
  </si>
  <si>
    <t>EXP-501267</t>
  </si>
  <si>
    <t>EXP-501268</t>
  </si>
  <si>
    <t>EXP-501269</t>
  </si>
  <si>
    <t>EXP-501270</t>
  </si>
  <si>
    <t>EXP-501271</t>
  </si>
  <si>
    <t>EXP-501272</t>
  </si>
  <si>
    <t>EXP-501273</t>
  </si>
  <si>
    <t>EXP-501274</t>
  </si>
  <si>
    <t>EXP-501275</t>
  </si>
  <si>
    <t>EXP-501276</t>
  </si>
  <si>
    <t>EXP-501277</t>
  </si>
  <si>
    <t>EXP-501278</t>
  </si>
  <si>
    <t>EXP-501279</t>
  </si>
  <si>
    <t>EXP-501280</t>
  </si>
  <si>
    <t>EXP-501281</t>
  </si>
  <si>
    <t>EXP-501282</t>
  </si>
  <si>
    <t>EXP-501283</t>
  </si>
  <si>
    <t>EXP-501284</t>
  </si>
  <si>
    <t>EXP-501285</t>
  </si>
  <si>
    <t>EXP-501286</t>
  </si>
  <si>
    <t>EXP-501287</t>
  </si>
  <si>
    <t>EXP-501288</t>
  </si>
  <si>
    <t>EXP-501289</t>
  </si>
  <si>
    <t>EXP-501290</t>
  </si>
  <si>
    <t>EXP-501291</t>
  </si>
  <si>
    <t>EXP-501292</t>
  </si>
  <si>
    <t>EXP-501293</t>
  </si>
  <si>
    <t>EXP-501294</t>
  </si>
  <si>
    <t>EXP-501295</t>
  </si>
  <si>
    <t>EXP-501296</t>
  </si>
  <si>
    <t>EXP-501297</t>
  </si>
  <si>
    <t>EXP-501298</t>
  </si>
  <si>
    <t>EXP-501299</t>
  </si>
  <si>
    <t>EXP-501300</t>
  </si>
  <si>
    <t>EXP-501301</t>
  </si>
  <si>
    <t>EXP-501302</t>
  </si>
  <si>
    <t>EXP-501303</t>
  </si>
  <si>
    <t>EXP-501304</t>
  </si>
  <si>
    <t>EXP-501305</t>
  </si>
  <si>
    <t>EXP-501306</t>
  </si>
  <si>
    <t>EXP-501307</t>
  </si>
  <si>
    <t>EXP-501308</t>
  </si>
  <si>
    <t>EXP-501309</t>
  </si>
  <si>
    <t>EXP-501310</t>
  </si>
  <si>
    <t>EXP-501311</t>
  </si>
  <si>
    <t>EXP-501312</t>
  </si>
  <si>
    <t>EXP-501313</t>
  </si>
  <si>
    <t>EXP-501314</t>
  </si>
  <si>
    <t>EXP-501315</t>
  </si>
  <si>
    <t>EXP-501316</t>
  </si>
  <si>
    <t>EXP-501317</t>
  </si>
  <si>
    <t>EXP-501318</t>
  </si>
  <si>
    <t>EXP-501319</t>
  </si>
  <si>
    <t>EXP-501320</t>
  </si>
  <si>
    <t>EXP-501321</t>
  </si>
  <si>
    <t>EXP-501322</t>
  </si>
  <si>
    <t>EXP-501323</t>
  </si>
  <si>
    <t>EXP-501324</t>
  </si>
  <si>
    <t>EXP-501325</t>
  </si>
  <si>
    <t>EXP-501326</t>
  </si>
  <si>
    <t>EXP-501327</t>
  </si>
  <si>
    <t>EXP-501328</t>
  </si>
  <si>
    <t>EXP-501329</t>
  </si>
  <si>
    <t>EXP-501330</t>
  </si>
  <si>
    <t>EXP-501331</t>
  </si>
  <si>
    <t>EXP-501332</t>
  </si>
  <si>
    <t>EXP-501333</t>
  </si>
  <si>
    <t>EXP-501334</t>
  </si>
  <si>
    <t>EXP-501335</t>
  </si>
  <si>
    <t>EXP-501336</t>
  </si>
  <si>
    <t>EXP-501337</t>
  </si>
  <si>
    <t>EXP-501338</t>
  </si>
  <si>
    <t>EXP-501339</t>
  </si>
  <si>
    <t>EXP-501340</t>
  </si>
  <si>
    <t>EXP-501341</t>
  </si>
  <si>
    <t>EXP-501342</t>
  </si>
  <si>
    <t>EXP-501343</t>
  </si>
  <si>
    <t>EXP-501344</t>
  </si>
  <si>
    <t>EXP-501345</t>
  </si>
  <si>
    <t>EXP-501346</t>
  </si>
  <si>
    <t>EXP-501347</t>
  </si>
  <si>
    <t>EXP-501348</t>
  </si>
  <si>
    <t>EXP-501349</t>
  </si>
  <si>
    <t>EXP-501350</t>
  </si>
  <si>
    <t>EXP-501351</t>
  </si>
  <si>
    <t>EXP-501352</t>
  </si>
  <si>
    <t>EXP-501353</t>
  </si>
  <si>
    <t>EXP-501354</t>
  </si>
  <si>
    <t>EXP-501355</t>
  </si>
  <si>
    <t>EXP-501356</t>
  </si>
  <si>
    <t>EXP-501357</t>
  </si>
  <si>
    <t>EXP-501358</t>
  </si>
  <si>
    <t>EXP-501359</t>
  </si>
  <si>
    <t>EXP-501360</t>
  </si>
  <si>
    <t>EXP-501361</t>
  </si>
  <si>
    <t>EXP-501362</t>
  </si>
  <si>
    <t>EXP-501363</t>
  </si>
  <si>
    <t>EXP-501364</t>
  </si>
  <si>
    <t>EXP-501365</t>
  </si>
  <si>
    <t>EXP-501366</t>
  </si>
  <si>
    <t>EXP-501367</t>
  </si>
  <si>
    <t>EXP-501368</t>
  </si>
  <si>
    <t>EXP-501369</t>
  </si>
  <si>
    <t>EXP-501370</t>
  </si>
  <si>
    <t>EXP-501371</t>
  </si>
  <si>
    <t>EXP-501372</t>
  </si>
  <si>
    <t>EXP-501373</t>
  </si>
  <si>
    <t>EXP-501374</t>
  </si>
  <si>
    <t>EXP-501375</t>
  </si>
  <si>
    <t>EXP-501376</t>
  </si>
  <si>
    <t>EXP-501377</t>
  </si>
  <si>
    <t>EXP-501378</t>
  </si>
  <si>
    <t>EXP-501379</t>
  </si>
  <si>
    <t>EXP-501380</t>
  </si>
  <si>
    <t>EXP-501381</t>
  </si>
  <si>
    <t>EXP-501382</t>
  </si>
  <si>
    <t>EXP-501383</t>
  </si>
  <si>
    <t>EXP-501384</t>
  </si>
  <si>
    <t>EXP-501385</t>
  </si>
  <si>
    <t>EXP-501386</t>
  </si>
  <si>
    <t>EXP-501387</t>
  </si>
  <si>
    <t>EXP-501388</t>
  </si>
  <si>
    <t>EXP-501389</t>
  </si>
  <si>
    <t>EXP-501390</t>
  </si>
  <si>
    <t>EXP-501391</t>
  </si>
  <si>
    <t>EXP-501392</t>
  </si>
  <si>
    <t>EXP-501393</t>
  </si>
  <si>
    <t>EXP-501394</t>
  </si>
  <si>
    <t>EXP-501395</t>
  </si>
  <si>
    <t>EXP-501396</t>
  </si>
  <si>
    <t>EXP-501397</t>
  </si>
  <si>
    <t>EXP-501398</t>
  </si>
  <si>
    <t>EXP-501399</t>
  </si>
  <si>
    <t>EXP-501400</t>
  </si>
  <si>
    <t>EXP-501401</t>
  </si>
  <si>
    <t>EXP-501402</t>
  </si>
  <si>
    <t>EXP-501403</t>
  </si>
  <si>
    <t>EXP-501404</t>
  </si>
  <si>
    <t>EXP-501405</t>
  </si>
  <si>
    <t>EXP-501406</t>
  </si>
  <si>
    <t>EXP-501407</t>
  </si>
  <si>
    <t>EXP-501408</t>
  </si>
  <si>
    <t>EXP-501409</t>
  </si>
  <si>
    <t>EXP-501410</t>
  </si>
  <si>
    <t>EXP-501411</t>
  </si>
  <si>
    <t>EXP-501412</t>
  </si>
  <si>
    <t>EXP-501413</t>
  </si>
  <si>
    <t>EXP-501414</t>
  </si>
  <si>
    <t>EXP-501415</t>
  </si>
  <si>
    <t>EXP-501416</t>
  </si>
  <si>
    <t>EXP-501417</t>
  </si>
  <si>
    <t>EXP-501418</t>
  </si>
  <si>
    <t>EXP-501419</t>
  </si>
  <si>
    <t>EXP-501420</t>
  </si>
  <si>
    <t>EXP-501421</t>
  </si>
  <si>
    <t>EXP-501422</t>
  </si>
  <si>
    <t>EXP-501423</t>
  </si>
  <si>
    <t>EXP-501424</t>
  </si>
  <si>
    <t>EXP-501425</t>
  </si>
  <si>
    <t>EXP-501426</t>
  </si>
  <si>
    <t>EXP-501427</t>
  </si>
  <si>
    <t>EXP-501428</t>
  </si>
  <si>
    <t>EXP-501429</t>
  </si>
  <si>
    <t>EXP-501430</t>
  </si>
  <si>
    <t>EXP-501431</t>
  </si>
  <si>
    <t>EXP-501432</t>
  </si>
  <si>
    <t>EXP-501433</t>
  </si>
  <si>
    <t>EXP-501434</t>
  </si>
  <si>
    <t>EXP-501435</t>
  </si>
  <si>
    <t>EXP-501436</t>
  </si>
  <si>
    <t>EXP-501437</t>
  </si>
  <si>
    <t>EXP-501438</t>
  </si>
  <si>
    <t>EXP-501439</t>
  </si>
  <si>
    <t>EXP-501440</t>
  </si>
  <si>
    <t>EXP-501441</t>
  </si>
  <si>
    <t>EXP-501442</t>
  </si>
  <si>
    <t>EXP-501443</t>
  </si>
  <si>
    <t>EXP-501444</t>
  </si>
  <si>
    <t>EXP-501445</t>
  </si>
  <si>
    <t>EXP-501446</t>
  </si>
  <si>
    <t>EXP-501447</t>
  </si>
  <si>
    <t>EXP-501448</t>
  </si>
  <si>
    <t>EXP-501449</t>
  </si>
  <si>
    <t>EXP-501450</t>
  </si>
  <si>
    <t>EXP-501451</t>
  </si>
  <si>
    <t>EXP-501452</t>
  </si>
  <si>
    <t>EXP-501453</t>
  </si>
  <si>
    <t>EXP-501454</t>
  </si>
  <si>
    <t>EXP-501455</t>
  </si>
  <si>
    <t>EXP-501456</t>
  </si>
  <si>
    <t>EXP-501457</t>
  </si>
  <si>
    <t>EXP-501458</t>
  </si>
  <si>
    <t>EXP-501459</t>
  </si>
  <si>
    <t>EXP-501460</t>
  </si>
  <si>
    <t>EXP-501461</t>
  </si>
  <si>
    <t>EXP-501462</t>
  </si>
  <si>
    <t>EXP-501463</t>
  </si>
  <si>
    <t>EXP-501464</t>
  </si>
  <si>
    <t>EXP-501465</t>
  </si>
  <si>
    <t>EXP-501466</t>
  </si>
  <si>
    <t>EXP-501467</t>
  </si>
  <si>
    <t>EXP-501468</t>
  </si>
  <si>
    <t>EXP-501469</t>
  </si>
  <si>
    <t>EXP-501470</t>
  </si>
  <si>
    <t>EXP-501471</t>
  </si>
  <si>
    <t>EXP-501472</t>
  </si>
  <si>
    <t>EXP-501473</t>
  </si>
  <si>
    <t>EXP-501474</t>
  </si>
  <si>
    <t>EXP-501475</t>
  </si>
  <si>
    <t>EXP-501476</t>
  </si>
  <si>
    <t>EXP-501477</t>
  </si>
  <si>
    <t>EXP-501478</t>
  </si>
  <si>
    <t>EXP-501479</t>
  </si>
  <si>
    <t>EXP-501480</t>
  </si>
  <si>
    <t>EXP-501481</t>
  </si>
  <si>
    <t>EXP-501482</t>
  </si>
  <si>
    <t>EXP-501483</t>
  </si>
  <si>
    <t>EXP-501484</t>
  </si>
  <si>
    <t>EXP-501485</t>
  </si>
  <si>
    <t>EXP-501486</t>
  </si>
  <si>
    <t>EXP-501487</t>
  </si>
  <si>
    <t>EXP-501488</t>
  </si>
  <si>
    <t>EXP-501489</t>
  </si>
  <si>
    <t>EXP-501490</t>
  </si>
  <si>
    <t>EXP-501491</t>
  </si>
  <si>
    <t>EXP-501492</t>
  </si>
  <si>
    <t>EXP-501493</t>
  </si>
  <si>
    <t>EXP-501494</t>
  </si>
  <si>
    <t>EXP-501495</t>
  </si>
  <si>
    <t>EXP-501496</t>
  </si>
  <si>
    <t>EXP-501497</t>
  </si>
  <si>
    <t>EXP-501498</t>
  </si>
  <si>
    <t>EXP-501499</t>
  </si>
  <si>
    <t>EXP-501500</t>
  </si>
  <si>
    <t>EXP-501501</t>
  </si>
  <si>
    <t>EXP-501502</t>
  </si>
  <si>
    <t>EXP-501503</t>
  </si>
  <si>
    <t>EXP-501504</t>
  </si>
  <si>
    <t>EXP-501505</t>
  </si>
  <si>
    <t>EXP-501506</t>
  </si>
  <si>
    <t>EXP-501507</t>
  </si>
  <si>
    <t>EXP-501508</t>
  </si>
  <si>
    <t>EXP-501509</t>
  </si>
  <si>
    <t>EXP-501510</t>
  </si>
  <si>
    <t>EXP-501511</t>
  </si>
  <si>
    <t>EXP-501512</t>
  </si>
  <si>
    <t>Customer_Name</t>
  </si>
  <si>
    <t>Segment</t>
  </si>
  <si>
    <t>Base_Risk</t>
  </si>
  <si>
    <t>Customer 001</t>
  </si>
  <si>
    <t>SMB</t>
  </si>
  <si>
    <t>Medium</t>
  </si>
  <si>
    <t>Customer 002</t>
  </si>
  <si>
    <t>Low</t>
  </si>
  <si>
    <t>Customer 003</t>
  </si>
  <si>
    <t>Customer 004</t>
  </si>
  <si>
    <t>Mid-Market</t>
  </si>
  <si>
    <t>Customer 005</t>
  </si>
  <si>
    <t>Customer 006</t>
  </si>
  <si>
    <t>High</t>
  </si>
  <si>
    <t>Customer 007</t>
  </si>
  <si>
    <t>Customer 008</t>
  </si>
  <si>
    <t>Customer 009</t>
  </si>
  <si>
    <t>Enterprise</t>
  </si>
  <si>
    <t>Customer 010</t>
  </si>
  <si>
    <t>Customer 011</t>
  </si>
  <si>
    <t>Customer 012</t>
  </si>
  <si>
    <t>Customer 013</t>
  </si>
  <si>
    <t>Customer 014</t>
  </si>
  <si>
    <t>Customer 015</t>
  </si>
  <si>
    <t>Customer 016</t>
  </si>
  <si>
    <t>Customer 017</t>
  </si>
  <si>
    <t>Customer 018</t>
  </si>
  <si>
    <t>Customer 019</t>
  </si>
  <si>
    <t>Customer 020</t>
  </si>
  <si>
    <t>Customer 021</t>
  </si>
  <si>
    <t>Customer 022</t>
  </si>
  <si>
    <t>Customer 023</t>
  </si>
  <si>
    <t>Customer 024</t>
  </si>
  <si>
    <t>Customer 025</t>
  </si>
  <si>
    <t>Customer 026</t>
  </si>
  <si>
    <t>Customer 027</t>
  </si>
  <si>
    <t>Customer 028</t>
  </si>
  <si>
    <t>Customer 029</t>
  </si>
  <si>
    <t>Customer 030</t>
  </si>
  <si>
    <t>Customer 031</t>
  </si>
  <si>
    <t>Customer 032</t>
  </si>
  <si>
    <t>Customer 033</t>
  </si>
  <si>
    <t>Customer 034</t>
  </si>
  <si>
    <t>Customer 035</t>
  </si>
  <si>
    <t>Customer 036</t>
  </si>
  <si>
    <t>Customer 037</t>
  </si>
  <si>
    <t>Customer 038</t>
  </si>
  <si>
    <t>Customer 039</t>
  </si>
  <si>
    <t>Customer 040</t>
  </si>
  <si>
    <t>Customer 041</t>
  </si>
  <si>
    <t>Customer 042</t>
  </si>
  <si>
    <t>Customer 043</t>
  </si>
  <si>
    <t>Customer 044</t>
  </si>
  <si>
    <t>Customer 045</t>
  </si>
  <si>
    <t>Customer 046</t>
  </si>
  <si>
    <t>Customer 047</t>
  </si>
  <si>
    <t>Customer 048</t>
  </si>
  <si>
    <t>Customer 049</t>
  </si>
  <si>
    <t>Customer 050</t>
  </si>
  <si>
    <t>Customer 051</t>
  </si>
  <si>
    <t>Customer 052</t>
  </si>
  <si>
    <t>Customer 053</t>
  </si>
  <si>
    <t>Customer 054</t>
  </si>
  <si>
    <t>Customer 055</t>
  </si>
  <si>
    <t>Customer 056</t>
  </si>
  <si>
    <t>Customer 057</t>
  </si>
  <si>
    <t>Customer 058</t>
  </si>
  <si>
    <t>Customer 059</t>
  </si>
  <si>
    <t>Customer 060</t>
  </si>
  <si>
    <t>Revenue</t>
  </si>
  <si>
    <t>Collected</t>
  </si>
  <si>
    <t>Outstanding</t>
  </si>
  <si>
    <t>Collection_Efficiency_%</t>
  </si>
  <si>
    <t>MoM_Revenue_Growth_%</t>
  </si>
  <si>
    <t>Invoice_Count</t>
  </si>
  <si>
    <t>%_of_Total_AR</t>
  </si>
  <si>
    <t>0-30</t>
  </si>
  <si>
    <t>31-60</t>
  </si>
  <si>
    <t>61-90</t>
  </si>
  <si>
    <t>91-120</t>
  </si>
  <si>
    <t>120+</t>
  </si>
  <si>
    <t>Total_Invoiced</t>
  </si>
  <si>
    <t>Total_Collected</t>
  </si>
  <si>
    <t>Avg_Payment_Delay</t>
  </si>
  <si>
    <t>Overdue_Invoices</t>
  </si>
  <si>
    <t>Risk_Score</t>
  </si>
  <si>
    <t>Risk_Class</t>
  </si>
  <si>
    <t>Budget_Status</t>
  </si>
  <si>
    <t>Group_Median</t>
  </si>
  <si>
    <t>Group_MAD</t>
  </si>
  <si>
    <t>Robust_Z</t>
  </si>
  <si>
    <t>IF_Anomaly</t>
  </si>
  <si>
    <t>Anomaly</t>
  </si>
  <si>
    <t>Variance_vs_Group_Median</t>
  </si>
  <si>
    <t>Risk_Level</t>
  </si>
  <si>
    <t>Potential Anomaly</t>
  </si>
  <si>
    <t>Review</t>
  </si>
  <si>
    <t>Collections</t>
  </si>
  <si>
    <t>Other_Income</t>
  </si>
  <si>
    <t>Cash_Inflows</t>
  </si>
  <si>
    <t>Cash_Outflows</t>
  </si>
  <si>
    <t>Net_Cash_Flow</t>
  </si>
  <si>
    <t>Opening_Cash</t>
  </si>
  <si>
    <t>Closing_Cash</t>
  </si>
  <si>
    <t>Expected_Collections</t>
  </si>
  <si>
    <t>Forecast_Expenses</t>
  </si>
  <si>
    <t>Base_Net_Cash_Flow</t>
  </si>
  <si>
    <t>Base_Closing_Cash</t>
  </si>
  <si>
    <t>Stress_Net_Cash_Flow</t>
  </si>
  <si>
    <t>Stress_Closing_Cash</t>
  </si>
  <si>
    <t>Optimistic_Net_Cash_Flow</t>
  </si>
  <si>
    <t>Optimistic_Closing_Cash</t>
  </si>
  <si>
    <t>Metric</t>
  </si>
  <si>
    <t>Value</t>
  </si>
  <si>
    <t>Payable Days</t>
  </si>
  <si>
    <t>Inventory Days</t>
  </si>
  <si>
    <t>Cash Conversion Cycle</t>
  </si>
  <si>
    <t>Collection Efficiency %</t>
  </si>
  <si>
    <t>Overdue AR</t>
  </si>
  <si>
    <t>Closing Cash</t>
  </si>
  <si>
    <t>Budget Overrun %</t>
  </si>
  <si>
    <t>Negative Cash Flow Months</t>
  </si>
  <si>
    <t>EXPENSE ANALYSIS ENGINE</t>
  </si>
  <si>
    <t>Departments</t>
  </si>
  <si>
    <t>Categories</t>
  </si>
  <si>
    <t>Months</t>
  </si>
  <si>
    <t>department</t>
  </si>
  <si>
    <t>MONTHLY EXPENSE TREND</t>
  </si>
  <si>
    <t>CATEGORY-WISE EXPENSE</t>
  </si>
  <si>
    <t>DEPARTMENT-WISE EXPENSE</t>
  </si>
  <si>
    <t>Expense</t>
  </si>
  <si>
    <t>MoM Growth</t>
  </si>
  <si>
    <t>% Total</t>
  </si>
  <si>
    <t>Month List</t>
  </si>
  <si>
    <t>Department List</t>
  </si>
  <si>
    <t>Category List</t>
  </si>
  <si>
    <t>All Months</t>
  </si>
  <si>
    <t>Dropdown for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</si>
</sst>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₹#,##0"/>
    <numFmt numFmtId="165" formatCode="dd\-mmm\-yyyy"/>
    <numFmt numFmtId="166" formatCode="\₹#,##0;[Red]\-\₹#,##0"/>
    <numFmt numFmtId="167" formatCode="0.0&quot;%&quot;"/>
    <numFmt numFmtId="168" formatCode="0.0%"/>
    <numFmt numFmtId="169" formatCode="0.0"/>
  </numFmts>
  <fonts count="2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7365D"/>
      <name val="Calibri"/>
    </font>
    <font>
      <b/>
      <sz val="11"/>
      <name val="Calibri"/>
    </font>
    <font>
      <b/>
      <sz val="20"/>
      <color rgb="FFFFFFFF"/>
      <name val="Calibri"/>
    </font>
    <font>
      <i/>
      <sz val="11"/>
      <color rgb="FFFFFFFF"/>
      <name val="Calibri"/>
    </font>
    <font>
      <b/>
      <sz val="15"/>
      <color rgb="FF17365D"/>
      <name val="Calibri"/>
    </font>
    <font>
      <b/>
      <sz val="13"/>
      <color rgb="FF17365D"/>
      <name val="Calibri"/>
    </font>
    <font>
      <b/>
      <sz val="11"/>
      <color rgb="FFFFFFFF"/>
      <name val="Calibri"/>
    </font>
    <font>
      <b/>
      <sz val="18"/>
      <color rgb="FFFFFFFF"/>
      <name val="Calibri"/>
    </font>
    <font>
      <b/>
      <sz val="13"/>
      <color rgb="FFFFFFFF"/>
      <name val="Calibri"/>
    </font>
    <font>
      <i/>
      <sz val="11"/>
      <color rgb="FF666666"/>
      <name val="Calibri"/>
    </font>
    <font>
      <b/>
      <sz val="15"/>
      <color rgb="FF70AD47"/>
      <name val="Calibri"/>
    </font>
    <font>
      <b/>
      <sz val="12"/>
      <color rgb="FFFFFFFF"/>
      <name val="Calibri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8FBFF"/>
      </patternFill>
    </fill>
    <fill>
      <patternFill patternType="solid">
        <fgColor rgb="FF0F6B78"/>
      </patternFill>
    </fill>
    <fill>
      <patternFill patternType="solid">
        <fgColor rgb="FF7030A0"/>
      </patternFill>
    </fill>
    <fill>
      <patternFill patternType="solid">
        <fgColor rgb="FF2F75B5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C00000"/>
      </patternFill>
    </fill>
    <fill>
      <patternFill patternType="solid">
        <fgColor rgb="FFF2F2F2"/>
      </patternFill>
    </fill>
    <fill>
      <patternFill patternType="solid">
        <fgColor rgb="FFEAF3F8"/>
      </patternFill>
    </fill>
    <fill>
      <patternFill patternType="solid">
        <fgColor rgb="FFF3F8F3"/>
      </patternFill>
    </fill>
    <fill>
      <patternFill patternType="solid">
        <fgColor rgb="FF1F4E78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AF3F8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7365D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8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0" borderId="0" xfId="0" applyFont="1"/>
    <xf numFmtId="17" fontId="0" fillId="0" borderId="0" xfId="0" applyNumberFormat="1"/>
    <xf numFmtId="164" fontId="0" fillId="0" borderId="0" xfId="0" applyNumberFormat="1"/>
    <xf numFmtId="0" fontId="8" fillId="2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/>
    </xf>
    <xf numFmtId="165" fontId="0" fillId="3" borderId="2" xfId="0" applyNumberFormat="1" applyFill="1" applyBorder="1" applyAlignment="1">
      <alignment vertical="center"/>
    </xf>
    <xf numFmtId="166" fontId="0" fillId="3" borderId="2" xfId="0" applyNumberFormat="1" applyFill="1" applyBorder="1" applyAlignment="1">
      <alignment vertical="center"/>
    </xf>
    <xf numFmtId="0" fontId="0" fillId="0" borderId="2" xfId="0" applyBorder="1" applyAlignment="1">
      <alignment vertical="center"/>
    </xf>
    <xf numFmtId="165" fontId="0" fillId="0" borderId="2" xfId="0" applyNumberFormat="1" applyBorder="1" applyAlignment="1">
      <alignment vertical="center"/>
    </xf>
    <xf numFmtId="166" fontId="0" fillId="0" borderId="2" xfId="0" applyNumberFormat="1" applyBorder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67" fontId="0" fillId="3" borderId="2" xfId="0" applyNumberFormat="1" applyFill="1" applyBorder="1" applyAlignment="1">
      <alignment vertical="center"/>
    </xf>
    <xf numFmtId="167" fontId="0" fillId="0" borderId="2" xfId="0" applyNumberFormat="1" applyBorder="1" applyAlignment="1">
      <alignment vertical="center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vertical="center"/>
    </xf>
    <xf numFmtId="0" fontId="3" fillId="11" borderId="2" xfId="0" applyFont="1" applyFill="1" applyBorder="1" applyAlignment="1">
      <alignment vertical="center"/>
    </xf>
    <xf numFmtId="168" fontId="6" fillId="11" borderId="0" xfId="0" applyNumberFormat="1" applyFont="1" applyFill="1" applyAlignment="1">
      <alignment horizontal="center" vertical="center"/>
    </xf>
    <xf numFmtId="168" fontId="0" fillId="3" borderId="2" xfId="0" applyNumberFormat="1" applyFill="1" applyBorder="1" applyAlignment="1">
      <alignment vertical="center"/>
    </xf>
    <xf numFmtId="168" fontId="0" fillId="0" borderId="2" xfId="0" applyNumberFormat="1" applyBorder="1" applyAlignment="1">
      <alignment vertical="center"/>
    </xf>
    <xf numFmtId="169" fontId="3" fillId="11" borderId="2" xfId="0" applyNumberFormat="1" applyFont="1" applyFill="1" applyBorder="1" applyAlignment="1">
      <alignment vertical="center"/>
    </xf>
    <xf numFmtId="166" fontId="3" fillId="11" borderId="2" xfId="0" applyNumberFormat="1" applyFont="1" applyFill="1" applyBorder="1" applyAlignment="1">
      <alignment vertical="center"/>
    </xf>
    <xf numFmtId="168" fontId="3" fillId="11" borderId="2" xfId="0" applyNumberFormat="1" applyFont="1" applyFill="1" applyBorder="1" applyAlignment="1">
      <alignment vertical="center"/>
    </xf>
    <xf numFmtId="0" fontId="8" fillId="4" borderId="0" xfId="0" applyFont="1" applyFill="1"/>
    <xf numFmtId="0" fontId="8" fillId="8" borderId="0" xfId="0" applyFont="1" applyFill="1"/>
    <xf numFmtId="0" fontId="8" fillId="5" borderId="0" xfId="0" applyFont="1" applyFill="1"/>
    <xf numFmtId="168" fontId="0" fillId="0" borderId="0" xfId="0" applyNumberFormat="1"/>
    <xf numFmtId="164" fontId="12" fillId="12" borderId="0" xfId="0" applyNumberFormat="1" applyFont="1" applyFill="1" applyAlignment="1">
      <alignment horizontal="center"/>
    </xf>
    <xf numFmtId="0" fontId="11" fillId="14" borderId="0" xfId="0" applyFont="1" applyFill="1"/>
    <xf numFmtId="0" fontId="8" fillId="14" borderId="0" xfId="0" applyFont="1" applyFill="1"/>
    <xf numFmtId="166" fontId="6" fillId="14" borderId="0" xfId="0" applyNumberFormat="1" applyFont="1" applyFill="1" applyAlignment="1">
      <alignment horizontal="center" vertical="center"/>
    </xf>
    <xf numFmtId="0" fontId="0" fillId="15" borderId="0" xfId="0" applyFill="1"/>
    <xf numFmtId="0" fontId="15" fillId="0" borderId="0" xfId="0" applyFont="1"/>
    <xf numFmtId="0" fontId="16" fillId="16" borderId="0" xfId="0" applyFont="1" applyFill="1"/>
    <xf numFmtId="0" fontId="14" fillId="1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0" fillId="0" borderId="0" xfId="0"/>
    <xf numFmtId="0" fontId="10" fillId="15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164" fontId="18" fillId="17" borderId="0" xfId="0" applyNumberFormat="1" applyFont="1" applyFill="1" applyAlignment="1">
      <alignment horizontal="center" vertical="center"/>
    </xf>
    <xf numFmtId="169" fontId="18" fillId="17" borderId="0" xfId="0" applyNumberFormat="1" applyFont="1" applyFill="1" applyAlignment="1">
      <alignment horizontal="center" vertical="center"/>
    </xf>
    <xf numFmtId="1" fontId="18" fillId="17" borderId="0" xfId="0" applyNumberFormat="1" applyFont="1" applyFill="1" applyAlignment="1">
      <alignment horizontal="center" vertical="center"/>
    </xf>
    <xf numFmtId="0" fontId="18" fillId="17" borderId="0" xfId="0" applyFont="1" applyFill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166" fontId="8" fillId="6" borderId="0" xfId="0" applyNumberFormat="1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16" fillId="0" borderId="0" xfId="0" applyFont="1"/>
    <xf numFmtId="0" fontId="0" fillId="16" borderId="0" xfId="0" applyFill="1"/>
    <xf numFmtId="0" fontId="2" fillId="16" borderId="0" xfId="0" applyFont="1" applyFill="1" applyAlignment="1">
      <alignment horizontal="center"/>
    </xf>
    <xf numFmtId="0" fontId="2" fillId="16" borderId="0" xfId="0" applyFont="1" applyFill="1" applyAlignment="1">
      <alignment horizontal="center"/>
    </xf>
    <xf numFmtId="0" fontId="2" fillId="16" borderId="0" xfId="0" applyFont="1" applyFill="1" applyAlignment="1">
      <alignment horizontal="center" vertical="center"/>
    </xf>
    <xf numFmtId="0" fontId="13" fillId="13" borderId="0" xfId="0" applyFont="1" applyFill="1" applyAlignment="1">
      <alignment horizontal="center" vertical="center"/>
    </xf>
    <xf numFmtId="0" fontId="0" fillId="0" borderId="0" xfId="0" applyBorder="1"/>
    <xf numFmtId="0" fontId="17" fillId="16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D9EAD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Department-wise Expense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Expense_Analysis!$J$4</c:f>
              <c:strCache>
                <c:ptCount val="1"/>
                <c:pt idx="0">
                  <c:v>Expense</c:v>
                </c:pt>
              </c:strCache>
            </c:strRef>
          </c:tx>
          <c:spPr>
            <a:solidFill>
              <a:srgbClr val="7030A0"/>
            </a:solidFill>
            <a:ln>
              <a:prstDash val="solid"/>
            </a:ln>
          </c:spPr>
          <c:invertIfNegative val="1"/>
          <c:cat>
            <c:strRef>
              <c:f>Expense_Analysis!$I$5:$I$11</c:f>
              <c:strCache>
                <c:ptCount val="7"/>
                <c:pt idx="0">
                  <c:v>Administration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Expense_Analysis!$J$5:$J$11</c:f>
              <c:numCache>
                <c:formatCode>\₹#,##0</c:formatCode>
                <c:ptCount val="7"/>
                <c:pt idx="0">
                  <c:v>2027783.8899999992</c:v>
                </c:pt>
                <c:pt idx="1">
                  <c:v>1814899.1099999999</c:v>
                </c:pt>
                <c:pt idx="2">
                  <c:v>2190417.9700000016</c:v>
                </c:pt>
                <c:pt idx="3">
                  <c:v>5119961.5100000016</c:v>
                </c:pt>
                <c:pt idx="4">
                  <c:v>3519337.3600000017</c:v>
                </c:pt>
                <c:pt idx="5">
                  <c:v>4236564.540000001</c:v>
                </c:pt>
                <c:pt idx="6">
                  <c:v>3139817.180000002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E6C-4C37-BF9D-DEEF62E3A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Expense (₹)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gradFill>
          <a:gsLst>
            <a:gs pos="0">
              <a:schemeClr val="accent1">
                <a:lumMod val="40000"/>
                <a:lumOff val="60000"/>
              </a:schemeClr>
            </a:gs>
            <a:gs pos="52000">
              <a:schemeClr val="accent1">
                <a:lumMod val="20000"/>
                <a:lumOff val="80000"/>
              </a:schemeClr>
            </a:gs>
            <a:gs pos="66000">
              <a:schemeClr val="accent1">
                <a:lumMod val="20000"/>
                <a:lumOff val="80000"/>
              </a:schemeClr>
            </a:gs>
          </a:gsLst>
          <a:lin ang="2700000" scaled="1"/>
        </a:gradFill>
      </c:spPr>
    </c:plotArea>
    <c:legend>
      <c:legendPos val="r"/>
      <c:overlay val="0"/>
    </c:legend>
    <c:plotVisOnly val="1"/>
    <c:dispBlanksAs val="gap"/>
    <c:showDLblsOverMax val="1"/>
  </c:chart>
  <c:spPr>
    <a:noFill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Category-wise Expense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Expense_Analysis!$F$4</c:f>
              <c:strCache>
                <c:ptCount val="1"/>
                <c:pt idx="0">
                  <c:v>Expense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Expense_Analysis!$E$5:$E$13</c:f>
              <c:strCache>
                <c:ptCount val="9"/>
                <c:pt idx="0">
                  <c:v>Marketing</c:v>
                </c:pt>
                <c:pt idx="1">
                  <c:v>Operations</c:v>
                </c:pt>
                <c:pt idx="2">
                  <c:v>Other</c:v>
                </c:pt>
                <c:pt idx="3">
                  <c:v>Rent</c:v>
                </c:pt>
                <c:pt idx="4">
                  <c:v>Salaries</c:v>
                </c:pt>
                <c:pt idx="5">
                  <c:v>Software</c:v>
                </c:pt>
                <c:pt idx="6">
                  <c:v>Taxes</c:v>
                </c:pt>
                <c:pt idx="7">
                  <c:v>Travel</c:v>
                </c:pt>
                <c:pt idx="8">
                  <c:v>Utilities</c:v>
                </c:pt>
              </c:strCache>
            </c:strRef>
          </c:cat>
          <c:val>
            <c:numRef>
              <c:f>Expense_Analysis!$F$5:$F$13</c:f>
              <c:numCache>
                <c:formatCode>\₹#,##0</c:formatCode>
                <c:ptCount val="9"/>
                <c:pt idx="0">
                  <c:v>1779638.0399999998</c:v>
                </c:pt>
                <c:pt idx="1">
                  <c:v>1754240.2800000005</c:v>
                </c:pt>
                <c:pt idx="2">
                  <c:v>657455.57999999984</c:v>
                </c:pt>
                <c:pt idx="3">
                  <c:v>2184651.5600000015</c:v>
                </c:pt>
                <c:pt idx="4">
                  <c:v>11074963.109999999</c:v>
                </c:pt>
                <c:pt idx="5">
                  <c:v>1760247.0099999998</c:v>
                </c:pt>
                <c:pt idx="6">
                  <c:v>659136.7999999997</c:v>
                </c:pt>
                <c:pt idx="7">
                  <c:v>1071176.3600000001</c:v>
                </c:pt>
                <c:pt idx="8">
                  <c:v>1107272.8199999998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0B5-4247-B01F-2ECA6A430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Expense (₹)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gradFill>
          <a:gsLst>
            <a:gs pos="0">
              <a:schemeClr val="accent1">
                <a:lumMod val="40000"/>
                <a:lumOff val="60000"/>
              </a:schemeClr>
            </a:gs>
            <a:gs pos="52000">
              <a:schemeClr val="accent1">
                <a:lumMod val="20000"/>
                <a:lumOff val="80000"/>
              </a:schemeClr>
            </a:gs>
            <a:gs pos="66000">
              <a:schemeClr val="accent1">
                <a:lumMod val="20000"/>
                <a:lumOff val="80000"/>
              </a:schemeClr>
            </a:gs>
          </a:gsLst>
          <a:lin ang="2700000" scaled="1"/>
        </a:gradFill>
      </c:spPr>
    </c:plotArea>
    <c:legend>
      <c:legendPos val="r"/>
      <c:overlay val="0"/>
    </c:legend>
    <c:plotVisOnly val="1"/>
    <c:dispBlanksAs val="gap"/>
    <c:showDLblsOverMax val="1"/>
  </c:chart>
  <c:spPr>
    <a:noFill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Revenue Collection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Revenue_Collections!$C$1</c:f>
              <c:strCache>
                <c:ptCount val="1"/>
                <c:pt idx="0">
                  <c:v>Collected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Revenue_Collections!$A$2:$A$25</c:f>
              <c:numCache>
                <c:formatCode>dd\-mmm\-yyyy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Revenue_Collections!$C$2:$C$25</c:f>
              <c:numCache>
                <c:formatCode>\₹#,##0;[Red]\-\₹#,##0</c:formatCode>
                <c:ptCount val="24"/>
                <c:pt idx="0">
                  <c:v>0</c:v>
                </c:pt>
                <c:pt idx="1">
                  <c:v>1498657.43</c:v>
                </c:pt>
                <c:pt idx="2">
                  <c:v>2156419.8800000004</c:v>
                </c:pt>
                <c:pt idx="3">
                  <c:v>1818535.0499999998</c:v>
                </c:pt>
                <c:pt idx="4">
                  <c:v>2217910.11</c:v>
                </c:pt>
                <c:pt idx="5">
                  <c:v>1754014.89</c:v>
                </c:pt>
                <c:pt idx="6">
                  <c:v>3112048.100000001</c:v>
                </c:pt>
                <c:pt idx="7">
                  <c:v>1617432.31</c:v>
                </c:pt>
                <c:pt idx="8">
                  <c:v>2296144.7699999996</c:v>
                </c:pt>
                <c:pt idx="9">
                  <c:v>1893766.35</c:v>
                </c:pt>
                <c:pt idx="10">
                  <c:v>2599084.3399999994</c:v>
                </c:pt>
                <c:pt idx="11">
                  <c:v>2048794.3999999994</c:v>
                </c:pt>
                <c:pt idx="12">
                  <c:v>2105588.4699999997</c:v>
                </c:pt>
                <c:pt idx="13">
                  <c:v>1952752.6400000001</c:v>
                </c:pt>
                <c:pt idx="14">
                  <c:v>2675481.7400000002</c:v>
                </c:pt>
                <c:pt idx="15">
                  <c:v>2270941.16</c:v>
                </c:pt>
                <c:pt idx="16">
                  <c:v>2877488.5999999992</c:v>
                </c:pt>
                <c:pt idx="17">
                  <c:v>2842242.9600000004</c:v>
                </c:pt>
                <c:pt idx="18">
                  <c:v>2390342.2699999996</c:v>
                </c:pt>
                <c:pt idx="19">
                  <c:v>1583687.0700000005</c:v>
                </c:pt>
                <c:pt idx="20">
                  <c:v>1564026.3800000001</c:v>
                </c:pt>
                <c:pt idx="21">
                  <c:v>1830590.9600000004</c:v>
                </c:pt>
                <c:pt idx="22">
                  <c:v>2298243.2399999998</c:v>
                </c:pt>
                <c:pt idx="23">
                  <c:v>2263449.6900000004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A18-4B1F-99D0-604A6C936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mmm\-yy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Collected Amount</a:t>
                </a:r>
              </a:p>
            </c:rich>
          </c:tx>
          <c:overlay val="1"/>
        </c:title>
        <c:numFmt formatCode="\₹#,##0" sourceLinked="0"/>
        <c:majorTickMark val="none"/>
        <c:minorTickMark val="none"/>
        <c:tickLblPos val="nextTo"/>
        <c:crossAx val="10"/>
        <c:crosses val="autoZero"/>
        <c:crossBetween val="between"/>
      </c:valAx>
      <c:spPr>
        <a:gradFill>
          <a:gsLst>
            <a:gs pos="0">
              <a:schemeClr val="accent1">
                <a:lumMod val="40000"/>
                <a:lumOff val="60000"/>
              </a:schemeClr>
            </a:gs>
            <a:gs pos="52000">
              <a:schemeClr val="accent1">
                <a:lumMod val="20000"/>
                <a:lumOff val="80000"/>
              </a:schemeClr>
            </a:gs>
            <a:gs pos="66000">
              <a:schemeClr val="accent1">
                <a:lumMod val="20000"/>
                <a:lumOff val="80000"/>
              </a:schemeClr>
            </a:gs>
          </a:gsLst>
          <a:lin ang="2700000" scaled="1"/>
        </a:gradFill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Cash Forecast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Cash_Forecast!$E$1</c:f>
              <c:strCache>
                <c:ptCount val="1"/>
                <c:pt idx="0">
                  <c:v>Base_Closing_Cash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Cash_Forecast!$A$2:$A$7</c:f>
              <c:numCache>
                <c:formatCode>dd\-mmm\-yyyy</c:formatCode>
                <c:ptCount val="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</c:numCache>
            </c:numRef>
          </c:cat>
          <c:val>
            <c:numRef>
              <c:f>Cash_Forecast!$E$2:$E$7</c:f>
              <c:numCache>
                <c:formatCode>\₹#,##0;[Red]\-\₹#,##0</c:formatCode>
                <c:ptCount val="6"/>
                <c:pt idx="0">
                  <c:v>32675228.22948036</c:v>
                </c:pt>
                <c:pt idx="1">
                  <c:v>33937317.932813689</c:v>
                </c:pt>
                <c:pt idx="2">
                  <c:v>35199407.636147022</c:v>
                </c:pt>
                <c:pt idx="3">
                  <c:v>36461497.339480363</c:v>
                </c:pt>
                <c:pt idx="4">
                  <c:v>37723587.042813689</c:v>
                </c:pt>
                <c:pt idx="5">
                  <c:v>38985676.746147022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62-4EB8-A74A-F7FA71810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mmm\-yy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Base Closing Cash</a:t>
                </a:r>
              </a:p>
            </c:rich>
          </c:tx>
          <c:overlay val="1"/>
        </c:title>
        <c:numFmt formatCode="\₹#,##0" sourceLinked="0"/>
        <c:majorTickMark val="none"/>
        <c:minorTickMark val="none"/>
        <c:tickLblPos val="nextTo"/>
        <c:crossAx val="10"/>
        <c:crosses val="autoZero"/>
        <c:crossBetween val="between"/>
      </c:valAx>
      <c:spPr>
        <a:gradFill>
          <a:gsLst>
            <a:gs pos="0">
              <a:schemeClr val="accent1">
                <a:lumMod val="40000"/>
                <a:lumOff val="60000"/>
              </a:schemeClr>
            </a:gs>
            <a:gs pos="52000">
              <a:schemeClr val="accent1">
                <a:lumMod val="20000"/>
                <a:lumOff val="80000"/>
              </a:schemeClr>
            </a:gs>
            <a:gs pos="66000">
              <a:schemeClr val="accent1">
                <a:lumMod val="20000"/>
                <a:lumOff val="80000"/>
              </a:schemeClr>
            </a:gs>
          </a:gsLst>
          <a:lin ang="2700000" scaled="1"/>
        </a:gradFill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Expense Trend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037037037037037E-2"/>
          <c:y val="5.5436507936507937E-2"/>
          <c:w val="0.73816527777777774"/>
          <c:h val="0.8891269841269841"/>
        </c:manualLayout>
      </c:layout>
      <c:lineChart>
        <c:grouping val="standard"/>
        <c:varyColors val="1"/>
        <c:ser>
          <c:idx val="0"/>
          <c:order val="0"/>
          <c:tx>
            <c:strRef>
              <c:f>Expense_Analysis!$B$4</c:f>
              <c:strCache>
                <c:ptCount val="1"/>
                <c:pt idx="0">
                  <c:v>Expense</c:v>
                </c:pt>
              </c:strCache>
            </c:strRef>
          </c:tx>
          <c:marker>
            <c:symbol val="none"/>
          </c:marker>
          <c:dPt>
            <c:idx val="0"/>
            <c:bubble3D val="0"/>
            <c:spPr>
              <a:ln w="28575" cap="rnd" cmpd="sng" algn="ctr">
                <a:solidFill>
                  <a:schemeClr val="accent1">
                    <a:tint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dPt>
          <c:dPt>
            <c:idx val="1"/>
            <c:bubble3D val="0"/>
            <c:spPr>
              <a:ln w="28575" cap="rnd" cmpd="sng" algn="ctr">
                <a:solidFill>
                  <a:schemeClr val="accent1">
                    <a:tint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dPt>
          <c:dPt>
            <c:idx val="2"/>
            <c:bubble3D val="0"/>
            <c:spPr>
              <a:ln w="28575" cap="rnd" cmpd="sng" algn="ctr">
                <a:solidFill>
                  <a:schemeClr val="accent1">
                    <a:tint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dPt>
          <c:dPt>
            <c:idx val="3"/>
            <c:bubble3D val="0"/>
            <c:spPr>
              <a:ln w="28575" cap="rnd" cmpd="sng" algn="ctr">
                <a:solidFill>
                  <a:schemeClr val="accent1">
                    <a:tint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dPt>
          <c:dPt>
            <c:idx val="4"/>
            <c:bubble3D val="0"/>
            <c:spPr>
              <a:ln w="28575" cap="rnd" cmpd="sng" algn="ctr">
                <a:solidFill>
                  <a:schemeClr val="accent1">
                    <a:tint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dPt>
          <c:dPt>
            <c:idx val="5"/>
            <c:bubble3D val="0"/>
            <c:spPr>
              <a:ln w="28575" cap="rnd" cmpd="sng" algn="ctr">
                <a:solidFill>
                  <a:schemeClr val="accent1">
                    <a:tint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dPt>
          <c:dPt>
            <c:idx val="6"/>
            <c:bubble3D val="0"/>
            <c:spPr>
              <a:ln w="28575" cap="rnd" cmpd="sng" algn="ctr">
                <a:solidFill>
                  <a:schemeClr val="accent1">
                    <a:shade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dPt>
          <c:dPt>
            <c:idx val="7"/>
            <c:bubble3D val="0"/>
            <c:spPr>
              <a:ln w="28575" cap="rnd" cmpd="sng" algn="ctr">
                <a:solidFill>
                  <a:schemeClr val="accent1">
                    <a:shade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dPt>
          <c:dPt>
            <c:idx val="8"/>
            <c:bubble3D val="0"/>
            <c:spPr>
              <a:ln w="28575" cap="rnd" cmpd="sng" algn="ctr">
                <a:solidFill>
                  <a:schemeClr val="accent1">
                    <a:shade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dPt>
          <c:dPt>
            <c:idx val="9"/>
            <c:bubble3D val="0"/>
            <c:spPr>
              <a:ln w="28575" cap="rnd" cmpd="sng" algn="ctr">
                <a:solidFill>
                  <a:schemeClr val="accent1">
                    <a:shade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dPt>
          <c:dPt>
            <c:idx val="10"/>
            <c:bubble3D val="0"/>
            <c:spPr>
              <a:ln w="28575" cap="rnd" cmpd="sng" algn="ctr">
                <a:solidFill>
                  <a:schemeClr val="accent1">
                    <a:shade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dPt>
          <c:dPt>
            <c:idx val="11"/>
            <c:bubble3D val="0"/>
            <c:spPr>
              <a:ln w="28575" cap="rnd" cmpd="sng" algn="ctr">
                <a:solidFill>
                  <a:schemeClr val="accent1">
                    <a:shade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dPt>
          <c:cat>
            <c:numRef>
              <c:f>Expense_Analysis!$A$5:$A$16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Expense_Analysis!$B$5:$B$16</c:f>
              <c:numCache>
                <c:formatCode>\₹#,##0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924314.79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9E8-4016-9A6D-4AED96335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mmm\-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Expense (₹)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gradFill flip="none" rotWithShape="1">
          <a:gsLst>
            <a:gs pos="0">
              <a:schemeClr val="accent1">
                <a:lumMod val="40000"/>
                <a:lumOff val="60000"/>
              </a:schemeClr>
            </a:gs>
            <a:gs pos="52000">
              <a:schemeClr val="accent1">
                <a:lumMod val="20000"/>
                <a:lumOff val="80000"/>
              </a:schemeClr>
            </a:gs>
            <a:gs pos="66000">
              <a:schemeClr val="accent1">
                <a:lumMod val="20000"/>
                <a:lumOff val="80000"/>
              </a:schemeClr>
            </a:gs>
          </a:gsLst>
          <a:lin ang="2700000" scaled="1"/>
          <a:tileRect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85725</xdr:colOff>
      <xdr:row>10</xdr:row>
      <xdr:rowOff>190500</xdr:rowOff>
    </xdr:from>
    <xdr:ext cx="4320000" cy="2714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28575</xdr:colOff>
      <xdr:row>10</xdr:row>
      <xdr:rowOff>180975</xdr:rowOff>
    </xdr:from>
    <xdr:ext cx="4320000" cy="27622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219075</xdr:colOff>
      <xdr:row>27</xdr:row>
      <xdr:rowOff>133350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257175</xdr:colOff>
      <xdr:row>27</xdr:row>
      <xdr:rowOff>123825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561975</xdr:colOff>
      <xdr:row>10</xdr:row>
      <xdr:rowOff>190500</xdr:rowOff>
    </xdr:from>
    <xdr:ext cx="4320000" cy="27867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</sheetPr>
  <dimension ref="A1:K31"/>
  <sheetViews>
    <sheetView showGridLines="0" tabSelected="1" workbookViewId="0">
      <selection activeCell="K20" sqref="K20"/>
    </sheetView>
  </sheetViews>
  <sheetFormatPr defaultRowHeight="15" x14ac:dyDescent="0.25"/>
  <cols>
    <col min="1" max="1" width="26.7109375" customWidth="1"/>
    <col min="2" max="2" width="14" customWidth="1"/>
    <col min="3" max="3" width="32.42578125" customWidth="1"/>
    <col min="4" max="4" width="19.42578125" customWidth="1"/>
    <col min="5" max="5" width="29.7109375" customWidth="1"/>
    <col min="6" max="6" width="19.140625" customWidth="1"/>
    <col min="7" max="7" width="29.140625" customWidth="1"/>
    <col min="8" max="8" width="22.7109375" customWidth="1"/>
    <col min="9" max="9" width="25" customWidth="1"/>
    <col min="10" max="10" width="22.140625" customWidth="1"/>
    <col min="11" max="11" width="26.5703125" customWidth="1"/>
  </cols>
  <sheetData>
    <row r="1" spans="1:11" ht="26.25" customHeight="1" x14ac:dyDescent="0.25">
      <c r="A1" s="47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1" x14ac:dyDescent="0.25">
      <c r="A2" s="44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</row>
    <row r="3" spans="1:11" ht="17.25" customHeight="1" x14ac:dyDescent="0.3">
      <c r="A3" s="46" t="s">
        <v>2</v>
      </c>
      <c r="B3" s="45"/>
      <c r="C3" s="45"/>
      <c r="D3" s="45"/>
      <c r="E3" s="45"/>
      <c r="F3" s="45"/>
      <c r="G3" s="45"/>
      <c r="H3" s="45"/>
      <c r="I3" s="40"/>
      <c r="J3" s="40"/>
      <c r="K3" s="40"/>
    </row>
    <row r="4" spans="1:11" x14ac:dyDescent="0.25">
      <c r="A4" s="63" t="s">
        <v>3516</v>
      </c>
      <c r="B4" s="57"/>
      <c r="C4" s="58" t="s">
        <v>3</v>
      </c>
      <c r="D4" s="59">
        <v>45474</v>
      </c>
      <c r="E4" s="59"/>
      <c r="F4" s="60" t="s">
        <v>4</v>
      </c>
      <c r="G4" s="59" t="s">
        <v>5</v>
      </c>
      <c r="H4" s="59"/>
      <c r="I4" s="60" t="s">
        <v>6</v>
      </c>
      <c r="J4" s="59" t="s">
        <v>7</v>
      </c>
      <c r="K4" s="59"/>
    </row>
    <row r="6" spans="1:11" ht="19.5" customHeight="1" x14ac:dyDescent="0.25">
      <c r="A6" s="54" t="s">
        <v>10</v>
      </c>
      <c r="C6" s="55" t="s">
        <v>11</v>
      </c>
      <c r="D6" s="39"/>
      <c r="E6" s="55" t="s">
        <v>12</v>
      </c>
      <c r="G6" s="54" t="s">
        <v>13</v>
      </c>
      <c r="I6" s="2" t="s">
        <v>9</v>
      </c>
      <c r="K6" s="1" t="s">
        <v>8</v>
      </c>
    </row>
    <row r="7" spans="1:11" ht="19.5" customHeight="1" x14ac:dyDescent="0.3">
      <c r="A7" s="36">
        <f>IF(D4="All Months",SUM(Clean_Expenses!$E:$E),SUMIFS(Clean_Expenses!$E:$E,Clean_Expenses!$B:$B,"&gt;="&amp;D4,Clean_Expenses!$B:$B,"&lt;"&amp;EDATE(D4,1)))</f>
        <v>924314.79</v>
      </c>
      <c r="C7" s="36">
        <f>IF(G4="All Departments",SUM(Clean_Expenses!$E:$E),SUMIFS(Clean_Expenses!$E:$E,Clean_Expenses!$C:$C,G4))</f>
        <v>22048781.55999998</v>
      </c>
      <c r="E7" s="36">
        <f>IF(J4="All Categories",SUM(Clean_Expenses!$E:$E),SUMIFS(Clean_Expenses!$E:$E,Clean_Expenses!$D:$D,J4))</f>
        <v>22048781.55999998</v>
      </c>
      <c r="G7" s="36">
        <f>IF(AND(D4="All Months",G4="All Departments",J4="All Categories"),SUM(Clean_Expenses!$E:$E),SUMIFS(Clean_Expenses!$E:$E,Clean_Expenses!$C:$C,IF(G4="All Departments","&lt;&gt;",G4),Clean_Expenses!$D:$D,IF(J4="All Categories","&lt;&gt;",J4),Clean_Expenses!$B:$B,IF(D4="All Months","&lt;&gt;","&gt;="&amp;D4)))</f>
        <v>16205859.059999971</v>
      </c>
      <c r="I7" s="26">
        <f>Revenue_Collections!E2</f>
        <v>0</v>
      </c>
      <c r="K7" s="56" cm="1">
        <f t="array" ref="K7">IF($D$4="All Months",SUM(Clean_AR_Data!$H:$H),SUMPRODUCT((Clean_AR_Data!$C$2:$C$1642&lt;=EOMONTH($D$4,0))*((Clean_AR_Data!$E$2:$E$1642="")+(Clean_AR_Data!$E$2:$E$1642&gt;EOMONTH($D$4,0))&gt;0)*(Clean_AR_Data!$F$2:$F$1642-IF((Clean_AR_Data!$E$2:$E$1642&lt;&gt;"")*(Clean_AR_Data!$E$2:$E$1642&lt;=EOMONTH($D$4,0)),Clean_AR_Data!$G$2:$G$1642,0))))</f>
        <v>7777501.1599999974</v>
      </c>
    </row>
    <row r="8" spans="1:11" x14ac:dyDescent="0.25">
      <c r="A8" s="3" t="s">
        <v>14</v>
      </c>
      <c r="D8" s="53" t="s">
        <v>15</v>
      </c>
      <c r="F8" s="1" t="s">
        <v>16</v>
      </c>
      <c r="H8" s="4" t="s">
        <v>17</v>
      </c>
      <c r="J8" s="43" t="s">
        <v>18</v>
      </c>
    </row>
    <row r="10" spans="1:11" ht="19.5" customHeight="1" x14ac:dyDescent="0.3">
      <c r="A10" s="49">
        <f ca="1">IF($D$4="All Months",SUMPRODUCT((Clean_AR_Data!$D$2:$D$1642&lt;TODAY())*((Clean_AR_Data!$E$2:$E$1642="")+(Clean_AR_Data!$E$2:$E$1642&gt;TODAY())&gt;0)*(Clean_AR_Data!$F$2:$F$1642-IF((Clean_AR_Data!$E$2:$E$1642&lt;&gt;"")*(Clean_AR_Data!$E$2:$E$1642&lt;=TODAY()),Clean_AR_Data!$G$2:$G$1642,0))),SUMPRODUCT((Clean_AR_Data!$C$2:$C$1642&lt;=EOMONTH($D$4,0))*(Clean_AR_Data!$D$2:$D$1642&lt;=EOMONTH($D$4,0))*((Clean_AR_Data!$E$2:$E$1642="")+(Clean_AR_Data!$E$2:$E$1642&gt;EOMONTH($D$4,0))&gt;0)*(Clean_AR_Data!$F$2:$F$1642-IF((Clean_AR_Data!$E$2:$E$1642&lt;&gt;"")*(Clean_AR_Data!$E$2:$E$1642&lt;=EOMONTH($D$4,0)),Clean_AR_Data!$G$2:$G$1642,0))))</f>
        <v>4759299.7800000012</v>
      </c>
      <c r="D10" s="50">
        <f>IF($D$4="All Months",KPI_Summary!$B$2,IFERROR(#REF!/SUMIFS(Revenue_Collections!$B:$B,Revenue_Collections!$A:$A,$D$4)*DAY(EOMONTH($D$4,0)),0))</f>
        <v>0</v>
      </c>
      <c r="F10" s="51">
        <f ca="1">IF($D$4="All Months",KPI_Summary!$B$11,MIN(100,ROUND((IF($D$10&gt;90,40,IF($D$10&gt;60,30,IF($D$10&gt;45,20,IF($D$10&gt;30,10,0)))))+(IFERROR(IF($A$10/#REF!&gt;50%,35,IF($A$10/#REF!&gt;30%,25,IF($A$10/#REF!&gt;15%,15,IF($A$10/#REF!&gt;5%,8,0)))),0))+(IFERROR(IF(SUMIFS(Revenue_Collections!$E:$E,Revenue_Collections!$A:$A,$D$4)&lt;50%,25,IF(SUMIFS(Revenue_Collections!$E:$E,Revenue_Collections!$A:$A,$D$4)&lt;70%,18,IF(SUMIFS(Revenue_Collections!$E:$E,Revenue_Collections!$A:$A,$D$4)&lt;85%,10,0))),0)),0)))</f>
        <v>0</v>
      </c>
      <c r="H10" s="52" t="str">
        <f ca="1">IF($F$10&gt;=70,"High",IF($F$10&gt;=40,"Medium","Low"))</f>
        <v>Low</v>
      </c>
      <c r="J10" s="42">
        <f>Revenue_Collections!C3</f>
        <v>1498657.43</v>
      </c>
    </row>
    <row r="11" spans="1:11" ht="15.75" customHeight="1" x14ac:dyDescent="0.25">
      <c r="J11" s="41"/>
    </row>
    <row r="12" spans="1:11" ht="17.25" customHeight="1" x14ac:dyDescent="0.3">
      <c r="A12" s="5"/>
      <c r="F12" s="5"/>
    </row>
    <row r="13" spans="1:11" x14ac:dyDescent="0.25">
      <c r="A13" s="37"/>
      <c r="B13" s="38"/>
      <c r="C13" s="38"/>
      <c r="D13" s="38"/>
      <c r="F13" s="38"/>
      <c r="G13" s="38"/>
      <c r="H13" s="38"/>
    </row>
    <row r="14" spans="1:11" x14ac:dyDescent="0.25">
      <c r="A14" s="6"/>
      <c r="B14" s="7"/>
      <c r="C14" s="7"/>
      <c r="D14" s="7"/>
      <c r="F14" s="6"/>
      <c r="G14" s="7"/>
      <c r="H14" s="7"/>
    </row>
    <row r="15" spans="1:11" ht="15.75" customHeight="1" x14ac:dyDescent="0.25">
      <c r="A15" s="6"/>
      <c r="B15" s="7"/>
      <c r="C15" s="7"/>
      <c r="D15" s="7"/>
      <c r="F15" s="6"/>
      <c r="G15" s="7"/>
    </row>
    <row r="16" spans="1:11" x14ac:dyDescent="0.25">
      <c r="A16" s="6"/>
      <c r="B16" s="7"/>
      <c r="C16" s="7"/>
      <c r="D16" s="7"/>
      <c r="F16" s="6"/>
      <c r="G16" s="7"/>
      <c r="H16" s="7"/>
    </row>
    <row r="17" spans="1:8" x14ac:dyDescent="0.25">
      <c r="A17" s="6"/>
      <c r="B17" s="7"/>
      <c r="C17" s="7"/>
      <c r="D17" s="7"/>
      <c r="F17" s="6"/>
      <c r="G17" s="7"/>
      <c r="H17" s="7"/>
    </row>
    <row r="18" spans="1:8" x14ac:dyDescent="0.25">
      <c r="A18" s="6"/>
      <c r="B18" s="7"/>
      <c r="C18" s="7"/>
      <c r="D18" s="7"/>
      <c r="F18" s="6"/>
      <c r="G18" s="7"/>
      <c r="H18" s="7"/>
    </row>
    <row r="19" spans="1:8" x14ac:dyDescent="0.25">
      <c r="A19" s="6"/>
      <c r="B19" s="7"/>
      <c r="C19" s="7"/>
      <c r="D19" s="7"/>
      <c r="F19" s="6"/>
      <c r="G19" s="7"/>
      <c r="H19" s="7"/>
    </row>
    <row r="20" spans="1:8" x14ac:dyDescent="0.25">
      <c r="A20" s="6"/>
      <c r="B20" s="7"/>
      <c r="C20" s="7"/>
      <c r="D20" s="7"/>
    </row>
    <row r="21" spans="1:8" x14ac:dyDescent="0.25">
      <c r="A21" s="6"/>
      <c r="B21" s="7"/>
      <c r="C21" s="7"/>
      <c r="D21" s="7"/>
    </row>
    <row r="22" spans="1:8" x14ac:dyDescent="0.25">
      <c r="A22" s="6"/>
      <c r="B22" s="7"/>
      <c r="C22" s="7"/>
      <c r="D22" s="7"/>
    </row>
    <row r="23" spans="1:8" x14ac:dyDescent="0.25">
      <c r="A23" s="6"/>
      <c r="B23" s="7"/>
      <c r="C23" s="7"/>
      <c r="D23" s="7"/>
    </row>
    <row r="24" spans="1:8" x14ac:dyDescent="0.25">
      <c r="A24" s="6"/>
      <c r="B24" s="7"/>
      <c r="C24" s="7"/>
      <c r="D24" s="7"/>
    </row>
    <row r="25" spans="1:8" x14ac:dyDescent="0.25">
      <c r="A25" s="6"/>
      <c r="B25" s="7"/>
      <c r="C25" s="7"/>
      <c r="D25" s="7"/>
      <c r="G25" s="62"/>
    </row>
    <row r="27" spans="1:8" ht="15.75" x14ac:dyDescent="0.25">
      <c r="A27" s="61" t="s">
        <v>19</v>
      </c>
      <c r="F27" s="61" t="s">
        <v>20</v>
      </c>
    </row>
    <row r="31" spans="1:8" ht="15.75" customHeight="1" x14ac:dyDescent="0.25"/>
  </sheetData>
  <mergeCells count="6">
    <mergeCell ref="A2:K2"/>
    <mergeCell ref="A3:H3"/>
    <mergeCell ref="A1:K1"/>
    <mergeCell ref="J4:K4"/>
    <mergeCell ref="G4:H4"/>
    <mergeCell ref="D4:E4"/>
  </mergeCells>
  <conditionalFormatting sqref="H10">
    <cfRule type="cellIs" dxfId="2" priority="1" operator="equal">
      <formula>"High"</formula>
    </cfRule>
    <cfRule type="cellIs" dxfId="1" priority="2" operator="equal">
      <formula>"Medium"</formula>
    </cfRule>
    <cfRule type="cellIs" dxfId="0" priority="3" operator="equal">
      <formula>"Low"</formula>
    </cfRule>
  </conditionalFormatting>
  <dataValidations count="3">
    <dataValidation type="list" showInputMessage="1" showErrorMessage="1" errorTitle="Invalid Selection" error="Please select a value from the dropdown list." promptTitle="Dashboard Filter" prompt="Select a month or All Months" sqref="D4" xr:uid="{00000000-0002-0000-0000-000000000000}">
      <formula1>Dashboard_Months</formula1>
    </dataValidation>
    <dataValidation type="list" showInputMessage="1" showErrorMessage="1" errorTitle="Invalid Selection" error="Please select a value from the dropdown list." promptTitle="Dashboard Filter" prompt="Select a department or All Departments" sqref="G4" xr:uid="{00000000-0002-0000-0000-000001000000}">
      <formula1>Dashboard_Departments</formula1>
    </dataValidation>
    <dataValidation type="list" showInputMessage="1" showErrorMessage="1" errorTitle="Invalid Selection" error="Please select a value from the dropdown list." promptTitle="Dashboard Filter" prompt="Select a category or All Categories" sqref="J4" xr:uid="{00000000-0002-0000-0000-000002000000}">
      <formula1>Dashboard_Categories</formula1>
    </dataValidation>
  </dataValidations>
  <pageMargins left="0.75" right="0.75" top="1" bottom="1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79998168889431442"/>
  </sheetPr>
  <dimension ref="A1:D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18" customWidth="1"/>
    <col min="3" max="4" width="45" customWidth="1"/>
  </cols>
  <sheetData>
    <row r="1" spans="1:4" x14ac:dyDescent="0.25">
      <c r="A1" s="8" t="s">
        <v>21</v>
      </c>
      <c r="B1" s="8" t="s">
        <v>22</v>
      </c>
      <c r="C1" s="8" t="s">
        <v>23</v>
      </c>
      <c r="D1" s="8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4" x14ac:dyDescent="0.25">
      <c r="A3" t="s">
        <v>29</v>
      </c>
      <c r="B3" t="s">
        <v>26</v>
      </c>
      <c r="C3" t="s">
        <v>30</v>
      </c>
      <c r="D3" t="s">
        <v>31</v>
      </c>
    </row>
    <row r="4" spans="1:4" x14ac:dyDescent="0.25">
      <c r="A4" t="s">
        <v>32</v>
      </c>
      <c r="B4" t="s">
        <v>33</v>
      </c>
      <c r="C4" t="s">
        <v>34</v>
      </c>
      <c r="D4" t="s">
        <v>35</v>
      </c>
    </row>
    <row r="5" spans="1:4" x14ac:dyDescent="0.25">
      <c r="A5" t="s">
        <v>36</v>
      </c>
      <c r="B5" t="s">
        <v>33</v>
      </c>
      <c r="C5" t="s">
        <v>37</v>
      </c>
      <c r="D5" t="s">
        <v>38</v>
      </c>
    </row>
    <row r="6" spans="1:4" x14ac:dyDescent="0.25">
      <c r="A6" t="s">
        <v>39</v>
      </c>
      <c r="B6" t="s">
        <v>40</v>
      </c>
      <c r="C6" t="s">
        <v>41</v>
      </c>
      <c r="D6" t="s">
        <v>42</v>
      </c>
    </row>
    <row r="7" spans="1:4" x14ac:dyDescent="0.25">
      <c r="A7" t="s">
        <v>43</v>
      </c>
      <c r="B7" t="s">
        <v>40</v>
      </c>
      <c r="C7" t="s">
        <v>44</v>
      </c>
      <c r="D7" t="s">
        <v>45</v>
      </c>
    </row>
    <row r="8" spans="1:4" x14ac:dyDescent="0.25">
      <c r="A8" t="s">
        <v>46</v>
      </c>
      <c r="B8" t="s">
        <v>33</v>
      </c>
      <c r="C8" t="s">
        <v>47</v>
      </c>
      <c r="D8" t="s">
        <v>48</v>
      </c>
    </row>
    <row r="9" spans="1:4" x14ac:dyDescent="0.25">
      <c r="A9" t="s">
        <v>49</v>
      </c>
      <c r="B9" t="s">
        <v>33</v>
      </c>
      <c r="C9" t="s">
        <v>50</v>
      </c>
      <c r="D9" t="s">
        <v>51</v>
      </c>
    </row>
    <row r="10" spans="1:4" x14ac:dyDescent="0.25">
      <c r="A10" t="s">
        <v>52</v>
      </c>
      <c r="B10" t="s">
        <v>33</v>
      </c>
      <c r="C10" t="s">
        <v>53</v>
      </c>
      <c r="D10" t="s">
        <v>35</v>
      </c>
    </row>
    <row r="11" spans="1:4" x14ac:dyDescent="0.25">
      <c r="A11" t="s">
        <v>54</v>
      </c>
      <c r="B11" t="s">
        <v>33</v>
      </c>
      <c r="C11" t="s">
        <v>55</v>
      </c>
      <c r="D11" t="s">
        <v>35</v>
      </c>
    </row>
    <row r="12" spans="1:4" x14ac:dyDescent="0.25">
      <c r="A12" t="s">
        <v>56</v>
      </c>
      <c r="B12" t="s">
        <v>33</v>
      </c>
      <c r="C12" t="s">
        <v>57</v>
      </c>
      <c r="D12" t="s">
        <v>58</v>
      </c>
    </row>
    <row r="13" spans="1:4" x14ac:dyDescent="0.25">
      <c r="A13" t="s">
        <v>59</v>
      </c>
      <c r="B13" t="s">
        <v>60</v>
      </c>
      <c r="C13" t="s">
        <v>61</v>
      </c>
      <c r="D13" t="s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79998168889431442"/>
  </sheetPr>
  <dimension ref="A1:N1642"/>
  <sheetViews>
    <sheetView showGridLines="0" workbookViewId="0">
      <pane ySplit="1" topLeftCell="A6" activePane="bottomLeft" state="frozen"/>
      <selection activeCell="D4" sqref="D4"/>
      <selection pane="bottomLeft" activeCell="C37" sqref="C37:D39"/>
    </sheetView>
  </sheetViews>
  <sheetFormatPr defaultRowHeight="15" x14ac:dyDescent="0.25"/>
  <cols>
    <col min="1" max="1" width="26.7109375" customWidth="1"/>
    <col min="2" max="2" width="13" customWidth="1"/>
    <col min="3" max="3" width="25" customWidth="1"/>
    <col min="4" max="4" width="19.42578125" customWidth="1"/>
    <col min="5" max="5" width="26.85546875" customWidth="1"/>
    <col min="6" max="6" width="19.140625" customWidth="1"/>
    <col min="7" max="7" width="29.140625" customWidth="1"/>
    <col min="8" max="8" width="20" customWidth="1"/>
    <col min="9" max="9" width="6.42578125" customWidth="1"/>
    <col min="10" max="10" width="25" customWidth="1"/>
    <col min="11" max="11" width="11" customWidth="1"/>
    <col min="12" max="12" width="12" customWidth="1"/>
    <col min="13" max="14" width="21" customWidth="1"/>
  </cols>
  <sheetData>
    <row r="1" spans="1:14" ht="30" customHeight="1" x14ac:dyDescent="0.25">
      <c r="A1" s="9" t="s">
        <v>25</v>
      </c>
      <c r="B1" s="9" t="s">
        <v>29</v>
      </c>
      <c r="C1" s="9" t="s">
        <v>63</v>
      </c>
      <c r="D1" s="9" t="s">
        <v>39</v>
      </c>
      <c r="E1" s="9" t="s">
        <v>43</v>
      </c>
      <c r="F1" s="9" t="s">
        <v>32</v>
      </c>
      <c r="G1" s="9" t="s">
        <v>36</v>
      </c>
      <c r="H1" s="9" t="s">
        <v>46</v>
      </c>
      <c r="I1" s="9" t="s">
        <v>49</v>
      </c>
      <c r="J1" s="9" t="s">
        <v>64</v>
      </c>
      <c r="K1" s="9" t="s">
        <v>65</v>
      </c>
      <c r="L1" s="9" t="s">
        <v>66</v>
      </c>
      <c r="M1" s="9" t="s">
        <v>67</v>
      </c>
      <c r="N1" s="9" t="s">
        <v>68</v>
      </c>
    </row>
    <row r="2" spans="1:14" x14ac:dyDescent="0.25">
      <c r="A2" s="10" t="s">
        <v>69</v>
      </c>
      <c r="B2" s="10" t="s">
        <v>70</v>
      </c>
      <c r="C2" s="11">
        <v>45301</v>
      </c>
      <c r="D2" s="11">
        <v>45331</v>
      </c>
      <c r="E2" s="11">
        <v>45331</v>
      </c>
      <c r="F2" s="12">
        <v>41621.69</v>
      </c>
      <c r="G2" s="12">
        <v>41621.69</v>
      </c>
      <c r="H2" s="12">
        <f t="shared" ref="H2:H65" si="0">MAX(0,F2-G2)</f>
        <v>0</v>
      </c>
      <c r="I2" s="10">
        <f t="shared" ref="I2:I65" si="1">IF(E2="","",MAX(0,E2-D2))</f>
        <v>0</v>
      </c>
      <c r="J2" s="10" t="str">
        <f t="shared" ref="J2:J65" ca="1" si="2">IF(H2=0,"Paid",IF(D2&lt;TODAY(),"Overdue","Open"))</f>
        <v>Paid</v>
      </c>
      <c r="K2" s="10">
        <f t="shared" ref="K2:K65" ca="1" si="3">IF(H2=0,0,MAX(0,TODAY()-D2))</f>
        <v>0</v>
      </c>
      <c r="L2" s="10" t="str">
        <f t="shared" ref="L2:L65" si="4">IF(H2=0,"Paid",IF(K2&lt;=30,"0-30 Days",IF(K2&lt;=60,"31-60 Days",IF(K2&lt;=90,"61-90 Days",IF(K2&lt;=120,"91-120 Days","120+ Days")))))</f>
        <v>Paid</v>
      </c>
      <c r="M2" s="11">
        <v>45292</v>
      </c>
      <c r="N2" s="11">
        <v>45323</v>
      </c>
    </row>
    <row r="3" spans="1:14" x14ac:dyDescent="0.25">
      <c r="A3" s="13" t="s">
        <v>71</v>
      </c>
      <c r="B3" s="13" t="s">
        <v>72</v>
      </c>
      <c r="C3" s="14">
        <v>45314</v>
      </c>
      <c r="D3" s="14">
        <v>45344</v>
      </c>
      <c r="E3" s="14"/>
      <c r="F3" s="15">
        <v>15198.08</v>
      </c>
      <c r="G3" s="15">
        <v>0</v>
      </c>
      <c r="H3" s="15">
        <f t="shared" si="0"/>
        <v>15198.08</v>
      </c>
      <c r="I3" s="13" t="str">
        <f t="shared" si="1"/>
        <v/>
      </c>
      <c r="J3" s="13" t="str">
        <f t="shared" ca="1" si="2"/>
        <v>Overdue</v>
      </c>
      <c r="K3" s="13">
        <f t="shared" ca="1" si="3"/>
        <v>912</v>
      </c>
      <c r="L3" s="13" t="str">
        <f t="shared" ca="1" si="4"/>
        <v>120+ Days</v>
      </c>
      <c r="M3" s="14">
        <v>45292</v>
      </c>
      <c r="N3" s="14"/>
    </row>
    <row r="4" spans="1:14" x14ac:dyDescent="0.25">
      <c r="A4" s="10" t="s">
        <v>73</v>
      </c>
      <c r="B4" s="10" t="s">
        <v>74</v>
      </c>
      <c r="C4" s="11">
        <v>45295</v>
      </c>
      <c r="D4" s="11">
        <v>45325</v>
      </c>
      <c r="E4" s="11">
        <v>45333</v>
      </c>
      <c r="F4" s="12">
        <v>44550.46</v>
      </c>
      <c r="G4" s="12">
        <v>44550.46</v>
      </c>
      <c r="H4" s="12">
        <f t="shared" si="0"/>
        <v>0</v>
      </c>
      <c r="I4" s="10">
        <f t="shared" si="1"/>
        <v>8</v>
      </c>
      <c r="J4" s="10" t="str">
        <f t="shared" ca="1" si="2"/>
        <v>Paid</v>
      </c>
      <c r="K4" s="10">
        <f t="shared" ca="1" si="3"/>
        <v>0</v>
      </c>
      <c r="L4" s="10" t="str">
        <f t="shared" si="4"/>
        <v>Paid</v>
      </c>
      <c r="M4" s="11">
        <v>45292</v>
      </c>
      <c r="N4" s="11">
        <v>45323</v>
      </c>
    </row>
    <row r="5" spans="1:14" x14ac:dyDescent="0.25">
      <c r="A5" s="13" t="s">
        <v>75</v>
      </c>
      <c r="B5" s="13" t="s">
        <v>76</v>
      </c>
      <c r="C5" s="14">
        <v>45299</v>
      </c>
      <c r="D5" s="14">
        <v>45329</v>
      </c>
      <c r="E5" s="14"/>
      <c r="F5" s="15">
        <v>65545.95</v>
      </c>
      <c r="G5" s="15">
        <v>0</v>
      </c>
      <c r="H5" s="15">
        <f t="shared" si="0"/>
        <v>65545.95</v>
      </c>
      <c r="I5" s="13" t="str">
        <f t="shared" si="1"/>
        <v/>
      </c>
      <c r="J5" s="13" t="str">
        <f t="shared" ca="1" si="2"/>
        <v>Overdue</v>
      </c>
      <c r="K5" s="13">
        <f t="shared" ca="1" si="3"/>
        <v>927</v>
      </c>
      <c r="L5" s="13" t="str">
        <f t="shared" ca="1" si="4"/>
        <v>120+ Days</v>
      </c>
      <c r="M5" s="14">
        <v>45292</v>
      </c>
      <c r="N5" s="14"/>
    </row>
    <row r="6" spans="1:14" x14ac:dyDescent="0.25">
      <c r="A6" s="10" t="s">
        <v>77</v>
      </c>
      <c r="B6" s="10" t="s">
        <v>72</v>
      </c>
      <c r="C6" s="11">
        <v>45318</v>
      </c>
      <c r="D6" s="11">
        <v>45348</v>
      </c>
      <c r="E6" s="11"/>
      <c r="F6" s="12">
        <v>22453.14</v>
      </c>
      <c r="G6" s="12">
        <v>0</v>
      </c>
      <c r="H6" s="12">
        <f t="shared" si="0"/>
        <v>22453.14</v>
      </c>
      <c r="I6" s="10" t="str">
        <f t="shared" si="1"/>
        <v/>
      </c>
      <c r="J6" s="10" t="str">
        <f t="shared" ca="1" si="2"/>
        <v>Overdue</v>
      </c>
      <c r="K6" s="10">
        <f t="shared" ca="1" si="3"/>
        <v>908</v>
      </c>
      <c r="L6" s="10" t="str">
        <f t="shared" ca="1" si="4"/>
        <v>120+ Days</v>
      </c>
      <c r="M6" s="11">
        <v>45292</v>
      </c>
      <c r="N6" s="11"/>
    </row>
    <row r="7" spans="1:14" x14ac:dyDescent="0.25">
      <c r="A7" s="13" t="s">
        <v>78</v>
      </c>
      <c r="B7" s="13" t="s">
        <v>79</v>
      </c>
      <c r="C7" s="14">
        <v>45298</v>
      </c>
      <c r="D7" s="14">
        <v>45328</v>
      </c>
      <c r="E7" s="14"/>
      <c r="F7" s="15">
        <v>123088.43</v>
      </c>
      <c r="G7" s="15">
        <v>0</v>
      </c>
      <c r="H7" s="15">
        <f t="shared" si="0"/>
        <v>123088.43</v>
      </c>
      <c r="I7" s="13" t="str">
        <f t="shared" si="1"/>
        <v/>
      </c>
      <c r="J7" s="13" t="str">
        <f t="shared" ca="1" si="2"/>
        <v>Overdue</v>
      </c>
      <c r="K7" s="13">
        <f t="shared" ca="1" si="3"/>
        <v>928</v>
      </c>
      <c r="L7" s="13" t="str">
        <f t="shared" ca="1" si="4"/>
        <v>120+ Days</v>
      </c>
      <c r="M7" s="14">
        <v>45292</v>
      </c>
      <c r="N7" s="14"/>
    </row>
    <row r="8" spans="1:14" x14ac:dyDescent="0.25">
      <c r="A8" s="10" t="s">
        <v>80</v>
      </c>
      <c r="B8" s="10" t="s">
        <v>81</v>
      </c>
      <c r="C8" s="11">
        <v>45304</v>
      </c>
      <c r="D8" s="11">
        <v>45334</v>
      </c>
      <c r="E8" s="11"/>
      <c r="F8" s="12">
        <v>23234.42</v>
      </c>
      <c r="G8" s="12">
        <v>0</v>
      </c>
      <c r="H8" s="12">
        <f t="shared" si="0"/>
        <v>23234.42</v>
      </c>
      <c r="I8" s="10" t="str">
        <f t="shared" si="1"/>
        <v/>
      </c>
      <c r="J8" s="10" t="str">
        <f t="shared" ca="1" si="2"/>
        <v>Overdue</v>
      </c>
      <c r="K8" s="10">
        <f t="shared" ca="1" si="3"/>
        <v>922</v>
      </c>
      <c r="L8" s="10" t="str">
        <f t="shared" ca="1" si="4"/>
        <v>120+ Days</v>
      </c>
      <c r="M8" s="11">
        <v>45292</v>
      </c>
      <c r="N8" s="11"/>
    </row>
    <row r="9" spans="1:14" x14ac:dyDescent="0.25">
      <c r="A9" s="13" t="s">
        <v>82</v>
      </c>
      <c r="B9" s="13" t="s">
        <v>83</v>
      </c>
      <c r="C9" s="14">
        <v>45313</v>
      </c>
      <c r="D9" s="14">
        <v>45343</v>
      </c>
      <c r="E9" s="14">
        <v>45349</v>
      </c>
      <c r="F9" s="15">
        <v>47179.89</v>
      </c>
      <c r="G9" s="15">
        <v>47179.89</v>
      </c>
      <c r="H9" s="15">
        <f t="shared" si="0"/>
        <v>0</v>
      </c>
      <c r="I9" s="13">
        <f t="shared" si="1"/>
        <v>6</v>
      </c>
      <c r="J9" s="13" t="str">
        <f t="shared" ca="1" si="2"/>
        <v>Paid</v>
      </c>
      <c r="K9" s="13">
        <f t="shared" ca="1" si="3"/>
        <v>0</v>
      </c>
      <c r="L9" s="13" t="str">
        <f t="shared" si="4"/>
        <v>Paid</v>
      </c>
      <c r="M9" s="14">
        <v>45292</v>
      </c>
      <c r="N9" s="14">
        <v>45323</v>
      </c>
    </row>
    <row r="10" spans="1:14" x14ac:dyDescent="0.25">
      <c r="A10" s="10" t="s">
        <v>84</v>
      </c>
      <c r="B10" s="10" t="s">
        <v>85</v>
      </c>
      <c r="C10" s="11">
        <v>45318</v>
      </c>
      <c r="D10" s="11">
        <v>45348</v>
      </c>
      <c r="E10" s="11">
        <v>45357</v>
      </c>
      <c r="F10" s="12">
        <v>48792.88</v>
      </c>
      <c r="G10" s="12">
        <v>48792.88</v>
      </c>
      <c r="H10" s="12">
        <f t="shared" si="0"/>
        <v>0</v>
      </c>
      <c r="I10" s="10">
        <f t="shared" si="1"/>
        <v>9</v>
      </c>
      <c r="J10" s="10" t="str">
        <f t="shared" ca="1" si="2"/>
        <v>Paid</v>
      </c>
      <c r="K10" s="10">
        <f t="shared" ca="1" si="3"/>
        <v>0</v>
      </c>
      <c r="L10" s="10" t="str">
        <f t="shared" si="4"/>
        <v>Paid</v>
      </c>
      <c r="M10" s="11">
        <v>45292</v>
      </c>
      <c r="N10" s="11">
        <v>45352</v>
      </c>
    </row>
    <row r="11" spans="1:14" x14ac:dyDescent="0.25">
      <c r="A11" s="13" t="s">
        <v>86</v>
      </c>
      <c r="B11" s="13" t="s">
        <v>87</v>
      </c>
      <c r="C11" s="14">
        <v>45317</v>
      </c>
      <c r="D11" s="14">
        <v>45347</v>
      </c>
      <c r="E11" s="14"/>
      <c r="F11" s="15">
        <v>18904.099999999999</v>
      </c>
      <c r="G11" s="15">
        <v>0</v>
      </c>
      <c r="H11" s="15">
        <f t="shared" si="0"/>
        <v>18904.099999999999</v>
      </c>
      <c r="I11" s="13" t="str">
        <f t="shared" si="1"/>
        <v/>
      </c>
      <c r="J11" s="13" t="str">
        <f t="shared" ca="1" si="2"/>
        <v>Overdue</v>
      </c>
      <c r="K11" s="13">
        <f t="shared" ca="1" si="3"/>
        <v>909</v>
      </c>
      <c r="L11" s="13" t="str">
        <f t="shared" ca="1" si="4"/>
        <v>120+ Days</v>
      </c>
      <c r="M11" s="14">
        <v>45292</v>
      </c>
      <c r="N11" s="14"/>
    </row>
    <row r="12" spans="1:14" x14ac:dyDescent="0.25">
      <c r="A12" s="10" t="s">
        <v>88</v>
      </c>
      <c r="B12" s="10" t="s">
        <v>89</v>
      </c>
      <c r="C12" s="11">
        <v>45294</v>
      </c>
      <c r="D12" s="11">
        <v>45324</v>
      </c>
      <c r="E12" s="11"/>
      <c r="F12" s="12">
        <v>41689.120000000003</v>
      </c>
      <c r="G12" s="12">
        <v>0</v>
      </c>
      <c r="H12" s="12">
        <f t="shared" si="0"/>
        <v>41689.120000000003</v>
      </c>
      <c r="I12" s="10" t="str">
        <f t="shared" si="1"/>
        <v/>
      </c>
      <c r="J12" s="10" t="str">
        <f t="shared" ca="1" si="2"/>
        <v>Overdue</v>
      </c>
      <c r="K12" s="10">
        <f t="shared" ca="1" si="3"/>
        <v>932</v>
      </c>
      <c r="L12" s="10" t="str">
        <f t="shared" ca="1" si="4"/>
        <v>120+ Days</v>
      </c>
      <c r="M12" s="11">
        <v>45292</v>
      </c>
      <c r="N12" s="11"/>
    </row>
    <row r="13" spans="1:14" x14ac:dyDescent="0.25">
      <c r="A13" s="13" t="s">
        <v>90</v>
      </c>
      <c r="B13" s="13" t="s">
        <v>91</v>
      </c>
      <c r="C13" s="14">
        <v>45312</v>
      </c>
      <c r="D13" s="14">
        <v>45342</v>
      </c>
      <c r="E13" s="14">
        <v>45410</v>
      </c>
      <c r="F13" s="15">
        <v>44676.57</v>
      </c>
      <c r="G13" s="15">
        <v>44676.57</v>
      </c>
      <c r="H13" s="15">
        <f t="shared" si="0"/>
        <v>0</v>
      </c>
      <c r="I13" s="13">
        <f t="shared" si="1"/>
        <v>68</v>
      </c>
      <c r="J13" s="13" t="str">
        <f t="shared" ca="1" si="2"/>
        <v>Paid</v>
      </c>
      <c r="K13" s="13">
        <f t="shared" ca="1" si="3"/>
        <v>0</v>
      </c>
      <c r="L13" s="13" t="str">
        <f t="shared" si="4"/>
        <v>Paid</v>
      </c>
      <c r="M13" s="14">
        <v>45292</v>
      </c>
      <c r="N13" s="14">
        <v>45383</v>
      </c>
    </row>
    <row r="14" spans="1:14" x14ac:dyDescent="0.25">
      <c r="A14" s="10" t="s">
        <v>92</v>
      </c>
      <c r="B14" s="10" t="s">
        <v>93</v>
      </c>
      <c r="C14" s="11">
        <v>45301</v>
      </c>
      <c r="D14" s="11">
        <v>45331</v>
      </c>
      <c r="E14" s="11">
        <v>45382</v>
      </c>
      <c r="F14" s="12">
        <v>70154.75</v>
      </c>
      <c r="G14" s="12">
        <v>70154.75</v>
      </c>
      <c r="H14" s="12">
        <f t="shared" si="0"/>
        <v>0</v>
      </c>
      <c r="I14" s="10">
        <f t="shared" si="1"/>
        <v>51</v>
      </c>
      <c r="J14" s="10" t="str">
        <f t="shared" ca="1" si="2"/>
        <v>Paid</v>
      </c>
      <c r="K14" s="10">
        <f t="shared" ca="1" si="3"/>
        <v>0</v>
      </c>
      <c r="L14" s="10" t="str">
        <f t="shared" si="4"/>
        <v>Paid</v>
      </c>
      <c r="M14" s="11">
        <v>45292</v>
      </c>
      <c r="N14" s="11">
        <v>45352</v>
      </c>
    </row>
    <row r="15" spans="1:14" x14ac:dyDescent="0.25">
      <c r="A15" s="13" t="s">
        <v>94</v>
      </c>
      <c r="B15" s="13" t="s">
        <v>95</v>
      </c>
      <c r="C15" s="14">
        <v>45309</v>
      </c>
      <c r="D15" s="14">
        <v>45339</v>
      </c>
      <c r="E15" s="14"/>
      <c r="F15" s="15">
        <v>42225.47</v>
      </c>
      <c r="G15" s="15">
        <v>0</v>
      </c>
      <c r="H15" s="15">
        <f t="shared" si="0"/>
        <v>42225.47</v>
      </c>
      <c r="I15" s="13" t="str">
        <f t="shared" si="1"/>
        <v/>
      </c>
      <c r="J15" s="13" t="str">
        <f t="shared" ca="1" si="2"/>
        <v>Overdue</v>
      </c>
      <c r="K15" s="13">
        <f t="shared" ca="1" si="3"/>
        <v>917</v>
      </c>
      <c r="L15" s="13" t="str">
        <f t="shared" ca="1" si="4"/>
        <v>120+ Days</v>
      </c>
      <c r="M15" s="14">
        <v>45292</v>
      </c>
      <c r="N15" s="14"/>
    </row>
    <row r="16" spans="1:14" x14ac:dyDescent="0.25">
      <c r="A16" s="10" t="s">
        <v>96</v>
      </c>
      <c r="B16" s="10" t="s">
        <v>97</v>
      </c>
      <c r="C16" s="11">
        <v>45317</v>
      </c>
      <c r="D16" s="11">
        <v>45347</v>
      </c>
      <c r="E16" s="11">
        <v>45351</v>
      </c>
      <c r="F16" s="12">
        <v>94656.55</v>
      </c>
      <c r="G16" s="12">
        <v>94656.55</v>
      </c>
      <c r="H16" s="12">
        <f t="shared" si="0"/>
        <v>0</v>
      </c>
      <c r="I16" s="10">
        <f t="shared" si="1"/>
        <v>4</v>
      </c>
      <c r="J16" s="10" t="str">
        <f t="shared" ca="1" si="2"/>
        <v>Paid</v>
      </c>
      <c r="K16" s="10">
        <f t="shared" ca="1" si="3"/>
        <v>0</v>
      </c>
      <c r="L16" s="10" t="str">
        <f t="shared" si="4"/>
        <v>Paid</v>
      </c>
      <c r="M16" s="11">
        <v>45292</v>
      </c>
      <c r="N16" s="11">
        <v>45323</v>
      </c>
    </row>
    <row r="17" spans="1:14" x14ac:dyDescent="0.25">
      <c r="A17" s="13" t="s">
        <v>98</v>
      </c>
      <c r="B17" s="13" t="s">
        <v>99</v>
      </c>
      <c r="C17" s="14">
        <v>45298</v>
      </c>
      <c r="D17" s="14">
        <v>45328</v>
      </c>
      <c r="E17" s="14">
        <v>45328</v>
      </c>
      <c r="F17" s="15">
        <v>30922.74</v>
      </c>
      <c r="G17" s="15">
        <v>30922.74</v>
      </c>
      <c r="H17" s="15">
        <f t="shared" si="0"/>
        <v>0</v>
      </c>
      <c r="I17" s="13">
        <f t="shared" si="1"/>
        <v>0</v>
      </c>
      <c r="J17" s="13" t="str">
        <f t="shared" ca="1" si="2"/>
        <v>Paid</v>
      </c>
      <c r="K17" s="13">
        <f t="shared" ca="1" si="3"/>
        <v>0</v>
      </c>
      <c r="L17" s="13" t="str">
        <f t="shared" si="4"/>
        <v>Paid</v>
      </c>
      <c r="M17" s="14">
        <v>45292</v>
      </c>
      <c r="N17" s="14">
        <v>45323</v>
      </c>
    </row>
    <row r="18" spans="1:14" x14ac:dyDescent="0.25">
      <c r="A18" s="10" t="s">
        <v>100</v>
      </c>
      <c r="B18" s="10" t="s">
        <v>101</v>
      </c>
      <c r="C18" s="11">
        <v>45299</v>
      </c>
      <c r="D18" s="11">
        <v>45329</v>
      </c>
      <c r="E18" s="11"/>
      <c r="F18" s="12">
        <v>54384.24</v>
      </c>
      <c r="G18" s="12">
        <v>0</v>
      </c>
      <c r="H18" s="12">
        <f t="shared" si="0"/>
        <v>54384.24</v>
      </c>
      <c r="I18" s="10" t="str">
        <f t="shared" si="1"/>
        <v/>
      </c>
      <c r="J18" s="10" t="str">
        <f t="shared" ca="1" si="2"/>
        <v>Overdue</v>
      </c>
      <c r="K18" s="10">
        <f t="shared" ca="1" si="3"/>
        <v>927</v>
      </c>
      <c r="L18" s="10" t="str">
        <f t="shared" ca="1" si="4"/>
        <v>120+ Days</v>
      </c>
      <c r="M18" s="11">
        <v>45292</v>
      </c>
      <c r="N18" s="11"/>
    </row>
    <row r="19" spans="1:14" x14ac:dyDescent="0.25">
      <c r="A19" s="13" t="s">
        <v>102</v>
      </c>
      <c r="B19" s="13" t="s">
        <v>87</v>
      </c>
      <c r="C19" s="14">
        <v>45300</v>
      </c>
      <c r="D19" s="14">
        <v>45330</v>
      </c>
      <c r="E19" s="14">
        <v>45342</v>
      </c>
      <c r="F19" s="15">
        <v>38070.04</v>
      </c>
      <c r="G19" s="15">
        <v>38070.04</v>
      </c>
      <c r="H19" s="15">
        <f t="shared" si="0"/>
        <v>0</v>
      </c>
      <c r="I19" s="13">
        <f t="shared" si="1"/>
        <v>12</v>
      </c>
      <c r="J19" s="13" t="str">
        <f t="shared" ca="1" si="2"/>
        <v>Paid</v>
      </c>
      <c r="K19" s="13">
        <f t="shared" ca="1" si="3"/>
        <v>0</v>
      </c>
      <c r="L19" s="13" t="str">
        <f t="shared" si="4"/>
        <v>Paid</v>
      </c>
      <c r="M19" s="14">
        <v>45292</v>
      </c>
      <c r="N19" s="14">
        <v>45323</v>
      </c>
    </row>
    <row r="20" spans="1:14" x14ac:dyDescent="0.25">
      <c r="A20" s="10" t="s">
        <v>103</v>
      </c>
      <c r="B20" s="10" t="s">
        <v>70</v>
      </c>
      <c r="C20" s="11">
        <v>45296</v>
      </c>
      <c r="D20" s="11">
        <v>45326</v>
      </c>
      <c r="E20" s="11">
        <v>45326</v>
      </c>
      <c r="F20" s="12">
        <v>40127.68</v>
      </c>
      <c r="G20" s="12">
        <v>40127.68</v>
      </c>
      <c r="H20" s="12">
        <f t="shared" si="0"/>
        <v>0</v>
      </c>
      <c r="I20" s="10">
        <f t="shared" si="1"/>
        <v>0</v>
      </c>
      <c r="J20" s="10" t="str">
        <f t="shared" ca="1" si="2"/>
        <v>Paid</v>
      </c>
      <c r="K20" s="10">
        <f t="shared" ca="1" si="3"/>
        <v>0</v>
      </c>
      <c r="L20" s="10" t="str">
        <f t="shared" si="4"/>
        <v>Paid</v>
      </c>
      <c r="M20" s="11">
        <v>45292</v>
      </c>
      <c r="N20" s="11">
        <v>45323</v>
      </c>
    </row>
    <row r="21" spans="1:14" x14ac:dyDescent="0.25">
      <c r="A21" s="13" t="s">
        <v>104</v>
      </c>
      <c r="B21" s="13" t="s">
        <v>83</v>
      </c>
      <c r="C21" s="14">
        <v>45298</v>
      </c>
      <c r="D21" s="14">
        <v>45328</v>
      </c>
      <c r="E21" s="14">
        <v>45328</v>
      </c>
      <c r="F21" s="15">
        <v>37168.050000000003</v>
      </c>
      <c r="G21" s="15">
        <v>37168.050000000003</v>
      </c>
      <c r="H21" s="15">
        <f t="shared" si="0"/>
        <v>0</v>
      </c>
      <c r="I21" s="13">
        <f t="shared" si="1"/>
        <v>0</v>
      </c>
      <c r="J21" s="13" t="str">
        <f t="shared" ca="1" si="2"/>
        <v>Paid</v>
      </c>
      <c r="K21" s="13">
        <f t="shared" ca="1" si="3"/>
        <v>0</v>
      </c>
      <c r="L21" s="13" t="str">
        <f t="shared" si="4"/>
        <v>Paid</v>
      </c>
      <c r="M21" s="14">
        <v>45292</v>
      </c>
      <c r="N21" s="14">
        <v>45323</v>
      </c>
    </row>
    <row r="22" spans="1:14" x14ac:dyDescent="0.25">
      <c r="A22" s="10" t="s">
        <v>105</v>
      </c>
      <c r="B22" s="10" t="s">
        <v>87</v>
      </c>
      <c r="C22" s="11">
        <v>45303</v>
      </c>
      <c r="D22" s="11">
        <v>45333</v>
      </c>
      <c r="E22" s="11">
        <v>45333</v>
      </c>
      <c r="F22" s="12">
        <v>31768.55</v>
      </c>
      <c r="G22" s="12">
        <v>31768.55</v>
      </c>
      <c r="H22" s="12">
        <f t="shared" si="0"/>
        <v>0</v>
      </c>
      <c r="I22" s="10">
        <f t="shared" si="1"/>
        <v>0</v>
      </c>
      <c r="J22" s="10" t="str">
        <f t="shared" ca="1" si="2"/>
        <v>Paid</v>
      </c>
      <c r="K22" s="10">
        <f t="shared" ca="1" si="3"/>
        <v>0</v>
      </c>
      <c r="L22" s="10" t="str">
        <f t="shared" si="4"/>
        <v>Paid</v>
      </c>
      <c r="M22" s="11">
        <v>45292</v>
      </c>
      <c r="N22" s="11">
        <v>45323</v>
      </c>
    </row>
    <row r="23" spans="1:14" x14ac:dyDescent="0.25">
      <c r="A23" s="13" t="s">
        <v>106</v>
      </c>
      <c r="B23" s="13" t="s">
        <v>107</v>
      </c>
      <c r="C23" s="14">
        <v>45297</v>
      </c>
      <c r="D23" s="14">
        <v>45327</v>
      </c>
      <c r="E23" s="14">
        <v>45341</v>
      </c>
      <c r="F23" s="15">
        <v>38826.07</v>
      </c>
      <c r="G23" s="15">
        <v>38826.07</v>
      </c>
      <c r="H23" s="15">
        <f t="shared" si="0"/>
        <v>0</v>
      </c>
      <c r="I23" s="13">
        <f t="shared" si="1"/>
        <v>14</v>
      </c>
      <c r="J23" s="13" t="str">
        <f t="shared" ca="1" si="2"/>
        <v>Paid</v>
      </c>
      <c r="K23" s="13">
        <f t="shared" ca="1" si="3"/>
        <v>0</v>
      </c>
      <c r="L23" s="13" t="str">
        <f t="shared" si="4"/>
        <v>Paid</v>
      </c>
      <c r="M23" s="14">
        <v>45292</v>
      </c>
      <c r="N23" s="14">
        <v>45323</v>
      </c>
    </row>
    <row r="24" spans="1:14" x14ac:dyDescent="0.25">
      <c r="A24" s="10" t="s">
        <v>108</v>
      </c>
      <c r="B24" s="10" t="s">
        <v>109</v>
      </c>
      <c r="C24" s="11">
        <v>45294</v>
      </c>
      <c r="D24" s="11">
        <v>45324</v>
      </c>
      <c r="E24" s="11">
        <v>45360</v>
      </c>
      <c r="F24" s="12">
        <v>31881.46</v>
      </c>
      <c r="G24" s="12">
        <v>31881.46</v>
      </c>
      <c r="H24" s="12">
        <f t="shared" si="0"/>
        <v>0</v>
      </c>
      <c r="I24" s="10">
        <f t="shared" si="1"/>
        <v>36</v>
      </c>
      <c r="J24" s="10" t="str">
        <f t="shared" ca="1" si="2"/>
        <v>Paid</v>
      </c>
      <c r="K24" s="10">
        <f t="shared" ca="1" si="3"/>
        <v>0</v>
      </c>
      <c r="L24" s="10" t="str">
        <f t="shared" si="4"/>
        <v>Paid</v>
      </c>
      <c r="M24" s="11">
        <v>45292</v>
      </c>
      <c r="N24" s="11">
        <v>45352</v>
      </c>
    </row>
    <row r="25" spans="1:14" x14ac:dyDescent="0.25">
      <c r="A25" s="13" t="s">
        <v>110</v>
      </c>
      <c r="B25" s="13" t="s">
        <v>111</v>
      </c>
      <c r="C25" s="14">
        <v>45302</v>
      </c>
      <c r="D25" s="14">
        <v>45332</v>
      </c>
      <c r="E25" s="14">
        <v>45332</v>
      </c>
      <c r="F25" s="15">
        <v>79663.67</v>
      </c>
      <c r="G25" s="15">
        <v>79663.67</v>
      </c>
      <c r="H25" s="15">
        <f t="shared" si="0"/>
        <v>0</v>
      </c>
      <c r="I25" s="13">
        <f t="shared" si="1"/>
        <v>0</v>
      </c>
      <c r="J25" s="13" t="str">
        <f t="shared" ca="1" si="2"/>
        <v>Paid</v>
      </c>
      <c r="K25" s="13">
        <f t="shared" ca="1" si="3"/>
        <v>0</v>
      </c>
      <c r="L25" s="13" t="str">
        <f t="shared" si="4"/>
        <v>Paid</v>
      </c>
      <c r="M25" s="14">
        <v>45292</v>
      </c>
      <c r="N25" s="14">
        <v>45323</v>
      </c>
    </row>
    <row r="26" spans="1:14" x14ac:dyDescent="0.25">
      <c r="A26" s="10" t="s">
        <v>112</v>
      </c>
      <c r="B26" s="10" t="s">
        <v>113</v>
      </c>
      <c r="C26" s="11">
        <v>45305</v>
      </c>
      <c r="D26" s="11">
        <v>45335</v>
      </c>
      <c r="E26" s="11">
        <v>45335</v>
      </c>
      <c r="F26" s="12">
        <v>43624.46</v>
      </c>
      <c r="G26" s="12">
        <v>43624.46</v>
      </c>
      <c r="H26" s="12">
        <f t="shared" si="0"/>
        <v>0</v>
      </c>
      <c r="I26" s="10">
        <f t="shared" si="1"/>
        <v>0</v>
      </c>
      <c r="J26" s="10" t="str">
        <f t="shared" ca="1" si="2"/>
        <v>Paid</v>
      </c>
      <c r="K26" s="10">
        <f t="shared" ca="1" si="3"/>
        <v>0</v>
      </c>
      <c r="L26" s="10" t="str">
        <f t="shared" si="4"/>
        <v>Paid</v>
      </c>
      <c r="M26" s="11">
        <v>45292</v>
      </c>
      <c r="N26" s="11">
        <v>45323</v>
      </c>
    </row>
    <row r="27" spans="1:14" x14ac:dyDescent="0.25">
      <c r="A27" s="13" t="s">
        <v>114</v>
      </c>
      <c r="B27" s="13" t="s">
        <v>115</v>
      </c>
      <c r="C27" s="14">
        <v>45292</v>
      </c>
      <c r="D27" s="14">
        <v>45322</v>
      </c>
      <c r="E27" s="14">
        <v>45366</v>
      </c>
      <c r="F27" s="15">
        <v>40125.58</v>
      </c>
      <c r="G27" s="15">
        <v>40125.58</v>
      </c>
      <c r="H27" s="15">
        <f t="shared" si="0"/>
        <v>0</v>
      </c>
      <c r="I27" s="13">
        <f t="shared" si="1"/>
        <v>44</v>
      </c>
      <c r="J27" s="13" t="str">
        <f t="shared" ca="1" si="2"/>
        <v>Paid</v>
      </c>
      <c r="K27" s="13">
        <f t="shared" ca="1" si="3"/>
        <v>0</v>
      </c>
      <c r="L27" s="13" t="str">
        <f t="shared" si="4"/>
        <v>Paid</v>
      </c>
      <c r="M27" s="14">
        <v>45292</v>
      </c>
      <c r="N27" s="14">
        <v>45352</v>
      </c>
    </row>
    <row r="28" spans="1:14" x14ac:dyDescent="0.25">
      <c r="A28" s="10" t="s">
        <v>116</v>
      </c>
      <c r="B28" s="10" t="s">
        <v>117</v>
      </c>
      <c r="C28" s="11">
        <v>45296</v>
      </c>
      <c r="D28" s="11">
        <v>45326</v>
      </c>
      <c r="E28" s="11"/>
      <c r="F28" s="12">
        <v>23878.080000000002</v>
      </c>
      <c r="G28" s="12">
        <v>0</v>
      </c>
      <c r="H28" s="12">
        <f t="shared" si="0"/>
        <v>23878.080000000002</v>
      </c>
      <c r="I28" s="10" t="str">
        <f t="shared" si="1"/>
        <v/>
      </c>
      <c r="J28" s="10" t="str">
        <f t="shared" ca="1" si="2"/>
        <v>Overdue</v>
      </c>
      <c r="K28" s="10">
        <f t="shared" ca="1" si="3"/>
        <v>930</v>
      </c>
      <c r="L28" s="10" t="str">
        <f t="shared" ca="1" si="4"/>
        <v>120+ Days</v>
      </c>
      <c r="M28" s="11">
        <v>45292</v>
      </c>
      <c r="N28" s="11"/>
    </row>
    <row r="29" spans="1:14" x14ac:dyDescent="0.25">
      <c r="A29" s="13" t="s">
        <v>118</v>
      </c>
      <c r="B29" s="13" t="s">
        <v>119</v>
      </c>
      <c r="C29" s="14">
        <v>45308</v>
      </c>
      <c r="D29" s="14">
        <v>45338</v>
      </c>
      <c r="E29" s="14">
        <v>45349</v>
      </c>
      <c r="F29" s="15">
        <v>17070.5</v>
      </c>
      <c r="G29" s="15">
        <v>17070.5</v>
      </c>
      <c r="H29" s="15">
        <f t="shared" si="0"/>
        <v>0</v>
      </c>
      <c r="I29" s="13">
        <f t="shared" si="1"/>
        <v>11</v>
      </c>
      <c r="J29" s="13" t="str">
        <f t="shared" ca="1" si="2"/>
        <v>Paid</v>
      </c>
      <c r="K29" s="13">
        <f t="shared" ca="1" si="3"/>
        <v>0</v>
      </c>
      <c r="L29" s="13" t="str">
        <f t="shared" si="4"/>
        <v>Paid</v>
      </c>
      <c r="M29" s="14">
        <v>45292</v>
      </c>
      <c r="N29" s="14">
        <v>45323</v>
      </c>
    </row>
    <row r="30" spans="1:14" x14ac:dyDescent="0.25">
      <c r="A30" s="10" t="s">
        <v>120</v>
      </c>
      <c r="B30" s="10" t="s">
        <v>70</v>
      </c>
      <c r="C30" s="11">
        <v>45309</v>
      </c>
      <c r="D30" s="11">
        <v>45339</v>
      </c>
      <c r="E30" s="11">
        <v>45354</v>
      </c>
      <c r="F30" s="12">
        <v>25565.62</v>
      </c>
      <c r="G30" s="12">
        <v>18829.02</v>
      </c>
      <c r="H30" s="12">
        <f t="shared" si="0"/>
        <v>6736.5999999999985</v>
      </c>
      <c r="I30" s="10">
        <f t="shared" si="1"/>
        <v>15</v>
      </c>
      <c r="J30" s="10" t="str">
        <f t="shared" ca="1" si="2"/>
        <v>Overdue</v>
      </c>
      <c r="K30" s="10">
        <f t="shared" ca="1" si="3"/>
        <v>917</v>
      </c>
      <c r="L30" s="10" t="str">
        <f t="shared" ca="1" si="4"/>
        <v>120+ Days</v>
      </c>
      <c r="M30" s="11">
        <v>45292</v>
      </c>
      <c r="N30" s="11">
        <v>45352</v>
      </c>
    </row>
    <row r="31" spans="1:14" x14ac:dyDescent="0.25">
      <c r="A31" s="13" t="s">
        <v>121</v>
      </c>
      <c r="B31" s="13" t="s">
        <v>107</v>
      </c>
      <c r="C31" s="14">
        <v>45294</v>
      </c>
      <c r="D31" s="14">
        <v>45324</v>
      </c>
      <c r="E31" s="14">
        <v>45324</v>
      </c>
      <c r="F31" s="15">
        <v>34910.18</v>
      </c>
      <c r="G31" s="15">
        <v>34910.18</v>
      </c>
      <c r="H31" s="15">
        <f t="shared" si="0"/>
        <v>0</v>
      </c>
      <c r="I31" s="13">
        <f t="shared" si="1"/>
        <v>0</v>
      </c>
      <c r="J31" s="13" t="str">
        <f t="shared" ca="1" si="2"/>
        <v>Paid</v>
      </c>
      <c r="K31" s="13">
        <f t="shared" ca="1" si="3"/>
        <v>0</v>
      </c>
      <c r="L31" s="13" t="str">
        <f t="shared" si="4"/>
        <v>Paid</v>
      </c>
      <c r="M31" s="14">
        <v>45292</v>
      </c>
      <c r="N31" s="14">
        <v>45323</v>
      </c>
    </row>
    <row r="32" spans="1:14" x14ac:dyDescent="0.25">
      <c r="A32" s="10" t="s">
        <v>122</v>
      </c>
      <c r="B32" s="10" t="s">
        <v>123</v>
      </c>
      <c r="C32" s="11">
        <v>45295</v>
      </c>
      <c r="D32" s="11">
        <v>45325</v>
      </c>
      <c r="E32" s="11">
        <v>45325</v>
      </c>
      <c r="F32" s="12">
        <v>70836.06</v>
      </c>
      <c r="G32" s="12">
        <v>70836.06</v>
      </c>
      <c r="H32" s="12">
        <f t="shared" si="0"/>
        <v>0</v>
      </c>
      <c r="I32" s="10">
        <f t="shared" si="1"/>
        <v>0</v>
      </c>
      <c r="J32" s="10" t="str">
        <f t="shared" ca="1" si="2"/>
        <v>Paid</v>
      </c>
      <c r="K32" s="10">
        <f t="shared" ca="1" si="3"/>
        <v>0</v>
      </c>
      <c r="L32" s="10" t="str">
        <f t="shared" si="4"/>
        <v>Paid</v>
      </c>
      <c r="M32" s="11">
        <v>45292</v>
      </c>
      <c r="N32" s="11">
        <v>45323</v>
      </c>
    </row>
    <row r="33" spans="1:14" x14ac:dyDescent="0.25">
      <c r="A33" s="13" t="s">
        <v>124</v>
      </c>
      <c r="B33" s="13" t="s">
        <v>125</v>
      </c>
      <c r="C33" s="14">
        <v>45302</v>
      </c>
      <c r="D33" s="14">
        <v>45332</v>
      </c>
      <c r="E33" s="14">
        <v>45332</v>
      </c>
      <c r="F33" s="15">
        <v>17036.7</v>
      </c>
      <c r="G33" s="15">
        <v>17036.7</v>
      </c>
      <c r="H33" s="15">
        <f t="shared" si="0"/>
        <v>0</v>
      </c>
      <c r="I33" s="13">
        <f t="shared" si="1"/>
        <v>0</v>
      </c>
      <c r="J33" s="13" t="str">
        <f t="shared" ca="1" si="2"/>
        <v>Paid</v>
      </c>
      <c r="K33" s="13">
        <f t="shared" ca="1" si="3"/>
        <v>0</v>
      </c>
      <c r="L33" s="13" t="str">
        <f t="shared" si="4"/>
        <v>Paid</v>
      </c>
      <c r="M33" s="14">
        <v>45292</v>
      </c>
      <c r="N33" s="14">
        <v>45323</v>
      </c>
    </row>
    <row r="34" spans="1:14" x14ac:dyDescent="0.25">
      <c r="A34" s="10" t="s">
        <v>126</v>
      </c>
      <c r="B34" s="10" t="s">
        <v>127</v>
      </c>
      <c r="C34" s="11">
        <v>45318</v>
      </c>
      <c r="D34" s="11">
        <v>45348</v>
      </c>
      <c r="E34" s="11">
        <v>45348</v>
      </c>
      <c r="F34" s="12">
        <v>104851.72</v>
      </c>
      <c r="G34" s="12">
        <v>104851.72</v>
      </c>
      <c r="H34" s="12">
        <f t="shared" si="0"/>
        <v>0</v>
      </c>
      <c r="I34" s="10">
        <f t="shared" si="1"/>
        <v>0</v>
      </c>
      <c r="J34" s="10" t="str">
        <f t="shared" ca="1" si="2"/>
        <v>Paid</v>
      </c>
      <c r="K34" s="10">
        <f t="shared" ca="1" si="3"/>
        <v>0</v>
      </c>
      <c r="L34" s="10" t="str">
        <f t="shared" si="4"/>
        <v>Paid</v>
      </c>
      <c r="M34" s="11">
        <v>45292</v>
      </c>
      <c r="N34" s="11">
        <v>45323</v>
      </c>
    </row>
    <row r="35" spans="1:14" x14ac:dyDescent="0.25">
      <c r="A35" s="13" t="s">
        <v>128</v>
      </c>
      <c r="B35" s="13" t="s">
        <v>129</v>
      </c>
      <c r="C35" s="14">
        <v>45312</v>
      </c>
      <c r="D35" s="14">
        <v>45342</v>
      </c>
      <c r="E35" s="14">
        <v>45351</v>
      </c>
      <c r="F35" s="15">
        <v>31177.85</v>
      </c>
      <c r="G35" s="15">
        <v>15147.69</v>
      </c>
      <c r="H35" s="15">
        <f t="shared" si="0"/>
        <v>16030.159999999998</v>
      </c>
      <c r="I35" s="13">
        <f t="shared" si="1"/>
        <v>9</v>
      </c>
      <c r="J35" s="13" t="str">
        <f t="shared" ca="1" si="2"/>
        <v>Overdue</v>
      </c>
      <c r="K35" s="13">
        <f t="shared" ca="1" si="3"/>
        <v>914</v>
      </c>
      <c r="L35" s="13" t="str">
        <f t="shared" ca="1" si="4"/>
        <v>120+ Days</v>
      </c>
      <c r="M35" s="14">
        <v>45292</v>
      </c>
      <c r="N35" s="14">
        <v>45323</v>
      </c>
    </row>
    <row r="36" spans="1:14" x14ac:dyDescent="0.25">
      <c r="A36" s="10" t="s">
        <v>130</v>
      </c>
      <c r="B36" s="10" t="s">
        <v>131</v>
      </c>
      <c r="C36" s="11">
        <v>45300</v>
      </c>
      <c r="D36" s="11">
        <v>45330</v>
      </c>
      <c r="E36" s="11"/>
      <c r="F36" s="12">
        <v>33359.480000000003</v>
      </c>
      <c r="G36" s="12">
        <v>0</v>
      </c>
      <c r="H36" s="12">
        <f t="shared" si="0"/>
        <v>33359.480000000003</v>
      </c>
      <c r="I36" s="10" t="str">
        <f t="shared" si="1"/>
        <v/>
      </c>
      <c r="J36" s="10" t="str">
        <f t="shared" ca="1" si="2"/>
        <v>Overdue</v>
      </c>
      <c r="K36" s="10">
        <f t="shared" ca="1" si="3"/>
        <v>926</v>
      </c>
      <c r="L36" s="10" t="str">
        <f t="shared" ca="1" si="4"/>
        <v>120+ Days</v>
      </c>
      <c r="M36" s="11">
        <v>45292</v>
      </c>
      <c r="N36" s="11"/>
    </row>
    <row r="37" spans="1:14" x14ac:dyDescent="0.25">
      <c r="A37" s="13" t="s">
        <v>132</v>
      </c>
      <c r="B37" s="13" t="s">
        <v>131</v>
      </c>
      <c r="C37" s="14">
        <v>45300</v>
      </c>
      <c r="D37" s="14">
        <v>45330</v>
      </c>
      <c r="E37" s="14">
        <v>45334</v>
      </c>
      <c r="F37" s="15">
        <v>48490.41</v>
      </c>
      <c r="G37" s="15">
        <v>48490.41</v>
      </c>
      <c r="H37" s="15">
        <f t="shared" si="0"/>
        <v>0</v>
      </c>
      <c r="I37" s="13">
        <f t="shared" si="1"/>
        <v>4</v>
      </c>
      <c r="J37" s="13" t="str">
        <f t="shared" ca="1" si="2"/>
        <v>Paid</v>
      </c>
      <c r="K37" s="13">
        <f t="shared" ca="1" si="3"/>
        <v>0</v>
      </c>
      <c r="L37" s="13" t="str">
        <f t="shared" si="4"/>
        <v>Paid</v>
      </c>
      <c r="M37" s="14">
        <v>45292</v>
      </c>
      <c r="N37" s="14">
        <v>45323</v>
      </c>
    </row>
    <row r="38" spans="1:14" x14ac:dyDescent="0.25">
      <c r="A38" s="10" t="s">
        <v>133</v>
      </c>
      <c r="B38" s="10" t="s">
        <v>134</v>
      </c>
      <c r="C38" s="11">
        <v>45304</v>
      </c>
      <c r="D38" s="11">
        <v>45334</v>
      </c>
      <c r="E38" s="11">
        <v>45408</v>
      </c>
      <c r="F38" s="12">
        <v>33490.080000000002</v>
      </c>
      <c r="G38" s="12">
        <v>25785.26</v>
      </c>
      <c r="H38" s="12">
        <f t="shared" si="0"/>
        <v>7704.8200000000033</v>
      </c>
      <c r="I38" s="10">
        <f t="shared" si="1"/>
        <v>74</v>
      </c>
      <c r="J38" s="10" t="str">
        <f t="shared" ca="1" si="2"/>
        <v>Overdue</v>
      </c>
      <c r="K38" s="10">
        <f t="shared" ca="1" si="3"/>
        <v>922</v>
      </c>
      <c r="L38" s="10" t="str">
        <f t="shared" ca="1" si="4"/>
        <v>120+ Days</v>
      </c>
      <c r="M38" s="11">
        <v>45292</v>
      </c>
      <c r="N38" s="11">
        <v>45383</v>
      </c>
    </row>
    <row r="39" spans="1:14" x14ac:dyDescent="0.25">
      <c r="A39" s="13" t="s">
        <v>135</v>
      </c>
      <c r="B39" s="13" t="s">
        <v>136</v>
      </c>
      <c r="C39" s="14">
        <v>45295</v>
      </c>
      <c r="D39" s="14">
        <v>45325</v>
      </c>
      <c r="E39" s="14">
        <v>45368</v>
      </c>
      <c r="F39" s="15">
        <v>28129.38</v>
      </c>
      <c r="G39" s="15">
        <v>28129.38</v>
      </c>
      <c r="H39" s="15">
        <f t="shared" si="0"/>
        <v>0</v>
      </c>
      <c r="I39" s="13">
        <f t="shared" si="1"/>
        <v>43</v>
      </c>
      <c r="J39" s="13" t="str">
        <f t="shared" ca="1" si="2"/>
        <v>Paid</v>
      </c>
      <c r="K39" s="13">
        <f t="shared" ca="1" si="3"/>
        <v>0</v>
      </c>
      <c r="L39" s="13" t="str">
        <f t="shared" si="4"/>
        <v>Paid</v>
      </c>
      <c r="M39" s="14">
        <v>45292</v>
      </c>
      <c r="N39" s="14">
        <v>45352</v>
      </c>
    </row>
    <row r="40" spans="1:14" x14ac:dyDescent="0.25">
      <c r="A40" s="10" t="s">
        <v>137</v>
      </c>
      <c r="B40" s="10" t="s">
        <v>138</v>
      </c>
      <c r="C40" s="11">
        <v>45313</v>
      </c>
      <c r="D40" s="11">
        <v>45343</v>
      </c>
      <c r="E40" s="11">
        <v>45350</v>
      </c>
      <c r="F40" s="12">
        <v>46326.34</v>
      </c>
      <c r="G40" s="12">
        <v>46326.34</v>
      </c>
      <c r="H40" s="12">
        <f t="shared" si="0"/>
        <v>0</v>
      </c>
      <c r="I40" s="10">
        <f t="shared" si="1"/>
        <v>7</v>
      </c>
      <c r="J40" s="10" t="str">
        <f t="shared" ca="1" si="2"/>
        <v>Paid</v>
      </c>
      <c r="K40" s="10">
        <f t="shared" ca="1" si="3"/>
        <v>0</v>
      </c>
      <c r="L40" s="10" t="str">
        <f t="shared" si="4"/>
        <v>Paid</v>
      </c>
      <c r="M40" s="11">
        <v>45292</v>
      </c>
      <c r="N40" s="11">
        <v>45323</v>
      </c>
    </row>
    <row r="41" spans="1:14" x14ac:dyDescent="0.25">
      <c r="A41" s="13" t="s">
        <v>139</v>
      </c>
      <c r="B41" s="13" t="s">
        <v>140</v>
      </c>
      <c r="C41" s="14">
        <v>45302</v>
      </c>
      <c r="D41" s="14">
        <v>45332</v>
      </c>
      <c r="E41" s="14">
        <v>45337</v>
      </c>
      <c r="F41" s="15">
        <v>25671.66</v>
      </c>
      <c r="G41" s="15">
        <v>25671.66</v>
      </c>
      <c r="H41" s="15">
        <f t="shared" si="0"/>
        <v>0</v>
      </c>
      <c r="I41" s="13">
        <f t="shared" si="1"/>
        <v>5</v>
      </c>
      <c r="J41" s="13" t="str">
        <f t="shared" ca="1" si="2"/>
        <v>Paid</v>
      </c>
      <c r="K41" s="13">
        <f t="shared" ca="1" si="3"/>
        <v>0</v>
      </c>
      <c r="L41" s="13" t="str">
        <f t="shared" si="4"/>
        <v>Paid</v>
      </c>
      <c r="M41" s="14">
        <v>45292</v>
      </c>
      <c r="N41" s="14">
        <v>45323</v>
      </c>
    </row>
    <row r="42" spans="1:14" x14ac:dyDescent="0.25">
      <c r="A42" s="10" t="s">
        <v>141</v>
      </c>
      <c r="B42" s="10" t="s">
        <v>89</v>
      </c>
      <c r="C42" s="11">
        <v>45298</v>
      </c>
      <c r="D42" s="11">
        <v>45328</v>
      </c>
      <c r="E42" s="11">
        <v>45344</v>
      </c>
      <c r="F42" s="12">
        <v>90702.95</v>
      </c>
      <c r="G42" s="12">
        <v>90702.95</v>
      </c>
      <c r="H42" s="12">
        <f t="shared" si="0"/>
        <v>0</v>
      </c>
      <c r="I42" s="10">
        <f t="shared" si="1"/>
        <v>16</v>
      </c>
      <c r="J42" s="10" t="str">
        <f t="shared" ca="1" si="2"/>
        <v>Paid</v>
      </c>
      <c r="K42" s="10">
        <f t="shared" ca="1" si="3"/>
        <v>0</v>
      </c>
      <c r="L42" s="10" t="str">
        <f t="shared" si="4"/>
        <v>Paid</v>
      </c>
      <c r="M42" s="11">
        <v>45292</v>
      </c>
      <c r="N42" s="11">
        <v>45323</v>
      </c>
    </row>
    <row r="43" spans="1:14" x14ac:dyDescent="0.25">
      <c r="A43" s="13" t="s">
        <v>142</v>
      </c>
      <c r="B43" s="13" t="s">
        <v>99</v>
      </c>
      <c r="C43" s="14">
        <v>45298</v>
      </c>
      <c r="D43" s="14">
        <v>45328</v>
      </c>
      <c r="E43" s="14">
        <v>45338</v>
      </c>
      <c r="F43" s="15">
        <v>20705.89</v>
      </c>
      <c r="G43" s="15">
        <v>20705.89</v>
      </c>
      <c r="H43" s="15">
        <f t="shared" si="0"/>
        <v>0</v>
      </c>
      <c r="I43" s="13">
        <f t="shared" si="1"/>
        <v>10</v>
      </c>
      <c r="J43" s="13" t="str">
        <f t="shared" ca="1" si="2"/>
        <v>Paid</v>
      </c>
      <c r="K43" s="13">
        <f t="shared" ca="1" si="3"/>
        <v>0</v>
      </c>
      <c r="L43" s="13" t="str">
        <f t="shared" si="4"/>
        <v>Paid</v>
      </c>
      <c r="M43" s="14">
        <v>45292</v>
      </c>
      <c r="N43" s="14">
        <v>45323</v>
      </c>
    </row>
    <row r="44" spans="1:14" x14ac:dyDescent="0.25">
      <c r="A44" s="10" t="s">
        <v>143</v>
      </c>
      <c r="B44" s="10" t="s">
        <v>89</v>
      </c>
      <c r="C44" s="11">
        <v>45302</v>
      </c>
      <c r="D44" s="11">
        <v>45332</v>
      </c>
      <c r="E44" s="11"/>
      <c r="F44" s="12">
        <v>14624.85</v>
      </c>
      <c r="G44" s="12">
        <v>0</v>
      </c>
      <c r="H44" s="12">
        <f t="shared" si="0"/>
        <v>14624.85</v>
      </c>
      <c r="I44" s="10" t="str">
        <f t="shared" si="1"/>
        <v/>
      </c>
      <c r="J44" s="10" t="str">
        <f t="shared" ca="1" si="2"/>
        <v>Overdue</v>
      </c>
      <c r="K44" s="10">
        <f t="shared" ca="1" si="3"/>
        <v>924</v>
      </c>
      <c r="L44" s="10" t="str">
        <f t="shared" ca="1" si="4"/>
        <v>120+ Days</v>
      </c>
      <c r="M44" s="11">
        <v>45292</v>
      </c>
      <c r="N44" s="11"/>
    </row>
    <row r="45" spans="1:14" x14ac:dyDescent="0.25">
      <c r="A45" s="13" t="s">
        <v>144</v>
      </c>
      <c r="B45" s="13" t="s">
        <v>115</v>
      </c>
      <c r="C45" s="14">
        <v>45316</v>
      </c>
      <c r="D45" s="14">
        <v>45346</v>
      </c>
      <c r="E45" s="14"/>
      <c r="F45" s="15">
        <v>49017.43</v>
      </c>
      <c r="G45" s="15">
        <v>0</v>
      </c>
      <c r="H45" s="15">
        <f t="shared" si="0"/>
        <v>49017.43</v>
      </c>
      <c r="I45" s="13" t="str">
        <f t="shared" si="1"/>
        <v/>
      </c>
      <c r="J45" s="13" t="str">
        <f t="shared" ca="1" si="2"/>
        <v>Overdue</v>
      </c>
      <c r="K45" s="13">
        <f t="shared" ca="1" si="3"/>
        <v>910</v>
      </c>
      <c r="L45" s="13" t="str">
        <f t="shared" ca="1" si="4"/>
        <v>120+ Days</v>
      </c>
      <c r="M45" s="14">
        <v>45292</v>
      </c>
      <c r="N45" s="14"/>
    </row>
    <row r="46" spans="1:14" x14ac:dyDescent="0.25">
      <c r="A46" s="10" t="s">
        <v>145</v>
      </c>
      <c r="B46" s="10" t="s">
        <v>146</v>
      </c>
      <c r="C46" s="11">
        <v>45300</v>
      </c>
      <c r="D46" s="11">
        <v>45330</v>
      </c>
      <c r="E46" s="11">
        <v>45332</v>
      </c>
      <c r="F46" s="12">
        <v>44136.59</v>
      </c>
      <c r="G46" s="12">
        <v>44136.59</v>
      </c>
      <c r="H46" s="12">
        <f t="shared" si="0"/>
        <v>0</v>
      </c>
      <c r="I46" s="10">
        <f t="shared" si="1"/>
        <v>2</v>
      </c>
      <c r="J46" s="10" t="str">
        <f t="shared" ca="1" si="2"/>
        <v>Paid</v>
      </c>
      <c r="K46" s="10">
        <f t="shared" ca="1" si="3"/>
        <v>0</v>
      </c>
      <c r="L46" s="10" t="str">
        <f t="shared" si="4"/>
        <v>Paid</v>
      </c>
      <c r="M46" s="11">
        <v>45292</v>
      </c>
      <c r="N46" s="11">
        <v>45323</v>
      </c>
    </row>
    <row r="47" spans="1:14" x14ac:dyDescent="0.25">
      <c r="A47" s="13" t="s">
        <v>147</v>
      </c>
      <c r="B47" s="13" t="s">
        <v>125</v>
      </c>
      <c r="C47" s="14">
        <v>45313</v>
      </c>
      <c r="D47" s="14">
        <v>45343</v>
      </c>
      <c r="E47" s="14">
        <v>45352</v>
      </c>
      <c r="F47" s="15">
        <v>36065.120000000003</v>
      </c>
      <c r="G47" s="15">
        <v>36065.120000000003</v>
      </c>
      <c r="H47" s="15">
        <f t="shared" si="0"/>
        <v>0</v>
      </c>
      <c r="I47" s="13">
        <f t="shared" si="1"/>
        <v>9</v>
      </c>
      <c r="J47" s="13" t="str">
        <f t="shared" ca="1" si="2"/>
        <v>Paid</v>
      </c>
      <c r="K47" s="13">
        <f t="shared" ca="1" si="3"/>
        <v>0</v>
      </c>
      <c r="L47" s="13" t="str">
        <f t="shared" si="4"/>
        <v>Paid</v>
      </c>
      <c r="M47" s="14">
        <v>45292</v>
      </c>
      <c r="N47" s="14">
        <v>45352</v>
      </c>
    </row>
    <row r="48" spans="1:14" x14ac:dyDescent="0.25">
      <c r="A48" s="10" t="s">
        <v>148</v>
      </c>
      <c r="B48" s="10" t="s">
        <v>113</v>
      </c>
      <c r="C48" s="11">
        <v>45318</v>
      </c>
      <c r="D48" s="11">
        <v>45348</v>
      </c>
      <c r="E48" s="11">
        <v>45357</v>
      </c>
      <c r="F48" s="12">
        <v>9305.2900000000009</v>
      </c>
      <c r="G48" s="12">
        <v>9305.2900000000009</v>
      </c>
      <c r="H48" s="12">
        <f t="shared" si="0"/>
        <v>0</v>
      </c>
      <c r="I48" s="10">
        <f t="shared" si="1"/>
        <v>9</v>
      </c>
      <c r="J48" s="10" t="str">
        <f t="shared" ca="1" si="2"/>
        <v>Paid</v>
      </c>
      <c r="K48" s="10">
        <f t="shared" ca="1" si="3"/>
        <v>0</v>
      </c>
      <c r="L48" s="10" t="str">
        <f t="shared" si="4"/>
        <v>Paid</v>
      </c>
      <c r="M48" s="11">
        <v>45292</v>
      </c>
      <c r="N48" s="11">
        <v>45352</v>
      </c>
    </row>
    <row r="49" spans="1:14" x14ac:dyDescent="0.25">
      <c r="A49" s="13" t="s">
        <v>149</v>
      </c>
      <c r="B49" s="13" t="s">
        <v>150</v>
      </c>
      <c r="C49" s="14">
        <v>45315</v>
      </c>
      <c r="D49" s="14">
        <v>45345</v>
      </c>
      <c r="E49" s="14">
        <v>45345</v>
      </c>
      <c r="F49" s="15">
        <v>44927.11</v>
      </c>
      <c r="G49" s="15">
        <v>44927.11</v>
      </c>
      <c r="H49" s="15">
        <f t="shared" si="0"/>
        <v>0</v>
      </c>
      <c r="I49" s="13">
        <f t="shared" si="1"/>
        <v>0</v>
      </c>
      <c r="J49" s="13" t="str">
        <f t="shared" ca="1" si="2"/>
        <v>Paid</v>
      </c>
      <c r="K49" s="13">
        <f t="shared" ca="1" si="3"/>
        <v>0</v>
      </c>
      <c r="L49" s="13" t="str">
        <f t="shared" si="4"/>
        <v>Paid</v>
      </c>
      <c r="M49" s="14">
        <v>45292</v>
      </c>
      <c r="N49" s="14">
        <v>45323</v>
      </c>
    </row>
    <row r="50" spans="1:14" x14ac:dyDescent="0.25">
      <c r="A50" s="10" t="s">
        <v>151</v>
      </c>
      <c r="B50" s="10" t="s">
        <v>131</v>
      </c>
      <c r="C50" s="11">
        <v>45296</v>
      </c>
      <c r="D50" s="11">
        <v>45326</v>
      </c>
      <c r="E50" s="11">
        <v>45345</v>
      </c>
      <c r="F50" s="12">
        <v>98719.98</v>
      </c>
      <c r="G50" s="12">
        <v>98719.98</v>
      </c>
      <c r="H50" s="12">
        <f t="shared" si="0"/>
        <v>0</v>
      </c>
      <c r="I50" s="10">
        <f t="shared" si="1"/>
        <v>19</v>
      </c>
      <c r="J50" s="10" t="str">
        <f t="shared" ca="1" si="2"/>
        <v>Paid</v>
      </c>
      <c r="K50" s="10">
        <f t="shared" ca="1" si="3"/>
        <v>0</v>
      </c>
      <c r="L50" s="10" t="str">
        <f t="shared" si="4"/>
        <v>Paid</v>
      </c>
      <c r="M50" s="11">
        <v>45292</v>
      </c>
      <c r="N50" s="11">
        <v>45323</v>
      </c>
    </row>
    <row r="51" spans="1:14" x14ac:dyDescent="0.25">
      <c r="A51" s="13" t="s">
        <v>152</v>
      </c>
      <c r="B51" s="13" t="s">
        <v>153</v>
      </c>
      <c r="C51" s="14">
        <v>45303</v>
      </c>
      <c r="D51" s="14">
        <v>45333</v>
      </c>
      <c r="E51" s="14">
        <v>45345</v>
      </c>
      <c r="F51" s="15">
        <v>31866.52</v>
      </c>
      <c r="G51" s="15">
        <v>31866.52</v>
      </c>
      <c r="H51" s="15">
        <f t="shared" si="0"/>
        <v>0</v>
      </c>
      <c r="I51" s="13">
        <f t="shared" si="1"/>
        <v>12</v>
      </c>
      <c r="J51" s="13" t="str">
        <f t="shared" ca="1" si="2"/>
        <v>Paid</v>
      </c>
      <c r="K51" s="13">
        <f t="shared" ca="1" si="3"/>
        <v>0</v>
      </c>
      <c r="L51" s="13" t="str">
        <f t="shared" si="4"/>
        <v>Paid</v>
      </c>
      <c r="M51" s="14">
        <v>45292</v>
      </c>
      <c r="N51" s="14">
        <v>45323</v>
      </c>
    </row>
    <row r="52" spans="1:14" x14ac:dyDescent="0.25">
      <c r="A52" s="10" t="s">
        <v>154</v>
      </c>
      <c r="B52" s="10" t="s">
        <v>140</v>
      </c>
      <c r="C52" s="11">
        <v>45298</v>
      </c>
      <c r="D52" s="11">
        <v>45328</v>
      </c>
      <c r="E52" s="11"/>
      <c r="F52" s="12">
        <v>78043.73</v>
      </c>
      <c r="G52" s="12">
        <v>0</v>
      </c>
      <c r="H52" s="12">
        <f t="shared" si="0"/>
        <v>78043.73</v>
      </c>
      <c r="I52" s="10" t="str">
        <f t="shared" si="1"/>
        <v/>
      </c>
      <c r="J52" s="10" t="str">
        <f t="shared" ca="1" si="2"/>
        <v>Overdue</v>
      </c>
      <c r="K52" s="10">
        <f t="shared" ca="1" si="3"/>
        <v>928</v>
      </c>
      <c r="L52" s="10" t="str">
        <f t="shared" ca="1" si="4"/>
        <v>120+ Days</v>
      </c>
      <c r="M52" s="11">
        <v>45292</v>
      </c>
      <c r="N52" s="11"/>
    </row>
    <row r="53" spans="1:14" x14ac:dyDescent="0.25">
      <c r="A53" s="13" t="s">
        <v>155</v>
      </c>
      <c r="B53" s="13" t="s">
        <v>127</v>
      </c>
      <c r="C53" s="14">
        <v>45300</v>
      </c>
      <c r="D53" s="14">
        <v>45330</v>
      </c>
      <c r="E53" s="14">
        <v>45343</v>
      </c>
      <c r="F53" s="15">
        <v>98989.73</v>
      </c>
      <c r="G53" s="15">
        <v>98989.73</v>
      </c>
      <c r="H53" s="15">
        <f t="shared" si="0"/>
        <v>0</v>
      </c>
      <c r="I53" s="13">
        <f t="shared" si="1"/>
        <v>13</v>
      </c>
      <c r="J53" s="13" t="str">
        <f t="shared" ca="1" si="2"/>
        <v>Paid</v>
      </c>
      <c r="K53" s="13">
        <f t="shared" ca="1" si="3"/>
        <v>0</v>
      </c>
      <c r="L53" s="13" t="str">
        <f t="shared" si="4"/>
        <v>Paid</v>
      </c>
      <c r="M53" s="14">
        <v>45292</v>
      </c>
      <c r="N53" s="14">
        <v>45323</v>
      </c>
    </row>
    <row r="54" spans="1:14" x14ac:dyDescent="0.25">
      <c r="A54" s="10" t="s">
        <v>156</v>
      </c>
      <c r="B54" s="10" t="s">
        <v>93</v>
      </c>
      <c r="C54" s="11">
        <v>45317</v>
      </c>
      <c r="D54" s="11">
        <v>45347</v>
      </c>
      <c r="E54" s="11"/>
      <c r="F54" s="12">
        <v>48603.28</v>
      </c>
      <c r="G54" s="12">
        <v>0</v>
      </c>
      <c r="H54" s="12">
        <f t="shared" si="0"/>
        <v>48603.28</v>
      </c>
      <c r="I54" s="10" t="str">
        <f t="shared" si="1"/>
        <v/>
      </c>
      <c r="J54" s="10" t="str">
        <f t="shared" ca="1" si="2"/>
        <v>Overdue</v>
      </c>
      <c r="K54" s="10">
        <f t="shared" ca="1" si="3"/>
        <v>909</v>
      </c>
      <c r="L54" s="10" t="str">
        <f t="shared" ca="1" si="4"/>
        <v>120+ Days</v>
      </c>
      <c r="M54" s="11">
        <v>45292</v>
      </c>
      <c r="N54" s="11"/>
    </row>
    <row r="55" spans="1:14" x14ac:dyDescent="0.25">
      <c r="A55" s="13" t="s">
        <v>157</v>
      </c>
      <c r="B55" s="13" t="s">
        <v>150</v>
      </c>
      <c r="C55" s="14">
        <v>45314</v>
      </c>
      <c r="D55" s="14">
        <v>45344</v>
      </c>
      <c r="E55" s="14">
        <v>45344</v>
      </c>
      <c r="F55" s="15">
        <v>32431.52</v>
      </c>
      <c r="G55" s="15">
        <v>32431.52</v>
      </c>
      <c r="H55" s="15">
        <f t="shared" si="0"/>
        <v>0</v>
      </c>
      <c r="I55" s="13">
        <f t="shared" si="1"/>
        <v>0</v>
      </c>
      <c r="J55" s="13" t="str">
        <f t="shared" ca="1" si="2"/>
        <v>Paid</v>
      </c>
      <c r="K55" s="13">
        <f t="shared" ca="1" si="3"/>
        <v>0</v>
      </c>
      <c r="L55" s="13" t="str">
        <f t="shared" si="4"/>
        <v>Paid</v>
      </c>
      <c r="M55" s="14">
        <v>45292</v>
      </c>
      <c r="N55" s="14">
        <v>45323</v>
      </c>
    </row>
    <row r="56" spans="1:14" x14ac:dyDescent="0.25">
      <c r="A56" s="10" t="s">
        <v>158</v>
      </c>
      <c r="B56" s="10" t="s">
        <v>159</v>
      </c>
      <c r="C56" s="11">
        <v>45296</v>
      </c>
      <c r="D56" s="11">
        <v>45326</v>
      </c>
      <c r="E56" s="11"/>
      <c r="F56" s="12">
        <v>19968.93</v>
      </c>
      <c r="G56" s="12">
        <v>0</v>
      </c>
      <c r="H56" s="12">
        <f t="shared" si="0"/>
        <v>19968.93</v>
      </c>
      <c r="I56" s="10" t="str">
        <f t="shared" si="1"/>
        <v/>
      </c>
      <c r="J56" s="10" t="str">
        <f t="shared" ca="1" si="2"/>
        <v>Overdue</v>
      </c>
      <c r="K56" s="10">
        <f t="shared" ca="1" si="3"/>
        <v>930</v>
      </c>
      <c r="L56" s="10" t="str">
        <f t="shared" ca="1" si="4"/>
        <v>120+ Days</v>
      </c>
      <c r="M56" s="11">
        <v>45292</v>
      </c>
      <c r="N56" s="11"/>
    </row>
    <row r="57" spans="1:14" x14ac:dyDescent="0.25">
      <c r="A57" s="13" t="s">
        <v>160</v>
      </c>
      <c r="B57" s="13" t="s">
        <v>161</v>
      </c>
      <c r="C57" s="14">
        <v>45311</v>
      </c>
      <c r="D57" s="14">
        <v>45341</v>
      </c>
      <c r="E57" s="14">
        <v>45359</v>
      </c>
      <c r="F57" s="15">
        <v>34376.959999999999</v>
      </c>
      <c r="G57" s="15">
        <v>34376.959999999999</v>
      </c>
      <c r="H57" s="15">
        <f t="shared" si="0"/>
        <v>0</v>
      </c>
      <c r="I57" s="13">
        <f t="shared" si="1"/>
        <v>18</v>
      </c>
      <c r="J57" s="13" t="str">
        <f t="shared" ca="1" si="2"/>
        <v>Paid</v>
      </c>
      <c r="K57" s="13">
        <f t="shared" ca="1" si="3"/>
        <v>0</v>
      </c>
      <c r="L57" s="13" t="str">
        <f t="shared" si="4"/>
        <v>Paid</v>
      </c>
      <c r="M57" s="14">
        <v>45292</v>
      </c>
      <c r="N57" s="14">
        <v>45352</v>
      </c>
    </row>
    <row r="58" spans="1:14" x14ac:dyDescent="0.25">
      <c r="A58" s="10" t="s">
        <v>162</v>
      </c>
      <c r="B58" s="10" t="s">
        <v>115</v>
      </c>
      <c r="C58" s="11">
        <v>45308</v>
      </c>
      <c r="D58" s="11">
        <v>45338</v>
      </c>
      <c r="E58" s="11"/>
      <c r="F58" s="12">
        <v>57063.85</v>
      </c>
      <c r="G58" s="12">
        <v>0</v>
      </c>
      <c r="H58" s="12">
        <f t="shared" si="0"/>
        <v>57063.85</v>
      </c>
      <c r="I58" s="10" t="str">
        <f t="shared" si="1"/>
        <v/>
      </c>
      <c r="J58" s="10" t="str">
        <f t="shared" ca="1" si="2"/>
        <v>Overdue</v>
      </c>
      <c r="K58" s="10">
        <f t="shared" ca="1" si="3"/>
        <v>918</v>
      </c>
      <c r="L58" s="10" t="str">
        <f t="shared" ca="1" si="4"/>
        <v>120+ Days</v>
      </c>
      <c r="M58" s="11">
        <v>45292</v>
      </c>
      <c r="N58" s="11"/>
    </row>
    <row r="59" spans="1:14" x14ac:dyDescent="0.25">
      <c r="A59" s="13" t="s">
        <v>163</v>
      </c>
      <c r="B59" s="13" t="s">
        <v>107</v>
      </c>
      <c r="C59" s="14">
        <v>45311</v>
      </c>
      <c r="D59" s="14">
        <v>45341</v>
      </c>
      <c r="E59" s="14"/>
      <c r="F59" s="15">
        <v>36797.15</v>
      </c>
      <c r="G59" s="15">
        <v>0</v>
      </c>
      <c r="H59" s="15">
        <f t="shared" si="0"/>
        <v>36797.15</v>
      </c>
      <c r="I59" s="13" t="str">
        <f t="shared" si="1"/>
        <v/>
      </c>
      <c r="J59" s="13" t="str">
        <f t="shared" ca="1" si="2"/>
        <v>Overdue</v>
      </c>
      <c r="K59" s="13">
        <f t="shared" ca="1" si="3"/>
        <v>915</v>
      </c>
      <c r="L59" s="13" t="str">
        <f t="shared" ca="1" si="4"/>
        <v>120+ Days</v>
      </c>
      <c r="M59" s="14">
        <v>45292</v>
      </c>
      <c r="N59" s="14"/>
    </row>
    <row r="60" spans="1:14" x14ac:dyDescent="0.25">
      <c r="A60" s="10" t="s">
        <v>164</v>
      </c>
      <c r="B60" s="10" t="s">
        <v>123</v>
      </c>
      <c r="C60" s="11">
        <v>45296</v>
      </c>
      <c r="D60" s="11">
        <v>45326</v>
      </c>
      <c r="E60" s="11">
        <v>45326</v>
      </c>
      <c r="F60" s="12">
        <v>87656.03</v>
      </c>
      <c r="G60" s="12">
        <v>87656.03</v>
      </c>
      <c r="H60" s="12">
        <f t="shared" si="0"/>
        <v>0</v>
      </c>
      <c r="I60" s="10">
        <f t="shared" si="1"/>
        <v>0</v>
      </c>
      <c r="J60" s="10" t="str">
        <f t="shared" ca="1" si="2"/>
        <v>Paid</v>
      </c>
      <c r="K60" s="10">
        <f t="shared" ca="1" si="3"/>
        <v>0</v>
      </c>
      <c r="L60" s="10" t="str">
        <f t="shared" si="4"/>
        <v>Paid</v>
      </c>
      <c r="M60" s="11">
        <v>45292</v>
      </c>
      <c r="N60" s="11">
        <v>45323</v>
      </c>
    </row>
    <row r="61" spans="1:14" x14ac:dyDescent="0.25">
      <c r="A61" s="13" t="s">
        <v>165</v>
      </c>
      <c r="B61" s="13" t="s">
        <v>109</v>
      </c>
      <c r="C61" s="14">
        <v>45349</v>
      </c>
      <c r="D61" s="14">
        <v>45379</v>
      </c>
      <c r="E61" s="14"/>
      <c r="F61" s="15">
        <v>61159.27</v>
      </c>
      <c r="G61" s="15">
        <v>0</v>
      </c>
      <c r="H61" s="15">
        <f t="shared" si="0"/>
        <v>61159.27</v>
      </c>
      <c r="I61" s="13" t="str">
        <f t="shared" si="1"/>
        <v/>
      </c>
      <c r="J61" s="13" t="str">
        <f t="shared" ca="1" si="2"/>
        <v>Overdue</v>
      </c>
      <c r="K61" s="13">
        <f t="shared" ca="1" si="3"/>
        <v>877</v>
      </c>
      <c r="L61" s="13" t="str">
        <f t="shared" ca="1" si="4"/>
        <v>120+ Days</v>
      </c>
      <c r="M61" s="14">
        <v>45323</v>
      </c>
      <c r="N61" s="14"/>
    </row>
    <row r="62" spans="1:14" x14ac:dyDescent="0.25">
      <c r="A62" s="10" t="s">
        <v>166</v>
      </c>
      <c r="B62" s="10" t="s">
        <v>146</v>
      </c>
      <c r="C62" s="11">
        <v>45334</v>
      </c>
      <c r="D62" s="11">
        <v>45364</v>
      </c>
      <c r="E62" s="11">
        <v>45364</v>
      </c>
      <c r="F62" s="12">
        <v>137339.22</v>
      </c>
      <c r="G62" s="12">
        <v>137339.22</v>
      </c>
      <c r="H62" s="12">
        <f t="shared" si="0"/>
        <v>0</v>
      </c>
      <c r="I62" s="10">
        <f t="shared" si="1"/>
        <v>0</v>
      </c>
      <c r="J62" s="10" t="str">
        <f t="shared" ca="1" si="2"/>
        <v>Paid</v>
      </c>
      <c r="K62" s="10">
        <f t="shared" ca="1" si="3"/>
        <v>0</v>
      </c>
      <c r="L62" s="10" t="str">
        <f t="shared" si="4"/>
        <v>Paid</v>
      </c>
      <c r="M62" s="11">
        <v>45323</v>
      </c>
      <c r="N62" s="11">
        <v>45352</v>
      </c>
    </row>
    <row r="63" spans="1:14" x14ac:dyDescent="0.25">
      <c r="A63" s="13" t="s">
        <v>167</v>
      </c>
      <c r="B63" s="13" t="s">
        <v>72</v>
      </c>
      <c r="C63" s="14">
        <v>45326</v>
      </c>
      <c r="D63" s="14">
        <v>45356</v>
      </c>
      <c r="E63" s="14"/>
      <c r="F63" s="15">
        <v>92257.600000000006</v>
      </c>
      <c r="G63" s="15">
        <v>0</v>
      </c>
      <c r="H63" s="15">
        <f t="shared" si="0"/>
        <v>92257.600000000006</v>
      </c>
      <c r="I63" s="13" t="str">
        <f t="shared" si="1"/>
        <v/>
      </c>
      <c r="J63" s="13" t="str">
        <f t="shared" ca="1" si="2"/>
        <v>Overdue</v>
      </c>
      <c r="K63" s="13">
        <f t="shared" ca="1" si="3"/>
        <v>900</v>
      </c>
      <c r="L63" s="13" t="str">
        <f t="shared" ca="1" si="4"/>
        <v>120+ Days</v>
      </c>
      <c r="M63" s="14">
        <v>45323</v>
      </c>
      <c r="N63" s="14"/>
    </row>
    <row r="64" spans="1:14" x14ac:dyDescent="0.25">
      <c r="A64" s="10" t="s">
        <v>168</v>
      </c>
      <c r="B64" s="10" t="s">
        <v>169</v>
      </c>
      <c r="C64" s="11">
        <v>45337</v>
      </c>
      <c r="D64" s="11">
        <v>45367</v>
      </c>
      <c r="E64" s="11">
        <v>45367</v>
      </c>
      <c r="F64" s="12">
        <v>78452.83</v>
      </c>
      <c r="G64" s="12">
        <v>78452.83</v>
      </c>
      <c r="H64" s="12">
        <f t="shared" si="0"/>
        <v>0</v>
      </c>
      <c r="I64" s="10">
        <f t="shared" si="1"/>
        <v>0</v>
      </c>
      <c r="J64" s="10" t="str">
        <f t="shared" ca="1" si="2"/>
        <v>Paid</v>
      </c>
      <c r="K64" s="10">
        <f t="shared" ca="1" si="3"/>
        <v>0</v>
      </c>
      <c r="L64" s="10" t="str">
        <f t="shared" si="4"/>
        <v>Paid</v>
      </c>
      <c r="M64" s="11">
        <v>45323</v>
      </c>
      <c r="N64" s="11">
        <v>45352</v>
      </c>
    </row>
    <row r="65" spans="1:14" x14ac:dyDescent="0.25">
      <c r="A65" s="13" t="s">
        <v>170</v>
      </c>
      <c r="B65" s="13" t="s">
        <v>171</v>
      </c>
      <c r="C65" s="14">
        <v>45323</v>
      </c>
      <c r="D65" s="14">
        <v>45353</v>
      </c>
      <c r="E65" s="14">
        <v>45366</v>
      </c>
      <c r="F65" s="15">
        <v>15824.22</v>
      </c>
      <c r="G65" s="15">
        <v>15824.22</v>
      </c>
      <c r="H65" s="15">
        <f t="shared" si="0"/>
        <v>0</v>
      </c>
      <c r="I65" s="13">
        <f t="shared" si="1"/>
        <v>13</v>
      </c>
      <c r="J65" s="13" t="str">
        <f t="shared" ca="1" si="2"/>
        <v>Paid</v>
      </c>
      <c r="K65" s="13">
        <f t="shared" ca="1" si="3"/>
        <v>0</v>
      </c>
      <c r="L65" s="13" t="str">
        <f t="shared" si="4"/>
        <v>Paid</v>
      </c>
      <c r="M65" s="14">
        <v>45323</v>
      </c>
      <c r="N65" s="14">
        <v>45352</v>
      </c>
    </row>
    <row r="66" spans="1:14" x14ac:dyDescent="0.25">
      <c r="A66" s="10" t="s">
        <v>172</v>
      </c>
      <c r="B66" s="10" t="s">
        <v>70</v>
      </c>
      <c r="C66" s="11">
        <v>45336</v>
      </c>
      <c r="D66" s="11">
        <v>45366</v>
      </c>
      <c r="E66" s="11">
        <v>45366</v>
      </c>
      <c r="F66" s="12">
        <v>44442.47</v>
      </c>
      <c r="G66" s="12">
        <v>44442.47</v>
      </c>
      <c r="H66" s="12">
        <f t="shared" ref="H66:H129" si="5">MAX(0,F66-G66)</f>
        <v>0</v>
      </c>
      <c r="I66" s="10">
        <f t="shared" ref="I66:I129" si="6">IF(E66="","",MAX(0,E66-D66))</f>
        <v>0</v>
      </c>
      <c r="J66" s="10" t="str">
        <f t="shared" ref="J66:J129" ca="1" si="7">IF(H66=0,"Paid",IF(D66&lt;TODAY(),"Overdue","Open"))</f>
        <v>Paid</v>
      </c>
      <c r="K66" s="10">
        <f t="shared" ref="K66:K129" ca="1" si="8">IF(H66=0,0,MAX(0,TODAY()-D66))</f>
        <v>0</v>
      </c>
      <c r="L66" s="10" t="str">
        <f t="shared" ref="L66:L129" si="9">IF(H66=0,"Paid",IF(K66&lt;=30,"0-30 Days",IF(K66&lt;=60,"31-60 Days",IF(K66&lt;=90,"61-90 Days",IF(K66&lt;=120,"91-120 Days","120+ Days")))))</f>
        <v>Paid</v>
      </c>
      <c r="M66" s="11">
        <v>45323</v>
      </c>
      <c r="N66" s="11">
        <v>45352</v>
      </c>
    </row>
    <row r="67" spans="1:14" x14ac:dyDescent="0.25">
      <c r="A67" s="13" t="s">
        <v>173</v>
      </c>
      <c r="B67" s="13" t="s">
        <v>136</v>
      </c>
      <c r="C67" s="14">
        <v>45347</v>
      </c>
      <c r="D67" s="14">
        <v>45377</v>
      </c>
      <c r="E67" s="14">
        <v>45411</v>
      </c>
      <c r="F67" s="15">
        <v>39335.96</v>
      </c>
      <c r="G67" s="15">
        <v>39335.96</v>
      </c>
      <c r="H67" s="15">
        <f t="shared" si="5"/>
        <v>0</v>
      </c>
      <c r="I67" s="13">
        <f t="shared" si="6"/>
        <v>34</v>
      </c>
      <c r="J67" s="13" t="str">
        <f t="shared" ca="1" si="7"/>
        <v>Paid</v>
      </c>
      <c r="K67" s="13">
        <f t="shared" ca="1" si="8"/>
        <v>0</v>
      </c>
      <c r="L67" s="13" t="str">
        <f t="shared" si="9"/>
        <v>Paid</v>
      </c>
      <c r="M67" s="14">
        <v>45323</v>
      </c>
      <c r="N67" s="14">
        <v>45383</v>
      </c>
    </row>
    <row r="68" spans="1:14" x14ac:dyDescent="0.25">
      <c r="A68" s="10" t="s">
        <v>174</v>
      </c>
      <c r="B68" s="10" t="s">
        <v>72</v>
      </c>
      <c r="C68" s="11">
        <v>45324</v>
      </c>
      <c r="D68" s="11">
        <v>45354</v>
      </c>
      <c r="E68" s="11">
        <v>45422</v>
      </c>
      <c r="F68" s="12">
        <v>41193.379999999997</v>
      </c>
      <c r="G68" s="12">
        <v>41193.379999999997</v>
      </c>
      <c r="H68" s="12">
        <f t="shared" si="5"/>
        <v>0</v>
      </c>
      <c r="I68" s="10">
        <f t="shared" si="6"/>
        <v>68</v>
      </c>
      <c r="J68" s="10" t="str">
        <f t="shared" ca="1" si="7"/>
        <v>Paid</v>
      </c>
      <c r="K68" s="10">
        <f t="shared" ca="1" si="8"/>
        <v>0</v>
      </c>
      <c r="L68" s="10" t="str">
        <f t="shared" si="9"/>
        <v>Paid</v>
      </c>
      <c r="M68" s="11">
        <v>45323</v>
      </c>
      <c r="N68" s="11">
        <v>45413</v>
      </c>
    </row>
    <row r="69" spans="1:14" x14ac:dyDescent="0.25">
      <c r="A69" s="13" t="s">
        <v>175</v>
      </c>
      <c r="B69" s="13" t="s">
        <v>159</v>
      </c>
      <c r="C69" s="14">
        <v>45325</v>
      </c>
      <c r="D69" s="14">
        <v>45355</v>
      </c>
      <c r="E69" s="14">
        <v>45417</v>
      </c>
      <c r="F69" s="15">
        <v>51099.79</v>
      </c>
      <c r="G69" s="15">
        <v>51099.79</v>
      </c>
      <c r="H69" s="15">
        <f t="shared" si="5"/>
        <v>0</v>
      </c>
      <c r="I69" s="13">
        <f t="shared" si="6"/>
        <v>62</v>
      </c>
      <c r="J69" s="13" t="str">
        <f t="shared" ca="1" si="7"/>
        <v>Paid</v>
      </c>
      <c r="K69" s="13">
        <f t="shared" ca="1" si="8"/>
        <v>0</v>
      </c>
      <c r="L69" s="13" t="str">
        <f t="shared" si="9"/>
        <v>Paid</v>
      </c>
      <c r="M69" s="14">
        <v>45323</v>
      </c>
      <c r="N69" s="14">
        <v>45413</v>
      </c>
    </row>
    <row r="70" spans="1:14" x14ac:dyDescent="0.25">
      <c r="A70" s="10" t="s">
        <v>176</v>
      </c>
      <c r="B70" s="10" t="s">
        <v>119</v>
      </c>
      <c r="C70" s="11">
        <v>45346</v>
      </c>
      <c r="D70" s="11">
        <v>45376</v>
      </c>
      <c r="E70" s="11"/>
      <c r="F70" s="12">
        <v>59951.47</v>
      </c>
      <c r="G70" s="12">
        <v>0</v>
      </c>
      <c r="H70" s="12">
        <f t="shared" si="5"/>
        <v>59951.47</v>
      </c>
      <c r="I70" s="10" t="str">
        <f t="shared" si="6"/>
        <v/>
      </c>
      <c r="J70" s="10" t="str">
        <f t="shared" ca="1" si="7"/>
        <v>Overdue</v>
      </c>
      <c r="K70" s="10">
        <f t="shared" ca="1" si="8"/>
        <v>880</v>
      </c>
      <c r="L70" s="10" t="str">
        <f t="shared" ca="1" si="9"/>
        <v>120+ Days</v>
      </c>
      <c r="M70" s="11">
        <v>45323</v>
      </c>
      <c r="N70" s="11"/>
    </row>
    <row r="71" spans="1:14" x14ac:dyDescent="0.25">
      <c r="A71" s="13" t="s">
        <v>177</v>
      </c>
      <c r="B71" s="13" t="s">
        <v>87</v>
      </c>
      <c r="C71" s="14">
        <v>45343</v>
      </c>
      <c r="D71" s="14">
        <v>45373</v>
      </c>
      <c r="E71" s="14">
        <v>45378</v>
      </c>
      <c r="F71" s="15">
        <v>50850.34</v>
      </c>
      <c r="G71" s="15">
        <v>50850.34</v>
      </c>
      <c r="H71" s="15">
        <f t="shared" si="5"/>
        <v>0</v>
      </c>
      <c r="I71" s="13">
        <f t="shared" si="6"/>
        <v>5</v>
      </c>
      <c r="J71" s="13" t="str">
        <f t="shared" ca="1" si="7"/>
        <v>Paid</v>
      </c>
      <c r="K71" s="13">
        <f t="shared" ca="1" si="8"/>
        <v>0</v>
      </c>
      <c r="L71" s="13" t="str">
        <f t="shared" si="9"/>
        <v>Paid</v>
      </c>
      <c r="M71" s="14">
        <v>45323</v>
      </c>
      <c r="N71" s="14">
        <v>45352</v>
      </c>
    </row>
    <row r="72" spans="1:14" x14ac:dyDescent="0.25">
      <c r="A72" s="10" t="s">
        <v>178</v>
      </c>
      <c r="B72" s="10" t="s">
        <v>87</v>
      </c>
      <c r="C72" s="11">
        <v>45327</v>
      </c>
      <c r="D72" s="11">
        <v>45357</v>
      </c>
      <c r="E72" s="11">
        <v>45357</v>
      </c>
      <c r="F72" s="12">
        <v>12756.76</v>
      </c>
      <c r="G72" s="12">
        <v>12756.76</v>
      </c>
      <c r="H72" s="12">
        <f t="shared" si="5"/>
        <v>0</v>
      </c>
      <c r="I72" s="10">
        <f t="shared" si="6"/>
        <v>0</v>
      </c>
      <c r="J72" s="10" t="str">
        <f t="shared" ca="1" si="7"/>
        <v>Paid</v>
      </c>
      <c r="K72" s="10">
        <f t="shared" ca="1" si="8"/>
        <v>0</v>
      </c>
      <c r="L72" s="10" t="str">
        <f t="shared" si="9"/>
        <v>Paid</v>
      </c>
      <c r="M72" s="11">
        <v>45323</v>
      </c>
      <c r="N72" s="11">
        <v>45352</v>
      </c>
    </row>
    <row r="73" spans="1:14" x14ac:dyDescent="0.25">
      <c r="A73" s="13" t="s">
        <v>179</v>
      </c>
      <c r="B73" s="13" t="s">
        <v>180</v>
      </c>
      <c r="C73" s="14">
        <v>45324</v>
      </c>
      <c r="D73" s="14">
        <v>45354</v>
      </c>
      <c r="E73" s="14">
        <v>45393</v>
      </c>
      <c r="F73" s="15">
        <v>10577.78</v>
      </c>
      <c r="G73" s="15">
        <v>10577.78</v>
      </c>
      <c r="H73" s="15">
        <f t="shared" si="5"/>
        <v>0</v>
      </c>
      <c r="I73" s="13">
        <f t="shared" si="6"/>
        <v>39</v>
      </c>
      <c r="J73" s="13" t="str">
        <f t="shared" ca="1" si="7"/>
        <v>Paid</v>
      </c>
      <c r="K73" s="13">
        <f t="shared" ca="1" si="8"/>
        <v>0</v>
      </c>
      <c r="L73" s="13" t="str">
        <f t="shared" si="9"/>
        <v>Paid</v>
      </c>
      <c r="M73" s="14">
        <v>45323</v>
      </c>
      <c r="N73" s="14">
        <v>45383</v>
      </c>
    </row>
    <row r="74" spans="1:14" x14ac:dyDescent="0.25">
      <c r="A74" s="10" t="s">
        <v>181</v>
      </c>
      <c r="B74" s="10" t="s">
        <v>182</v>
      </c>
      <c r="C74" s="11">
        <v>45349</v>
      </c>
      <c r="D74" s="11">
        <v>45379</v>
      </c>
      <c r="E74" s="11">
        <v>45405</v>
      </c>
      <c r="F74" s="12">
        <v>42564.87</v>
      </c>
      <c r="G74" s="12">
        <v>42564.87</v>
      </c>
      <c r="H74" s="12">
        <f t="shared" si="5"/>
        <v>0</v>
      </c>
      <c r="I74" s="10">
        <f t="shared" si="6"/>
        <v>26</v>
      </c>
      <c r="J74" s="10" t="str">
        <f t="shared" ca="1" si="7"/>
        <v>Paid</v>
      </c>
      <c r="K74" s="10">
        <f t="shared" ca="1" si="8"/>
        <v>0</v>
      </c>
      <c r="L74" s="10" t="str">
        <f t="shared" si="9"/>
        <v>Paid</v>
      </c>
      <c r="M74" s="11">
        <v>45323</v>
      </c>
      <c r="N74" s="11">
        <v>45383</v>
      </c>
    </row>
    <row r="75" spans="1:14" x14ac:dyDescent="0.25">
      <c r="A75" s="13" t="s">
        <v>183</v>
      </c>
      <c r="B75" s="13" t="s">
        <v>184</v>
      </c>
      <c r="C75" s="14">
        <v>45348</v>
      </c>
      <c r="D75" s="14">
        <v>45378</v>
      </c>
      <c r="E75" s="14">
        <v>45404</v>
      </c>
      <c r="F75" s="15">
        <v>36752.959999999999</v>
      </c>
      <c r="G75" s="15">
        <v>36752.959999999999</v>
      </c>
      <c r="H75" s="15">
        <f t="shared" si="5"/>
        <v>0</v>
      </c>
      <c r="I75" s="13">
        <f t="shared" si="6"/>
        <v>26</v>
      </c>
      <c r="J75" s="13" t="str">
        <f t="shared" ca="1" si="7"/>
        <v>Paid</v>
      </c>
      <c r="K75" s="13">
        <f t="shared" ca="1" si="8"/>
        <v>0</v>
      </c>
      <c r="L75" s="13" t="str">
        <f t="shared" si="9"/>
        <v>Paid</v>
      </c>
      <c r="M75" s="14">
        <v>45323</v>
      </c>
      <c r="N75" s="14">
        <v>45383</v>
      </c>
    </row>
    <row r="76" spans="1:14" x14ac:dyDescent="0.25">
      <c r="A76" s="10" t="s">
        <v>185</v>
      </c>
      <c r="B76" s="10" t="s">
        <v>113</v>
      </c>
      <c r="C76" s="11">
        <v>45337</v>
      </c>
      <c r="D76" s="11">
        <v>45367</v>
      </c>
      <c r="E76" s="11">
        <v>45367</v>
      </c>
      <c r="F76" s="12">
        <v>40161.72</v>
      </c>
      <c r="G76" s="12">
        <v>40161.72</v>
      </c>
      <c r="H76" s="12">
        <f t="shared" si="5"/>
        <v>0</v>
      </c>
      <c r="I76" s="10">
        <f t="shared" si="6"/>
        <v>0</v>
      </c>
      <c r="J76" s="10" t="str">
        <f t="shared" ca="1" si="7"/>
        <v>Paid</v>
      </c>
      <c r="K76" s="10">
        <f t="shared" ca="1" si="8"/>
        <v>0</v>
      </c>
      <c r="L76" s="10" t="str">
        <f t="shared" si="9"/>
        <v>Paid</v>
      </c>
      <c r="M76" s="11">
        <v>45323</v>
      </c>
      <c r="N76" s="11">
        <v>45352</v>
      </c>
    </row>
    <row r="77" spans="1:14" x14ac:dyDescent="0.25">
      <c r="A77" s="13" t="s">
        <v>186</v>
      </c>
      <c r="B77" s="13" t="s">
        <v>131</v>
      </c>
      <c r="C77" s="14">
        <v>45343</v>
      </c>
      <c r="D77" s="14">
        <v>45373</v>
      </c>
      <c r="E77" s="14">
        <v>45374</v>
      </c>
      <c r="F77" s="15">
        <v>16910.75</v>
      </c>
      <c r="G77" s="15">
        <v>16910.75</v>
      </c>
      <c r="H77" s="15">
        <f t="shared" si="5"/>
        <v>0</v>
      </c>
      <c r="I77" s="13">
        <f t="shared" si="6"/>
        <v>1</v>
      </c>
      <c r="J77" s="13" t="str">
        <f t="shared" ca="1" si="7"/>
        <v>Paid</v>
      </c>
      <c r="K77" s="13">
        <f t="shared" ca="1" si="8"/>
        <v>0</v>
      </c>
      <c r="L77" s="13" t="str">
        <f t="shared" si="9"/>
        <v>Paid</v>
      </c>
      <c r="M77" s="14">
        <v>45323</v>
      </c>
      <c r="N77" s="14">
        <v>45352</v>
      </c>
    </row>
    <row r="78" spans="1:14" x14ac:dyDescent="0.25">
      <c r="A78" s="10" t="s">
        <v>187</v>
      </c>
      <c r="B78" s="10" t="s">
        <v>188</v>
      </c>
      <c r="C78" s="11">
        <v>45325</v>
      </c>
      <c r="D78" s="11">
        <v>45355</v>
      </c>
      <c r="E78" s="11">
        <v>45367</v>
      </c>
      <c r="F78" s="12">
        <v>98363.34</v>
      </c>
      <c r="G78" s="12">
        <v>98363.34</v>
      </c>
      <c r="H78" s="12">
        <f t="shared" si="5"/>
        <v>0</v>
      </c>
      <c r="I78" s="10">
        <f t="shared" si="6"/>
        <v>12</v>
      </c>
      <c r="J78" s="10" t="str">
        <f t="shared" ca="1" si="7"/>
        <v>Paid</v>
      </c>
      <c r="K78" s="10">
        <f t="shared" ca="1" si="8"/>
        <v>0</v>
      </c>
      <c r="L78" s="10" t="str">
        <f t="shared" si="9"/>
        <v>Paid</v>
      </c>
      <c r="M78" s="11">
        <v>45323</v>
      </c>
      <c r="N78" s="11">
        <v>45352</v>
      </c>
    </row>
    <row r="79" spans="1:14" x14ac:dyDescent="0.25">
      <c r="A79" s="13" t="s">
        <v>189</v>
      </c>
      <c r="B79" s="13" t="s">
        <v>99</v>
      </c>
      <c r="C79" s="14">
        <v>45342</v>
      </c>
      <c r="D79" s="14">
        <v>45372</v>
      </c>
      <c r="E79" s="14">
        <v>45377</v>
      </c>
      <c r="F79" s="15">
        <v>21540.73</v>
      </c>
      <c r="G79" s="15">
        <v>21540.73</v>
      </c>
      <c r="H79" s="15">
        <f t="shared" si="5"/>
        <v>0</v>
      </c>
      <c r="I79" s="13">
        <f t="shared" si="6"/>
        <v>5</v>
      </c>
      <c r="J79" s="13" t="str">
        <f t="shared" ca="1" si="7"/>
        <v>Paid</v>
      </c>
      <c r="K79" s="13">
        <f t="shared" ca="1" si="8"/>
        <v>0</v>
      </c>
      <c r="L79" s="13" t="str">
        <f t="shared" si="9"/>
        <v>Paid</v>
      </c>
      <c r="M79" s="14">
        <v>45323</v>
      </c>
      <c r="N79" s="14">
        <v>45352</v>
      </c>
    </row>
    <row r="80" spans="1:14" x14ac:dyDescent="0.25">
      <c r="A80" s="10" t="s">
        <v>190</v>
      </c>
      <c r="B80" s="10" t="s">
        <v>159</v>
      </c>
      <c r="C80" s="11">
        <v>45335</v>
      </c>
      <c r="D80" s="11">
        <v>45365</v>
      </c>
      <c r="E80" s="11">
        <v>45421</v>
      </c>
      <c r="F80" s="12">
        <v>63612.38</v>
      </c>
      <c r="G80" s="12">
        <v>63612.38</v>
      </c>
      <c r="H80" s="12">
        <f t="shared" si="5"/>
        <v>0</v>
      </c>
      <c r="I80" s="10">
        <f t="shared" si="6"/>
        <v>56</v>
      </c>
      <c r="J80" s="10" t="str">
        <f t="shared" ca="1" si="7"/>
        <v>Paid</v>
      </c>
      <c r="K80" s="10">
        <f t="shared" ca="1" si="8"/>
        <v>0</v>
      </c>
      <c r="L80" s="10" t="str">
        <f t="shared" si="9"/>
        <v>Paid</v>
      </c>
      <c r="M80" s="11">
        <v>45323</v>
      </c>
      <c r="N80" s="11">
        <v>45413</v>
      </c>
    </row>
    <row r="81" spans="1:14" x14ac:dyDescent="0.25">
      <c r="A81" s="13" t="s">
        <v>191</v>
      </c>
      <c r="B81" s="13" t="s">
        <v>171</v>
      </c>
      <c r="C81" s="14">
        <v>45342</v>
      </c>
      <c r="D81" s="14">
        <v>45372</v>
      </c>
      <c r="E81" s="14">
        <v>45385</v>
      </c>
      <c r="F81" s="15">
        <v>21197.45</v>
      </c>
      <c r="G81" s="15">
        <v>21197.45</v>
      </c>
      <c r="H81" s="15">
        <f t="shared" si="5"/>
        <v>0</v>
      </c>
      <c r="I81" s="13">
        <f t="shared" si="6"/>
        <v>13</v>
      </c>
      <c r="J81" s="13" t="str">
        <f t="shared" ca="1" si="7"/>
        <v>Paid</v>
      </c>
      <c r="K81" s="13">
        <f t="shared" ca="1" si="8"/>
        <v>0</v>
      </c>
      <c r="L81" s="13" t="str">
        <f t="shared" si="9"/>
        <v>Paid</v>
      </c>
      <c r="M81" s="14">
        <v>45323</v>
      </c>
      <c r="N81" s="14">
        <v>45383</v>
      </c>
    </row>
    <row r="82" spans="1:14" x14ac:dyDescent="0.25">
      <c r="A82" s="10" t="s">
        <v>192</v>
      </c>
      <c r="B82" s="10" t="s">
        <v>79</v>
      </c>
      <c r="C82" s="11">
        <v>45329</v>
      </c>
      <c r="D82" s="11">
        <v>45359</v>
      </c>
      <c r="E82" s="11">
        <v>45406</v>
      </c>
      <c r="F82" s="12">
        <v>45741.63</v>
      </c>
      <c r="G82" s="12">
        <v>45741.63</v>
      </c>
      <c r="H82" s="12">
        <f t="shared" si="5"/>
        <v>0</v>
      </c>
      <c r="I82" s="10">
        <f t="shared" si="6"/>
        <v>47</v>
      </c>
      <c r="J82" s="10" t="str">
        <f t="shared" ca="1" si="7"/>
        <v>Paid</v>
      </c>
      <c r="K82" s="10">
        <f t="shared" ca="1" si="8"/>
        <v>0</v>
      </c>
      <c r="L82" s="10" t="str">
        <f t="shared" si="9"/>
        <v>Paid</v>
      </c>
      <c r="M82" s="11">
        <v>45323</v>
      </c>
      <c r="N82" s="11">
        <v>45383</v>
      </c>
    </row>
    <row r="83" spans="1:14" x14ac:dyDescent="0.25">
      <c r="A83" s="13" t="s">
        <v>193</v>
      </c>
      <c r="B83" s="13" t="s">
        <v>109</v>
      </c>
      <c r="C83" s="14">
        <v>45340</v>
      </c>
      <c r="D83" s="14">
        <v>45370</v>
      </c>
      <c r="E83" s="14">
        <v>45414</v>
      </c>
      <c r="F83" s="15">
        <v>31617.55</v>
      </c>
      <c r="G83" s="15">
        <v>31617.55</v>
      </c>
      <c r="H83" s="15">
        <f t="shared" si="5"/>
        <v>0</v>
      </c>
      <c r="I83" s="13">
        <f t="shared" si="6"/>
        <v>44</v>
      </c>
      <c r="J83" s="13" t="str">
        <f t="shared" ca="1" si="7"/>
        <v>Paid</v>
      </c>
      <c r="K83" s="13">
        <f t="shared" ca="1" si="8"/>
        <v>0</v>
      </c>
      <c r="L83" s="13" t="str">
        <f t="shared" si="9"/>
        <v>Paid</v>
      </c>
      <c r="M83" s="14">
        <v>45323</v>
      </c>
      <c r="N83" s="14">
        <v>45413</v>
      </c>
    </row>
    <row r="84" spans="1:14" x14ac:dyDescent="0.25">
      <c r="A84" s="10" t="s">
        <v>194</v>
      </c>
      <c r="B84" s="10" t="s">
        <v>83</v>
      </c>
      <c r="C84" s="11">
        <v>45329</v>
      </c>
      <c r="D84" s="11">
        <v>45359</v>
      </c>
      <c r="E84" s="11">
        <v>45364</v>
      </c>
      <c r="F84" s="12">
        <v>70475.88</v>
      </c>
      <c r="G84" s="12">
        <v>70475.88</v>
      </c>
      <c r="H84" s="12">
        <f t="shared" si="5"/>
        <v>0</v>
      </c>
      <c r="I84" s="10">
        <f t="shared" si="6"/>
        <v>5</v>
      </c>
      <c r="J84" s="10" t="str">
        <f t="shared" ca="1" si="7"/>
        <v>Paid</v>
      </c>
      <c r="K84" s="10">
        <f t="shared" ca="1" si="8"/>
        <v>0</v>
      </c>
      <c r="L84" s="10" t="str">
        <f t="shared" si="9"/>
        <v>Paid</v>
      </c>
      <c r="M84" s="11">
        <v>45323</v>
      </c>
      <c r="N84" s="11">
        <v>45352</v>
      </c>
    </row>
    <row r="85" spans="1:14" x14ac:dyDescent="0.25">
      <c r="A85" s="13" t="s">
        <v>195</v>
      </c>
      <c r="B85" s="13" t="s">
        <v>159</v>
      </c>
      <c r="C85" s="14">
        <v>45340</v>
      </c>
      <c r="D85" s="14">
        <v>45370</v>
      </c>
      <c r="E85" s="14"/>
      <c r="F85" s="15">
        <v>46250.46</v>
      </c>
      <c r="G85" s="15">
        <v>0</v>
      </c>
      <c r="H85" s="15">
        <f t="shared" si="5"/>
        <v>46250.46</v>
      </c>
      <c r="I85" s="13" t="str">
        <f t="shared" si="6"/>
        <v/>
      </c>
      <c r="J85" s="13" t="str">
        <f t="shared" ca="1" si="7"/>
        <v>Overdue</v>
      </c>
      <c r="K85" s="13">
        <f t="shared" ca="1" si="8"/>
        <v>886</v>
      </c>
      <c r="L85" s="13" t="str">
        <f t="shared" ca="1" si="9"/>
        <v>120+ Days</v>
      </c>
      <c r="M85" s="14">
        <v>45323</v>
      </c>
      <c r="N85" s="14"/>
    </row>
    <row r="86" spans="1:14" x14ac:dyDescent="0.25">
      <c r="A86" s="10" t="s">
        <v>196</v>
      </c>
      <c r="B86" s="10" t="s">
        <v>89</v>
      </c>
      <c r="C86" s="11">
        <v>45326</v>
      </c>
      <c r="D86" s="11">
        <v>45356</v>
      </c>
      <c r="E86" s="11">
        <v>45400</v>
      </c>
      <c r="F86" s="12">
        <v>39662.43</v>
      </c>
      <c r="G86" s="12">
        <v>39662.43</v>
      </c>
      <c r="H86" s="12">
        <f t="shared" si="5"/>
        <v>0</v>
      </c>
      <c r="I86" s="10">
        <f t="shared" si="6"/>
        <v>44</v>
      </c>
      <c r="J86" s="10" t="str">
        <f t="shared" ca="1" si="7"/>
        <v>Paid</v>
      </c>
      <c r="K86" s="10">
        <f t="shared" ca="1" si="8"/>
        <v>0</v>
      </c>
      <c r="L86" s="10" t="str">
        <f t="shared" si="9"/>
        <v>Paid</v>
      </c>
      <c r="M86" s="11">
        <v>45323</v>
      </c>
      <c r="N86" s="11">
        <v>45383</v>
      </c>
    </row>
    <row r="87" spans="1:14" x14ac:dyDescent="0.25">
      <c r="A87" s="13" t="s">
        <v>197</v>
      </c>
      <c r="B87" s="13" t="s">
        <v>198</v>
      </c>
      <c r="C87" s="14">
        <v>45326</v>
      </c>
      <c r="D87" s="14">
        <v>45356</v>
      </c>
      <c r="E87" s="14">
        <v>45362</v>
      </c>
      <c r="F87" s="15">
        <v>23977.87</v>
      </c>
      <c r="G87" s="15">
        <v>23977.87</v>
      </c>
      <c r="H87" s="15">
        <f t="shared" si="5"/>
        <v>0</v>
      </c>
      <c r="I87" s="13">
        <f t="shared" si="6"/>
        <v>6</v>
      </c>
      <c r="J87" s="13" t="str">
        <f t="shared" ca="1" si="7"/>
        <v>Paid</v>
      </c>
      <c r="K87" s="13">
        <f t="shared" ca="1" si="8"/>
        <v>0</v>
      </c>
      <c r="L87" s="13" t="str">
        <f t="shared" si="9"/>
        <v>Paid</v>
      </c>
      <c r="M87" s="14">
        <v>45323</v>
      </c>
      <c r="N87" s="14">
        <v>45352</v>
      </c>
    </row>
    <row r="88" spans="1:14" x14ac:dyDescent="0.25">
      <c r="A88" s="10" t="s">
        <v>199</v>
      </c>
      <c r="B88" s="10" t="s">
        <v>70</v>
      </c>
      <c r="C88" s="11">
        <v>45349</v>
      </c>
      <c r="D88" s="11">
        <v>45379</v>
      </c>
      <c r="E88" s="11">
        <v>45379</v>
      </c>
      <c r="F88" s="12">
        <v>24140.52</v>
      </c>
      <c r="G88" s="12">
        <v>24140.52</v>
      </c>
      <c r="H88" s="12">
        <f t="shared" si="5"/>
        <v>0</v>
      </c>
      <c r="I88" s="10">
        <f t="shared" si="6"/>
        <v>0</v>
      </c>
      <c r="J88" s="10" t="str">
        <f t="shared" ca="1" si="7"/>
        <v>Paid</v>
      </c>
      <c r="K88" s="10">
        <f t="shared" ca="1" si="8"/>
        <v>0</v>
      </c>
      <c r="L88" s="10" t="str">
        <f t="shared" si="9"/>
        <v>Paid</v>
      </c>
      <c r="M88" s="11">
        <v>45323</v>
      </c>
      <c r="N88" s="11">
        <v>45352</v>
      </c>
    </row>
    <row r="89" spans="1:14" x14ac:dyDescent="0.25">
      <c r="A89" s="13" t="s">
        <v>200</v>
      </c>
      <c r="B89" s="13" t="s">
        <v>97</v>
      </c>
      <c r="C89" s="14">
        <v>45334</v>
      </c>
      <c r="D89" s="14">
        <v>45364</v>
      </c>
      <c r="E89" s="14">
        <v>45366</v>
      </c>
      <c r="F89" s="15">
        <v>20649.34</v>
      </c>
      <c r="G89" s="15">
        <v>20649.34</v>
      </c>
      <c r="H89" s="15">
        <f t="shared" si="5"/>
        <v>0</v>
      </c>
      <c r="I89" s="13">
        <f t="shared" si="6"/>
        <v>2</v>
      </c>
      <c r="J89" s="13" t="str">
        <f t="shared" ca="1" si="7"/>
        <v>Paid</v>
      </c>
      <c r="K89" s="13">
        <f t="shared" ca="1" si="8"/>
        <v>0</v>
      </c>
      <c r="L89" s="13" t="str">
        <f t="shared" si="9"/>
        <v>Paid</v>
      </c>
      <c r="M89" s="14">
        <v>45323</v>
      </c>
      <c r="N89" s="14">
        <v>45352</v>
      </c>
    </row>
    <row r="90" spans="1:14" x14ac:dyDescent="0.25">
      <c r="A90" s="10" t="s">
        <v>201</v>
      </c>
      <c r="B90" s="10" t="s">
        <v>109</v>
      </c>
      <c r="C90" s="11">
        <v>45335</v>
      </c>
      <c r="D90" s="11">
        <v>45365</v>
      </c>
      <c r="E90" s="11">
        <v>45398</v>
      </c>
      <c r="F90" s="12">
        <v>70143.350000000006</v>
      </c>
      <c r="G90" s="12">
        <v>70143.350000000006</v>
      </c>
      <c r="H90" s="12">
        <f t="shared" si="5"/>
        <v>0</v>
      </c>
      <c r="I90" s="10">
        <f t="shared" si="6"/>
        <v>33</v>
      </c>
      <c r="J90" s="10" t="str">
        <f t="shared" ca="1" si="7"/>
        <v>Paid</v>
      </c>
      <c r="K90" s="10">
        <f t="shared" ca="1" si="8"/>
        <v>0</v>
      </c>
      <c r="L90" s="10" t="str">
        <f t="shared" si="9"/>
        <v>Paid</v>
      </c>
      <c r="M90" s="11">
        <v>45323</v>
      </c>
      <c r="N90" s="11">
        <v>45383</v>
      </c>
    </row>
    <row r="91" spans="1:14" x14ac:dyDescent="0.25">
      <c r="A91" s="13" t="s">
        <v>202</v>
      </c>
      <c r="B91" s="13" t="s">
        <v>161</v>
      </c>
      <c r="C91" s="14">
        <v>45335</v>
      </c>
      <c r="D91" s="14">
        <v>45365</v>
      </c>
      <c r="E91" s="14">
        <v>45374</v>
      </c>
      <c r="F91" s="15">
        <v>30519.07</v>
      </c>
      <c r="G91" s="15">
        <v>30519.07</v>
      </c>
      <c r="H91" s="15">
        <f t="shared" si="5"/>
        <v>0</v>
      </c>
      <c r="I91" s="13">
        <f t="shared" si="6"/>
        <v>9</v>
      </c>
      <c r="J91" s="13" t="str">
        <f t="shared" ca="1" si="7"/>
        <v>Paid</v>
      </c>
      <c r="K91" s="13">
        <f t="shared" ca="1" si="8"/>
        <v>0</v>
      </c>
      <c r="L91" s="13" t="str">
        <f t="shared" si="9"/>
        <v>Paid</v>
      </c>
      <c r="M91" s="14">
        <v>45323</v>
      </c>
      <c r="N91" s="14">
        <v>45352</v>
      </c>
    </row>
    <row r="92" spans="1:14" x14ac:dyDescent="0.25">
      <c r="A92" s="10" t="s">
        <v>203</v>
      </c>
      <c r="B92" s="10" t="s">
        <v>180</v>
      </c>
      <c r="C92" s="11">
        <v>45339</v>
      </c>
      <c r="D92" s="11">
        <v>45369</v>
      </c>
      <c r="E92" s="11">
        <v>45379</v>
      </c>
      <c r="F92" s="12">
        <v>31678.95</v>
      </c>
      <c r="G92" s="12">
        <v>31678.95</v>
      </c>
      <c r="H92" s="12">
        <f t="shared" si="5"/>
        <v>0</v>
      </c>
      <c r="I92" s="10">
        <f t="shared" si="6"/>
        <v>10</v>
      </c>
      <c r="J92" s="10" t="str">
        <f t="shared" ca="1" si="7"/>
        <v>Paid</v>
      </c>
      <c r="K92" s="10">
        <f t="shared" ca="1" si="8"/>
        <v>0</v>
      </c>
      <c r="L92" s="10" t="str">
        <f t="shared" si="9"/>
        <v>Paid</v>
      </c>
      <c r="M92" s="11">
        <v>45323</v>
      </c>
      <c r="N92" s="11">
        <v>45352</v>
      </c>
    </row>
    <row r="93" spans="1:14" x14ac:dyDescent="0.25">
      <c r="A93" s="13" t="s">
        <v>204</v>
      </c>
      <c r="B93" s="13" t="s">
        <v>83</v>
      </c>
      <c r="C93" s="14">
        <v>45331</v>
      </c>
      <c r="D93" s="14">
        <v>45361</v>
      </c>
      <c r="E93" s="14">
        <v>45371</v>
      </c>
      <c r="F93" s="15">
        <v>38310.78</v>
      </c>
      <c r="G93" s="15">
        <v>38310.78</v>
      </c>
      <c r="H93" s="15">
        <f t="shared" si="5"/>
        <v>0</v>
      </c>
      <c r="I93" s="13">
        <f t="shared" si="6"/>
        <v>10</v>
      </c>
      <c r="J93" s="13" t="str">
        <f t="shared" ca="1" si="7"/>
        <v>Paid</v>
      </c>
      <c r="K93" s="13">
        <f t="shared" ca="1" si="8"/>
        <v>0</v>
      </c>
      <c r="L93" s="13" t="str">
        <f t="shared" si="9"/>
        <v>Paid</v>
      </c>
      <c r="M93" s="14">
        <v>45323</v>
      </c>
      <c r="N93" s="14">
        <v>45352</v>
      </c>
    </row>
    <row r="94" spans="1:14" x14ac:dyDescent="0.25">
      <c r="A94" s="10" t="s">
        <v>205</v>
      </c>
      <c r="B94" s="10" t="s">
        <v>180</v>
      </c>
      <c r="C94" s="11">
        <v>45344</v>
      </c>
      <c r="D94" s="11">
        <v>45374</v>
      </c>
      <c r="E94" s="11"/>
      <c r="F94" s="12">
        <v>40148.33</v>
      </c>
      <c r="G94" s="12">
        <v>0</v>
      </c>
      <c r="H94" s="12">
        <f t="shared" si="5"/>
        <v>40148.33</v>
      </c>
      <c r="I94" s="10" t="str">
        <f t="shared" si="6"/>
        <v/>
      </c>
      <c r="J94" s="10" t="str">
        <f t="shared" ca="1" si="7"/>
        <v>Overdue</v>
      </c>
      <c r="K94" s="10">
        <f t="shared" ca="1" si="8"/>
        <v>882</v>
      </c>
      <c r="L94" s="10" t="str">
        <f t="shared" ca="1" si="9"/>
        <v>120+ Days</v>
      </c>
      <c r="M94" s="11">
        <v>45323</v>
      </c>
      <c r="N94" s="11"/>
    </row>
    <row r="95" spans="1:14" x14ac:dyDescent="0.25">
      <c r="A95" s="13" t="s">
        <v>206</v>
      </c>
      <c r="B95" s="13" t="s">
        <v>171</v>
      </c>
      <c r="C95" s="14">
        <v>45342</v>
      </c>
      <c r="D95" s="14">
        <v>45372</v>
      </c>
      <c r="E95" s="14">
        <v>45372</v>
      </c>
      <c r="F95" s="15">
        <v>37003.550000000003</v>
      </c>
      <c r="G95" s="15">
        <v>37003.550000000003</v>
      </c>
      <c r="H95" s="15">
        <f t="shared" si="5"/>
        <v>0</v>
      </c>
      <c r="I95" s="13">
        <f t="shared" si="6"/>
        <v>0</v>
      </c>
      <c r="J95" s="13" t="str">
        <f t="shared" ca="1" si="7"/>
        <v>Paid</v>
      </c>
      <c r="K95" s="13">
        <f t="shared" ca="1" si="8"/>
        <v>0</v>
      </c>
      <c r="L95" s="13" t="str">
        <f t="shared" si="9"/>
        <v>Paid</v>
      </c>
      <c r="M95" s="14">
        <v>45323</v>
      </c>
      <c r="N95" s="14">
        <v>45352</v>
      </c>
    </row>
    <row r="96" spans="1:14" x14ac:dyDescent="0.25">
      <c r="A96" s="10" t="s">
        <v>207</v>
      </c>
      <c r="B96" s="10" t="s">
        <v>72</v>
      </c>
      <c r="C96" s="11">
        <v>45329</v>
      </c>
      <c r="D96" s="11">
        <v>45359</v>
      </c>
      <c r="E96" s="11"/>
      <c r="F96" s="12">
        <v>23900.5</v>
      </c>
      <c r="G96" s="12">
        <v>0</v>
      </c>
      <c r="H96" s="12">
        <f t="shared" si="5"/>
        <v>23900.5</v>
      </c>
      <c r="I96" s="10" t="str">
        <f t="shared" si="6"/>
        <v/>
      </c>
      <c r="J96" s="10" t="str">
        <f t="shared" ca="1" si="7"/>
        <v>Overdue</v>
      </c>
      <c r="K96" s="10">
        <f t="shared" ca="1" si="8"/>
        <v>897</v>
      </c>
      <c r="L96" s="10" t="str">
        <f t="shared" ca="1" si="9"/>
        <v>120+ Days</v>
      </c>
      <c r="M96" s="11">
        <v>45323</v>
      </c>
      <c r="N96" s="11"/>
    </row>
    <row r="97" spans="1:14" x14ac:dyDescent="0.25">
      <c r="A97" s="13" t="s">
        <v>208</v>
      </c>
      <c r="B97" s="13" t="s">
        <v>89</v>
      </c>
      <c r="C97" s="14">
        <v>45331</v>
      </c>
      <c r="D97" s="14">
        <v>45361</v>
      </c>
      <c r="E97" s="14">
        <v>45405</v>
      </c>
      <c r="F97" s="15">
        <v>53469.53</v>
      </c>
      <c r="G97" s="15">
        <v>53469.53</v>
      </c>
      <c r="H97" s="15">
        <f t="shared" si="5"/>
        <v>0</v>
      </c>
      <c r="I97" s="13">
        <f t="shared" si="6"/>
        <v>44</v>
      </c>
      <c r="J97" s="13" t="str">
        <f t="shared" ca="1" si="7"/>
        <v>Paid</v>
      </c>
      <c r="K97" s="13">
        <f t="shared" ca="1" si="8"/>
        <v>0</v>
      </c>
      <c r="L97" s="13" t="str">
        <f t="shared" si="9"/>
        <v>Paid</v>
      </c>
      <c r="M97" s="14">
        <v>45323</v>
      </c>
      <c r="N97" s="14">
        <v>45383</v>
      </c>
    </row>
    <row r="98" spans="1:14" x14ac:dyDescent="0.25">
      <c r="A98" s="10" t="s">
        <v>209</v>
      </c>
      <c r="B98" s="10" t="s">
        <v>95</v>
      </c>
      <c r="C98" s="11">
        <v>45345</v>
      </c>
      <c r="D98" s="11">
        <v>45375</v>
      </c>
      <c r="E98" s="11">
        <v>45398</v>
      </c>
      <c r="F98" s="12">
        <v>32616.16</v>
      </c>
      <c r="G98" s="12">
        <v>32616.16</v>
      </c>
      <c r="H98" s="12">
        <f t="shared" si="5"/>
        <v>0</v>
      </c>
      <c r="I98" s="10">
        <f t="shared" si="6"/>
        <v>23</v>
      </c>
      <c r="J98" s="10" t="str">
        <f t="shared" ca="1" si="7"/>
        <v>Paid</v>
      </c>
      <c r="K98" s="10">
        <f t="shared" ca="1" si="8"/>
        <v>0</v>
      </c>
      <c r="L98" s="10" t="str">
        <f t="shared" si="9"/>
        <v>Paid</v>
      </c>
      <c r="M98" s="11">
        <v>45323</v>
      </c>
      <c r="N98" s="11">
        <v>45383</v>
      </c>
    </row>
    <row r="99" spans="1:14" x14ac:dyDescent="0.25">
      <c r="A99" s="13" t="s">
        <v>210</v>
      </c>
      <c r="B99" s="13" t="s">
        <v>171</v>
      </c>
      <c r="C99" s="14">
        <v>45324</v>
      </c>
      <c r="D99" s="14">
        <v>45354</v>
      </c>
      <c r="E99" s="14">
        <v>45355</v>
      </c>
      <c r="F99" s="15">
        <v>63866.54</v>
      </c>
      <c r="G99" s="15">
        <v>63866.54</v>
      </c>
      <c r="H99" s="15">
        <f t="shared" si="5"/>
        <v>0</v>
      </c>
      <c r="I99" s="13">
        <f t="shared" si="6"/>
        <v>1</v>
      </c>
      <c r="J99" s="13" t="str">
        <f t="shared" ca="1" si="7"/>
        <v>Paid</v>
      </c>
      <c r="K99" s="13">
        <f t="shared" ca="1" si="8"/>
        <v>0</v>
      </c>
      <c r="L99" s="13" t="str">
        <f t="shared" si="9"/>
        <v>Paid</v>
      </c>
      <c r="M99" s="14">
        <v>45323</v>
      </c>
      <c r="N99" s="14">
        <v>45352</v>
      </c>
    </row>
    <row r="100" spans="1:14" x14ac:dyDescent="0.25">
      <c r="A100" s="10" t="s">
        <v>211</v>
      </c>
      <c r="B100" s="10" t="s">
        <v>129</v>
      </c>
      <c r="C100" s="11">
        <v>45334</v>
      </c>
      <c r="D100" s="11">
        <v>45364</v>
      </c>
      <c r="E100" s="11">
        <v>45384</v>
      </c>
      <c r="F100" s="12">
        <v>16776.2</v>
      </c>
      <c r="G100" s="12">
        <v>16776.2</v>
      </c>
      <c r="H100" s="12">
        <f t="shared" si="5"/>
        <v>0</v>
      </c>
      <c r="I100" s="10">
        <f t="shared" si="6"/>
        <v>20</v>
      </c>
      <c r="J100" s="10" t="str">
        <f t="shared" ca="1" si="7"/>
        <v>Paid</v>
      </c>
      <c r="K100" s="10">
        <f t="shared" ca="1" si="8"/>
        <v>0</v>
      </c>
      <c r="L100" s="10" t="str">
        <f t="shared" si="9"/>
        <v>Paid</v>
      </c>
      <c r="M100" s="11">
        <v>45323</v>
      </c>
      <c r="N100" s="11">
        <v>45383</v>
      </c>
    </row>
    <row r="101" spans="1:14" x14ac:dyDescent="0.25">
      <c r="A101" s="13" t="s">
        <v>212</v>
      </c>
      <c r="B101" s="13" t="s">
        <v>109</v>
      </c>
      <c r="C101" s="14">
        <v>45345</v>
      </c>
      <c r="D101" s="14">
        <v>45375</v>
      </c>
      <c r="E101" s="14">
        <v>45375</v>
      </c>
      <c r="F101" s="15">
        <v>25701.02</v>
      </c>
      <c r="G101" s="15">
        <v>25701.02</v>
      </c>
      <c r="H101" s="15">
        <f t="shared" si="5"/>
        <v>0</v>
      </c>
      <c r="I101" s="13">
        <f t="shared" si="6"/>
        <v>0</v>
      </c>
      <c r="J101" s="13" t="str">
        <f t="shared" ca="1" si="7"/>
        <v>Paid</v>
      </c>
      <c r="K101" s="13">
        <f t="shared" ca="1" si="8"/>
        <v>0</v>
      </c>
      <c r="L101" s="13" t="str">
        <f t="shared" si="9"/>
        <v>Paid</v>
      </c>
      <c r="M101" s="14">
        <v>45323</v>
      </c>
      <c r="N101" s="14">
        <v>45352</v>
      </c>
    </row>
    <row r="102" spans="1:14" x14ac:dyDescent="0.25">
      <c r="A102" s="10" t="s">
        <v>213</v>
      </c>
      <c r="B102" s="10" t="s">
        <v>134</v>
      </c>
      <c r="C102" s="11">
        <v>45336</v>
      </c>
      <c r="D102" s="11">
        <v>45366</v>
      </c>
      <c r="E102" s="11">
        <v>45366</v>
      </c>
      <c r="F102" s="12">
        <v>144527.96</v>
      </c>
      <c r="G102" s="12">
        <v>144527.96</v>
      </c>
      <c r="H102" s="12">
        <f t="shared" si="5"/>
        <v>0</v>
      </c>
      <c r="I102" s="10">
        <f t="shared" si="6"/>
        <v>0</v>
      </c>
      <c r="J102" s="10" t="str">
        <f t="shared" ca="1" si="7"/>
        <v>Paid</v>
      </c>
      <c r="K102" s="10">
        <f t="shared" ca="1" si="8"/>
        <v>0</v>
      </c>
      <c r="L102" s="10" t="str">
        <f t="shared" si="9"/>
        <v>Paid</v>
      </c>
      <c r="M102" s="11">
        <v>45323</v>
      </c>
      <c r="N102" s="11">
        <v>45352</v>
      </c>
    </row>
    <row r="103" spans="1:14" x14ac:dyDescent="0.25">
      <c r="A103" s="13" t="s">
        <v>214</v>
      </c>
      <c r="B103" s="13" t="s">
        <v>215</v>
      </c>
      <c r="C103" s="14">
        <v>45348</v>
      </c>
      <c r="D103" s="14">
        <v>45378</v>
      </c>
      <c r="E103" s="14"/>
      <c r="F103" s="15">
        <v>49305.66</v>
      </c>
      <c r="G103" s="15">
        <v>0</v>
      </c>
      <c r="H103" s="15">
        <f t="shared" si="5"/>
        <v>49305.66</v>
      </c>
      <c r="I103" s="13" t="str">
        <f t="shared" si="6"/>
        <v/>
      </c>
      <c r="J103" s="13" t="str">
        <f t="shared" ca="1" si="7"/>
        <v>Overdue</v>
      </c>
      <c r="K103" s="13">
        <f t="shared" ca="1" si="8"/>
        <v>878</v>
      </c>
      <c r="L103" s="13" t="str">
        <f t="shared" ca="1" si="9"/>
        <v>120+ Days</v>
      </c>
      <c r="M103" s="14">
        <v>45323</v>
      </c>
      <c r="N103" s="14"/>
    </row>
    <row r="104" spans="1:14" x14ac:dyDescent="0.25">
      <c r="A104" s="10" t="s">
        <v>216</v>
      </c>
      <c r="B104" s="10" t="s">
        <v>99</v>
      </c>
      <c r="C104" s="11">
        <v>45343</v>
      </c>
      <c r="D104" s="11">
        <v>45373</v>
      </c>
      <c r="E104" s="11">
        <v>45391</v>
      </c>
      <c r="F104" s="12">
        <v>40324.42</v>
      </c>
      <c r="G104" s="12">
        <v>40324.42</v>
      </c>
      <c r="H104" s="12">
        <f t="shared" si="5"/>
        <v>0</v>
      </c>
      <c r="I104" s="10">
        <f t="shared" si="6"/>
        <v>18</v>
      </c>
      <c r="J104" s="10" t="str">
        <f t="shared" ca="1" si="7"/>
        <v>Paid</v>
      </c>
      <c r="K104" s="10">
        <f t="shared" ca="1" si="8"/>
        <v>0</v>
      </c>
      <c r="L104" s="10" t="str">
        <f t="shared" si="9"/>
        <v>Paid</v>
      </c>
      <c r="M104" s="11">
        <v>45323</v>
      </c>
      <c r="N104" s="11">
        <v>45383</v>
      </c>
    </row>
    <row r="105" spans="1:14" x14ac:dyDescent="0.25">
      <c r="A105" s="13" t="s">
        <v>217</v>
      </c>
      <c r="B105" s="13" t="s">
        <v>171</v>
      </c>
      <c r="C105" s="14">
        <v>45333</v>
      </c>
      <c r="D105" s="14">
        <v>45363</v>
      </c>
      <c r="E105" s="14">
        <v>45363</v>
      </c>
      <c r="F105" s="15">
        <v>46145.51</v>
      </c>
      <c r="G105" s="15">
        <v>46145.51</v>
      </c>
      <c r="H105" s="15">
        <f t="shared" si="5"/>
        <v>0</v>
      </c>
      <c r="I105" s="13">
        <f t="shared" si="6"/>
        <v>0</v>
      </c>
      <c r="J105" s="13" t="str">
        <f t="shared" ca="1" si="7"/>
        <v>Paid</v>
      </c>
      <c r="K105" s="13">
        <f t="shared" ca="1" si="8"/>
        <v>0</v>
      </c>
      <c r="L105" s="13" t="str">
        <f t="shared" si="9"/>
        <v>Paid</v>
      </c>
      <c r="M105" s="14">
        <v>45323</v>
      </c>
      <c r="N105" s="14">
        <v>45352</v>
      </c>
    </row>
    <row r="106" spans="1:14" x14ac:dyDescent="0.25">
      <c r="A106" s="10" t="s">
        <v>218</v>
      </c>
      <c r="B106" s="10" t="s">
        <v>117</v>
      </c>
      <c r="C106" s="11">
        <v>45334</v>
      </c>
      <c r="D106" s="11">
        <v>45364</v>
      </c>
      <c r="E106" s="11">
        <v>45378</v>
      </c>
      <c r="F106" s="12">
        <v>93518.57</v>
      </c>
      <c r="G106" s="12">
        <v>93518.57</v>
      </c>
      <c r="H106" s="12">
        <f t="shared" si="5"/>
        <v>0</v>
      </c>
      <c r="I106" s="10">
        <f t="shared" si="6"/>
        <v>14</v>
      </c>
      <c r="J106" s="10" t="str">
        <f t="shared" ca="1" si="7"/>
        <v>Paid</v>
      </c>
      <c r="K106" s="10">
        <f t="shared" ca="1" si="8"/>
        <v>0</v>
      </c>
      <c r="L106" s="10" t="str">
        <f t="shared" si="9"/>
        <v>Paid</v>
      </c>
      <c r="M106" s="11">
        <v>45323</v>
      </c>
      <c r="N106" s="11">
        <v>45352</v>
      </c>
    </row>
    <row r="107" spans="1:14" x14ac:dyDescent="0.25">
      <c r="A107" s="13" t="s">
        <v>219</v>
      </c>
      <c r="B107" s="13" t="s">
        <v>220</v>
      </c>
      <c r="C107" s="14">
        <v>45345</v>
      </c>
      <c r="D107" s="14">
        <v>45375</v>
      </c>
      <c r="E107" s="14">
        <v>45424</v>
      </c>
      <c r="F107" s="15">
        <v>79593</v>
      </c>
      <c r="G107" s="15">
        <v>79593</v>
      </c>
      <c r="H107" s="15">
        <f t="shared" si="5"/>
        <v>0</v>
      </c>
      <c r="I107" s="13">
        <f t="shared" si="6"/>
        <v>49</v>
      </c>
      <c r="J107" s="13" t="str">
        <f t="shared" ca="1" si="7"/>
        <v>Paid</v>
      </c>
      <c r="K107" s="13">
        <f t="shared" ca="1" si="8"/>
        <v>0</v>
      </c>
      <c r="L107" s="13" t="str">
        <f t="shared" si="9"/>
        <v>Paid</v>
      </c>
      <c r="M107" s="14">
        <v>45323</v>
      </c>
      <c r="N107" s="14">
        <v>45413</v>
      </c>
    </row>
    <row r="108" spans="1:14" x14ac:dyDescent="0.25">
      <c r="A108" s="10" t="s">
        <v>221</v>
      </c>
      <c r="B108" s="10" t="s">
        <v>222</v>
      </c>
      <c r="C108" s="11">
        <v>45345</v>
      </c>
      <c r="D108" s="11">
        <v>45375</v>
      </c>
      <c r="E108" s="11"/>
      <c r="F108" s="12">
        <v>84988.83</v>
      </c>
      <c r="G108" s="12">
        <v>0</v>
      </c>
      <c r="H108" s="12">
        <f t="shared" si="5"/>
        <v>84988.83</v>
      </c>
      <c r="I108" s="10" t="str">
        <f t="shared" si="6"/>
        <v/>
      </c>
      <c r="J108" s="10" t="str">
        <f t="shared" ca="1" si="7"/>
        <v>Overdue</v>
      </c>
      <c r="K108" s="10">
        <f t="shared" ca="1" si="8"/>
        <v>881</v>
      </c>
      <c r="L108" s="10" t="str">
        <f t="shared" ca="1" si="9"/>
        <v>120+ Days</v>
      </c>
      <c r="M108" s="11">
        <v>45323</v>
      </c>
      <c r="N108" s="11"/>
    </row>
    <row r="109" spans="1:14" x14ac:dyDescent="0.25">
      <c r="A109" s="13" t="s">
        <v>223</v>
      </c>
      <c r="B109" s="13" t="s">
        <v>224</v>
      </c>
      <c r="C109" s="14">
        <v>45333</v>
      </c>
      <c r="D109" s="14">
        <v>45363</v>
      </c>
      <c r="E109" s="14">
        <v>45364</v>
      </c>
      <c r="F109" s="15">
        <v>44003.56</v>
      </c>
      <c r="G109" s="15">
        <v>44003.56</v>
      </c>
      <c r="H109" s="15">
        <f t="shared" si="5"/>
        <v>0</v>
      </c>
      <c r="I109" s="13">
        <f t="shared" si="6"/>
        <v>1</v>
      </c>
      <c r="J109" s="13" t="str">
        <f t="shared" ca="1" si="7"/>
        <v>Paid</v>
      </c>
      <c r="K109" s="13">
        <f t="shared" ca="1" si="8"/>
        <v>0</v>
      </c>
      <c r="L109" s="13" t="str">
        <f t="shared" si="9"/>
        <v>Paid</v>
      </c>
      <c r="M109" s="14">
        <v>45323</v>
      </c>
      <c r="N109" s="14">
        <v>45352</v>
      </c>
    </row>
    <row r="110" spans="1:14" x14ac:dyDescent="0.25">
      <c r="A110" s="10" t="s">
        <v>225</v>
      </c>
      <c r="B110" s="10" t="s">
        <v>79</v>
      </c>
      <c r="C110" s="11">
        <v>45331</v>
      </c>
      <c r="D110" s="11">
        <v>45361</v>
      </c>
      <c r="E110" s="11">
        <v>45365</v>
      </c>
      <c r="F110" s="12">
        <v>29830.59</v>
      </c>
      <c r="G110" s="12">
        <v>29830.59</v>
      </c>
      <c r="H110" s="12">
        <f t="shared" si="5"/>
        <v>0</v>
      </c>
      <c r="I110" s="10">
        <f t="shared" si="6"/>
        <v>4</v>
      </c>
      <c r="J110" s="10" t="str">
        <f t="shared" ca="1" si="7"/>
        <v>Paid</v>
      </c>
      <c r="K110" s="10">
        <f t="shared" ca="1" si="8"/>
        <v>0</v>
      </c>
      <c r="L110" s="10" t="str">
        <f t="shared" si="9"/>
        <v>Paid</v>
      </c>
      <c r="M110" s="11">
        <v>45323</v>
      </c>
      <c r="N110" s="11">
        <v>45352</v>
      </c>
    </row>
    <row r="111" spans="1:14" x14ac:dyDescent="0.25">
      <c r="A111" s="13" t="s">
        <v>226</v>
      </c>
      <c r="B111" s="13" t="s">
        <v>74</v>
      </c>
      <c r="C111" s="14">
        <v>45327</v>
      </c>
      <c r="D111" s="14">
        <v>45357</v>
      </c>
      <c r="E111" s="14">
        <v>45381</v>
      </c>
      <c r="F111" s="15">
        <v>54209.37</v>
      </c>
      <c r="G111" s="15">
        <v>54209.37</v>
      </c>
      <c r="H111" s="15">
        <f t="shared" si="5"/>
        <v>0</v>
      </c>
      <c r="I111" s="13">
        <f t="shared" si="6"/>
        <v>24</v>
      </c>
      <c r="J111" s="13" t="str">
        <f t="shared" ca="1" si="7"/>
        <v>Paid</v>
      </c>
      <c r="K111" s="13">
        <f t="shared" ca="1" si="8"/>
        <v>0</v>
      </c>
      <c r="L111" s="13" t="str">
        <f t="shared" si="9"/>
        <v>Paid</v>
      </c>
      <c r="M111" s="14">
        <v>45323</v>
      </c>
      <c r="N111" s="14">
        <v>45352</v>
      </c>
    </row>
    <row r="112" spans="1:14" x14ac:dyDescent="0.25">
      <c r="A112" s="10" t="s">
        <v>227</v>
      </c>
      <c r="B112" s="10" t="s">
        <v>140</v>
      </c>
      <c r="C112" s="11">
        <v>45342</v>
      </c>
      <c r="D112" s="11">
        <v>45372</v>
      </c>
      <c r="E112" s="11">
        <v>45372</v>
      </c>
      <c r="F112" s="12">
        <v>24770.01</v>
      </c>
      <c r="G112" s="12">
        <v>24770.01</v>
      </c>
      <c r="H112" s="12">
        <f t="shared" si="5"/>
        <v>0</v>
      </c>
      <c r="I112" s="10">
        <f t="shared" si="6"/>
        <v>0</v>
      </c>
      <c r="J112" s="10" t="str">
        <f t="shared" ca="1" si="7"/>
        <v>Paid</v>
      </c>
      <c r="K112" s="10">
        <f t="shared" ca="1" si="8"/>
        <v>0</v>
      </c>
      <c r="L112" s="10" t="str">
        <f t="shared" si="9"/>
        <v>Paid</v>
      </c>
      <c r="M112" s="11">
        <v>45323</v>
      </c>
      <c r="N112" s="11">
        <v>45352</v>
      </c>
    </row>
    <row r="113" spans="1:14" x14ac:dyDescent="0.25">
      <c r="A113" s="13" t="s">
        <v>228</v>
      </c>
      <c r="B113" s="13" t="s">
        <v>83</v>
      </c>
      <c r="C113" s="14">
        <v>45336</v>
      </c>
      <c r="D113" s="14">
        <v>45366</v>
      </c>
      <c r="E113" s="14">
        <v>45369</v>
      </c>
      <c r="F113" s="15">
        <v>43748.66</v>
      </c>
      <c r="G113" s="15">
        <v>43748.66</v>
      </c>
      <c r="H113" s="15">
        <f t="shared" si="5"/>
        <v>0</v>
      </c>
      <c r="I113" s="13">
        <f t="shared" si="6"/>
        <v>3</v>
      </c>
      <c r="J113" s="13" t="str">
        <f t="shared" ca="1" si="7"/>
        <v>Paid</v>
      </c>
      <c r="K113" s="13">
        <f t="shared" ca="1" si="8"/>
        <v>0</v>
      </c>
      <c r="L113" s="13" t="str">
        <f t="shared" si="9"/>
        <v>Paid</v>
      </c>
      <c r="M113" s="14">
        <v>45323</v>
      </c>
      <c r="N113" s="14">
        <v>45352</v>
      </c>
    </row>
    <row r="114" spans="1:14" x14ac:dyDescent="0.25">
      <c r="A114" s="10" t="s">
        <v>229</v>
      </c>
      <c r="B114" s="10" t="s">
        <v>230</v>
      </c>
      <c r="C114" s="11">
        <v>45344</v>
      </c>
      <c r="D114" s="11">
        <v>45374</v>
      </c>
      <c r="E114" s="11">
        <v>45391</v>
      </c>
      <c r="F114" s="12">
        <v>42696.13</v>
      </c>
      <c r="G114" s="12">
        <v>42696.13</v>
      </c>
      <c r="H114" s="12">
        <f t="shared" si="5"/>
        <v>0</v>
      </c>
      <c r="I114" s="10">
        <f t="shared" si="6"/>
        <v>17</v>
      </c>
      <c r="J114" s="10" t="str">
        <f t="shared" ca="1" si="7"/>
        <v>Paid</v>
      </c>
      <c r="K114" s="10">
        <f t="shared" ca="1" si="8"/>
        <v>0</v>
      </c>
      <c r="L114" s="10" t="str">
        <f t="shared" si="9"/>
        <v>Paid</v>
      </c>
      <c r="M114" s="11">
        <v>45323</v>
      </c>
      <c r="N114" s="11">
        <v>45383</v>
      </c>
    </row>
    <row r="115" spans="1:14" x14ac:dyDescent="0.25">
      <c r="A115" s="13" t="s">
        <v>231</v>
      </c>
      <c r="B115" s="13" t="s">
        <v>159</v>
      </c>
      <c r="C115" s="14">
        <v>45343</v>
      </c>
      <c r="D115" s="14">
        <v>45373</v>
      </c>
      <c r="E115" s="14"/>
      <c r="F115" s="15">
        <v>54965.79</v>
      </c>
      <c r="G115" s="15">
        <v>0</v>
      </c>
      <c r="H115" s="15">
        <f t="shared" si="5"/>
        <v>54965.79</v>
      </c>
      <c r="I115" s="13" t="str">
        <f t="shared" si="6"/>
        <v/>
      </c>
      <c r="J115" s="13" t="str">
        <f t="shared" ca="1" si="7"/>
        <v>Overdue</v>
      </c>
      <c r="K115" s="13">
        <f t="shared" ca="1" si="8"/>
        <v>883</v>
      </c>
      <c r="L115" s="13" t="str">
        <f t="shared" ca="1" si="9"/>
        <v>120+ Days</v>
      </c>
      <c r="M115" s="14">
        <v>45323</v>
      </c>
      <c r="N115" s="14"/>
    </row>
    <row r="116" spans="1:14" x14ac:dyDescent="0.25">
      <c r="A116" s="10" t="s">
        <v>232</v>
      </c>
      <c r="B116" s="10" t="s">
        <v>233</v>
      </c>
      <c r="C116" s="11">
        <v>45331</v>
      </c>
      <c r="D116" s="11">
        <v>45361</v>
      </c>
      <c r="E116" s="11"/>
      <c r="F116" s="12">
        <v>44937.59</v>
      </c>
      <c r="G116" s="12">
        <v>0</v>
      </c>
      <c r="H116" s="12">
        <f t="shared" si="5"/>
        <v>44937.59</v>
      </c>
      <c r="I116" s="10" t="str">
        <f t="shared" si="6"/>
        <v/>
      </c>
      <c r="J116" s="10" t="str">
        <f t="shared" ca="1" si="7"/>
        <v>Overdue</v>
      </c>
      <c r="K116" s="10">
        <f t="shared" ca="1" si="8"/>
        <v>895</v>
      </c>
      <c r="L116" s="10" t="str">
        <f t="shared" ca="1" si="9"/>
        <v>120+ Days</v>
      </c>
      <c r="M116" s="11">
        <v>45323</v>
      </c>
      <c r="N116" s="11"/>
    </row>
    <row r="117" spans="1:14" x14ac:dyDescent="0.25">
      <c r="A117" s="13" t="s">
        <v>234</v>
      </c>
      <c r="B117" s="13" t="s">
        <v>233</v>
      </c>
      <c r="C117" s="14">
        <v>45336</v>
      </c>
      <c r="D117" s="14">
        <v>45366</v>
      </c>
      <c r="E117" s="14"/>
      <c r="F117" s="15">
        <v>36391.78</v>
      </c>
      <c r="G117" s="15">
        <v>0</v>
      </c>
      <c r="H117" s="15">
        <f t="shared" si="5"/>
        <v>36391.78</v>
      </c>
      <c r="I117" s="13" t="str">
        <f t="shared" si="6"/>
        <v/>
      </c>
      <c r="J117" s="13" t="str">
        <f t="shared" ca="1" si="7"/>
        <v>Overdue</v>
      </c>
      <c r="K117" s="13">
        <f t="shared" ca="1" si="8"/>
        <v>890</v>
      </c>
      <c r="L117" s="13" t="str">
        <f t="shared" ca="1" si="9"/>
        <v>120+ Days</v>
      </c>
      <c r="M117" s="14">
        <v>45323</v>
      </c>
      <c r="N117" s="14"/>
    </row>
    <row r="118" spans="1:14" x14ac:dyDescent="0.25">
      <c r="A118" s="10" t="s">
        <v>235</v>
      </c>
      <c r="B118" s="10" t="s">
        <v>125</v>
      </c>
      <c r="C118" s="11">
        <v>45331</v>
      </c>
      <c r="D118" s="11">
        <v>45361</v>
      </c>
      <c r="E118" s="11">
        <v>45361</v>
      </c>
      <c r="F118" s="12">
        <v>21639.07</v>
      </c>
      <c r="G118" s="12">
        <v>21639.07</v>
      </c>
      <c r="H118" s="12">
        <f t="shared" si="5"/>
        <v>0</v>
      </c>
      <c r="I118" s="10">
        <f t="shared" si="6"/>
        <v>0</v>
      </c>
      <c r="J118" s="10" t="str">
        <f t="shared" ca="1" si="7"/>
        <v>Paid</v>
      </c>
      <c r="K118" s="10">
        <f t="shared" ca="1" si="8"/>
        <v>0</v>
      </c>
      <c r="L118" s="10" t="str">
        <f t="shared" si="9"/>
        <v>Paid</v>
      </c>
      <c r="M118" s="11">
        <v>45323</v>
      </c>
      <c r="N118" s="11">
        <v>45352</v>
      </c>
    </row>
    <row r="119" spans="1:14" x14ac:dyDescent="0.25">
      <c r="A119" s="13" t="s">
        <v>236</v>
      </c>
      <c r="B119" s="13" t="s">
        <v>127</v>
      </c>
      <c r="C119" s="14">
        <v>45338</v>
      </c>
      <c r="D119" s="14">
        <v>45368</v>
      </c>
      <c r="E119" s="14"/>
      <c r="F119" s="15">
        <v>36721.800000000003</v>
      </c>
      <c r="G119" s="15">
        <v>0</v>
      </c>
      <c r="H119" s="15">
        <f t="shared" si="5"/>
        <v>36721.800000000003</v>
      </c>
      <c r="I119" s="13" t="str">
        <f t="shared" si="6"/>
        <v/>
      </c>
      <c r="J119" s="13" t="str">
        <f t="shared" ca="1" si="7"/>
        <v>Overdue</v>
      </c>
      <c r="K119" s="13">
        <f t="shared" ca="1" si="8"/>
        <v>888</v>
      </c>
      <c r="L119" s="13" t="str">
        <f t="shared" ca="1" si="9"/>
        <v>120+ Days</v>
      </c>
      <c r="M119" s="14">
        <v>45323</v>
      </c>
      <c r="N119" s="14"/>
    </row>
    <row r="120" spans="1:14" x14ac:dyDescent="0.25">
      <c r="A120" s="10" t="s">
        <v>237</v>
      </c>
      <c r="B120" s="10" t="s">
        <v>97</v>
      </c>
      <c r="C120" s="11">
        <v>45339</v>
      </c>
      <c r="D120" s="11">
        <v>45369</v>
      </c>
      <c r="E120" s="11">
        <v>45387</v>
      </c>
      <c r="F120" s="12">
        <v>25058.18</v>
      </c>
      <c r="G120" s="12">
        <v>25058.18</v>
      </c>
      <c r="H120" s="12">
        <f t="shared" si="5"/>
        <v>0</v>
      </c>
      <c r="I120" s="10">
        <f t="shared" si="6"/>
        <v>18</v>
      </c>
      <c r="J120" s="10" t="str">
        <f t="shared" ca="1" si="7"/>
        <v>Paid</v>
      </c>
      <c r="K120" s="10">
        <f t="shared" ca="1" si="8"/>
        <v>0</v>
      </c>
      <c r="L120" s="10" t="str">
        <f t="shared" si="9"/>
        <v>Paid</v>
      </c>
      <c r="M120" s="11">
        <v>45323</v>
      </c>
      <c r="N120" s="11">
        <v>45383</v>
      </c>
    </row>
    <row r="121" spans="1:14" x14ac:dyDescent="0.25">
      <c r="A121" s="13" t="s">
        <v>238</v>
      </c>
      <c r="B121" s="13" t="s">
        <v>72</v>
      </c>
      <c r="C121" s="14">
        <v>45340</v>
      </c>
      <c r="D121" s="14">
        <v>45370</v>
      </c>
      <c r="E121" s="14"/>
      <c r="F121" s="15">
        <v>34968.17</v>
      </c>
      <c r="G121" s="15">
        <v>0</v>
      </c>
      <c r="H121" s="15">
        <f t="shared" si="5"/>
        <v>34968.17</v>
      </c>
      <c r="I121" s="13" t="str">
        <f t="shared" si="6"/>
        <v/>
      </c>
      <c r="J121" s="13" t="str">
        <f t="shared" ca="1" si="7"/>
        <v>Overdue</v>
      </c>
      <c r="K121" s="13">
        <f t="shared" ca="1" si="8"/>
        <v>886</v>
      </c>
      <c r="L121" s="13" t="str">
        <f t="shared" ca="1" si="9"/>
        <v>120+ Days</v>
      </c>
      <c r="M121" s="14">
        <v>45323</v>
      </c>
      <c r="N121" s="14"/>
    </row>
    <row r="122" spans="1:14" x14ac:dyDescent="0.25">
      <c r="A122" s="10" t="s">
        <v>239</v>
      </c>
      <c r="B122" s="10" t="s">
        <v>146</v>
      </c>
      <c r="C122" s="11">
        <v>45341</v>
      </c>
      <c r="D122" s="11">
        <v>45371</v>
      </c>
      <c r="E122" s="11">
        <v>45376</v>
      </c>
      <c r="F122" s="12">
        <v>42335.68</v>
      </c>
      <c r="G122" s="12">
        <v>42335.68</v>
      </c>
      <c r="H122" s="12">
        <f t="shared" si="5"/>
        <v>0</v>
      </c>
      <c r="I122" s="10">
        <f t="shared" si="6"/>
        <v>5</v>
      </c>
      <c r="J122" s="10" t="str">
        <f t="shared" ca="1" si="7"/>
        <v>Paid</v>
      </c>
      <c r="K122" s="10">
        <f t="shared" ca="1" si="8"/>
        <v>0</v>
      </c>
      <c r="L122" s="10" t="str">
        <f t="shared" si="9"/>
        <v>Paid</v>
      </c>
      <c r="M122" s="11">
        <v>45323</v>
      </c>
      <c r="N122" s="11">
        <v>45352</v>
      </c>
    </row>
    <row r="123" spans="1:14" x14ac:dyDescent="0.25">
      <c r="A123" s="13" t="s">
        <v>240</v>
      </c>
      <c r="B123" s="13" t="s">
        <v>182</v>
      </c>
      <c r="C123" s="14">
        <v>45335</v>
      </c>
      <c r="D123" s="14">
        <v>45365</v>
      </c>
      <c r="E123" s="14">
        <v>45374</v>
      </c>
      <c r="F123" s="15">
        <v>44095.79</v>
      </c>
      <c r="G123" s="15">
        <v>44095.79</v>
      </c>
      <c r="H123" s="15">
        <f t="shared" si="5"/>
        <v>0</v>
      </c>
      <c r="I123" s="13">
        <f t="shared" si="6"/>
        <v>9</v>
      </c>
      <c r="J123" s="13" t="str">
        <f t="shared" ca="1" si="7"/>
        <v>Paid</v>
      </c>
      <c r="K123" s="13">
        <f t="shared" ca="1" si="8"/>
        <v>0</v>
      </c>
      <c r="L123" s="13" t="str">
        <f t="shared" si="9"/>
        <v>Paid</v>
      </c>
      <c r="M123" s="14">
        <v>45323</v>
      </c>
      <c r="N123" s="14">
        <v>45352</v>
      </c>
    </row>
    <row r="124" spans="1:14" x14ac:dyDescent="0.25">
      <c r="A124" s="10" t="s">
        <v>241</v>
      </c>
      <c r="B124" s="10" t="s">
        <v>115</v>
      </c>
      <c r="C124" s="11">
        <v>45342</v>
      </c>
      <c r="D124" s="11">
        <v>45372</v>
      </c>
      <c r="E124" s="11">
        <v>45375</v>
      </c>
      <c r="F124" s="12">
        <v>79610.59</v>
      </c>
      <c r="G124" s="12">
        <v>79610.59</v>
      </c>
      <c r="H124" s="12">
        <f t="shared" si="5"/>
        <v>0</v>
      </c>
      <c r="I124" s="10">
        <f t="shared" si="6"/>
        <v>3</v>
      </c>
      <c r="J124" s="10" t="str">
        <f t="shared" ca="1" si="7"/>
        <v>Paid</v>
      </c>
      <c r="K124" s="10">
        <f t="shared" ca="1" si="8"/>
        <v>0</v>
      </c>
      <c r="L124" s="10" t="str">
        <f t="shared" si="9"/>
        <v>Paid</v>
      </c>
      <c r="M124" s="11">
        <v>45323</v>
      </c>
      <c r="N124" s="11">
        <v>45352</v>
      </c>
    </row>
    <row r="125" spans="1:14" x14ac:dyDescent="0.25">
      <c r="A125" s="13" t="s">
        <v>242</v>
      </c>
      <c r="B125" s="13" t="s">
        <v>220</v>
      </c>
      <c r="C125" s="14">
        <v>45349</v>
      </c>
      <c r="D125" s="14">
        <v>45379</v>
      </c>
      <c r="E125" s="14"/>
      <c r="F125" s="15">
        <v>46625.36</v>
      </c>
      <c r="G125" s="15">
        <v>0</v>
      </c>
      <c r="H125" s="15">
        <f t="shared" si="5"/>
        <v>46625.36</v>
      </c>
      <c r="I125" s="13" t="str">
        <f t="shared" si="6"/>
        <v/>
      </c>
      <c r="J125" s="13" t="str">
        <f t="shared" ca="1" si="7"/>
        <v>Overdue</v>
      </c>
      <c r="K125" s="13">
        <f t="shared" ca="1" si="8"/>
        <v>877</v>
      </c>
      <c r="L125" s="13" t="str">
        <f t="shared" ca="1" si="9"/>
        <v>120+ Days</v>
      </c>
      <c r="M125" s="14">
        <v>45323</v>
      </c>
      <c r="N125" s="14"/>
    </row>
    <row r="126" spans="1:14" x14ac:dyDescent="0.25">
      <c r="A126" s="10" t="s">
        <v>243</v>
      </c>
      <c r="B126" s="10" t="s">
        <v>244</v>
      </c>
      <c r="C126" s="11">
        <v>45330</v>
      </c>
      <c r="D126" s="11">
        <v>45360</v>
      </c>
      <c r="E126" s="11"/>
      <c r="F126" s="12">
        <v>32481.360000000001</v>
      </c>
      <c r="G126" s="12">
        <v>0</v>
      </c>
      <c r="H126" s="12">
        <f t="shared" si="5"/>
        <v>32481.360000000001</v>
      </c>
      <c r="I126" s="10" t="str">
        <f t="shared" si="6"/>
        <v/>
      </c>
      <c r="J126" s="10" t="str">
        <f t="shared" ca="1" si="7"/>
        <v>Overdue</v>
      </c>
      <c r="K126" s="10">
        <f t="shared" ca="1" si="8"/>
        <v>896</v>
      </c>
      <c r="L126" s="10" t="str">
        <f t="shared" ca="1" si="9"/>
        <v>120+ Days</v>
      </c>
      <c r="M126" s="11">
        <v>45323</v>
      </c>
      <c r="N126" s="11"/>
    </row>
    <row r="127" spans="1:14" x14ac:dyDescent="0.25">
      <c r="A127" s="13" t="s">
        <v>245</v>
      </c>
      <c r="B127" s="13" t="s">
        <v>180</v>
      </c>
      <c r="C127" s="14">
        <v>45349</v>
      </c>
      <c r="D127" s="14">
        <v>45379</v>
      </c>
      <c r="E127" s="14"/>
      <c r="F127" s="15">
        <v>56552.13</v>
      </c>
      <c r="G127" s="15">
        <v>0</v>
      </c>
      <c r="H127" s="15">
        <f t="shared" si="5"/>
        <v>56552.13</v>
      </c>
      <c r="I127" s="13" t="str">
        <f t="shared" si="6"/>
        <v/>
      </c>
      <c r="J127" s="13" t="str">
        <f t="shared" ca="1" si="7"/>
        <v>Overdue</v>
      </c>
      <c r="K127" s="13">
        <f t="shared" ca="1" si="8"/>
        <v>877</v>
      </c>
      <c r="L127" s="13" t="str">
        <f t="shared" ca="1" si="9"/>
        <v>120+ Days</v>
      </c>
      <c r="M127" s="14">
        <v>45323</v>
      </c>
      <c r="N127" s="14"/>
    </row>
    <row r="128" spans="1:14" x14ac:dyDescent="0.25">
      <c r="A128" s="10" t="s">
        <v>246</v>
      </c>
      <c r="B128" s="10" t="s">
        <v>171</v>
      </c>
      <c r="C128" s="11">
        <v>45344</v>
      </c>
      <c r="D128" s="11">
        <v>45374</v>
      </c>
      <c r="E128" s="11">
        <v>45405</v>
      </c>
      <c r="F128" s="12">
        <v>24086.22</v>
      </c>
      <c r="G128" s="12">
        <v>24086.22</v>
      </c>
      <c r="H128" s="12">
        <f t="shared" si="5"/>
        <v>0</v>
      </c>
      <c r="I128" s="10">
        <f t="shared" si="6"/>
        <v>31</v>
      </c>
      <c r="J128" s="10" t="str">
        <f t="shared" ca="1" si="7"/>
        <v>Paid</v>
      </c>
      <c r="K128" s="10">
        <f t="shared" ca="1" si="8"/>
        <v>0</v>
      </c>
      <c r="L128" s="10" t="str">
        <f t="shared" si="9"/>
        <v>Paid</v>
      </c>
      <c r="M128" s="11">
        <v>45323</v>
      </c>
      <c r="N128" s="11">
        <v>45383</v>
      </c>
    </row>
    <row r="129" spans="1:14" x14ac:dyDescent="0.25">
      <c r="A129" s="13" t="s">
        <v>247</v>
      </c>
      <c r="B129" s="13" t="s">
        <v>87</v>
      </c>
      <c r="C129" s="14">
        <v>45334</v>
      </c>
      <c r="D129" s="14">
        <v>45364</v>
      </c>
      <c r="E129" s="14">
        <v>45398</v>
      </c>
      <c r="F129" s="15">
        <v>19490.73</v>
      </c>
      <c r="G129" s="15">
        <v>19490.73</v>
      </c>
      <c r="H129" s="15">
        <f t="shared" si="5"/>
        <v>0</v>
      </c>
      <c r="I129" s="13">
        <f t="shared" si="6"/>
        <v>34</v>
      </c>
      <c r="J129" s="13" t="str">
        <f t="shared" ca="1" si="7"/>
        <v>Paid</v>
      </c>
      <c r="K129" s="13">
        <f t="shared" ca="1" si="8"/>
        <v>0</v>
      </c>
      <c r="L129" s="13" t="str">
        <f t="shared" si="9"/>
        <v>Paid</v>
      </c>
      <c r="M129" s="14">
        <v>45323</v>
      </c>
      <c r="N129" s="14">
        <v>45383</v>
      </c>
    </row>
    <row r="130" spans="1:14" x14ac:dyDescent="0.25">
      <c r="A130" s="10" t="s">
        <v>248</v>
      </c>
      <c r="B130" s="10" t="s">
        <v>182</v>
      </c>
      <c r="C130" s="11">
        <v>45349</v>
      </c>
      <c r="D130" s="11">
        <v>45379</v>
      </c>
      <c r="E130" s="11">
        <v>45403</v>
      </c>
      <c r="F130" s="12">
        <v>30237.78</v>
      </c>
      <c r="G130" s="12">
        <v>12478.9</v>
      </c>
      <c r="H130" s="12">
        <f t="shared" ref="H130:H193" si="10">MAX(0,F130-G130)</f>
        <v>17758.879999999997</v>
      </c>
      <c r="I130" s="10">
        <f t="shared" ref="I130:I193" si="11">IF(E130="","",MAX(0,E130-D130))</f>
        <v>24</v>
      </c>
      <c r="J130" s="10" t="str">
        <f t="shared" ref="J130:J193" ca="1" si="12">IF(H130=0,"Paid",IF(D130&lt;TODAY(),"Overdue","Open"))</f>
        <v>Overdue</v>
      </c>
      <c r="K130" s="10">
        <f t="shared" ref="K130:K193" ca="1" si="13">IF(H130=0,0,MAX(0,TODAY()-D130))</f>
        <v>877</v>
      </c>
      <c r="L130" s="10" t="str">
        <f t="shared" ref="L130:L193" ca="1" si="14">IF(H130=0,"Paid",IF(K130&lt;=30,"0-30 Days",IF(K130&lt;=60,"31-60 Days",IF(K130&lt;=90,"61-90 Days",IF(K130&lt;=120,"91-120 Days","120+ Days")))))</f>
        <v>120+ Days</v>
      </c>
      <c r="M130" s="11">
        <v>45323</v>
      </c>
      <c r="N130" s="11">
        <v>45383</v>
      </c>
    </row>
    <row r="131" spans="1:14" x14ac:dyDescent="0.25">
      <c r="A131" s="13" t="s">
        <v>249</v>
      </c>
      <c r="B131" s="13" t="s">
        <v>146</v>
      </c>
      <c r="C131" s="14">
        <v>45343</v>
      </c>
      <c r="D131" s="14">
        <v>45373</v>
      </c>
      <c r="E131" s="14">
        <v>45392</v>
      </c>
      <c r="F131" s="15">
        <v>30242.89</v>
      </c>
      <c r="G131" s="15">
        <v>30242.89</v>
      </c>
      <c r="H131" s="15">
        <f t="shared" si="10"/>
        <v>0</v>
      </c>
      <c r="I131" s="13">
        <f t="shared" si="11"/>
        <v>19</v>
      </c>
      <c r="J131" s="13" t="str">
        <f t="shared" ca="1" si="12"/>
        <v>Paid</v>
      </c>
      <c r="K131" s="13">
        <f t="shared" ca="1" si="13"/>
        <v>0</v>
      </c>
      <c r="L131" s="13" t="str">
        <f t="shared" si="14"/>
        <v>Paid</v>
      </c>
      <c r="M131" s="14">
        <v>45323</v>
      </c>
      <c r="N131" s="14">
        <v>45383</v>
      </c>
    </row>
    <row r="132" spans="1:14" x14ac:dyDescent="0.25">
      <c r="A132" s="10" t="s">
        <v>250</v>
      </c>
      <c r="B132" s="10" t="s">
        <v>146</v>
      </c>
      <c r="C132" s="11">
        <v>45346</v>
      </c>
      <c r="D132" s="11">
        <v>45376</v>
      </c>
      <c r="E132" s="11">
        <v>45376</v>
      </c>
      <c r="F132" s="12">
        <v>14382.55</v>
      </c>
      <c r="G132" s="12">
        <v>14382.55</v>
      </c>
      <c r="H132" s="12">
        <f t="shared" si="10"/>
        <v>0</v>
      </c>
      <c r="I132" s="10">
        <f t="shared" si="11"/>
        <v>0</v>
      </c>
      <c r="J132" s="10" t="str">
        <f t="shared" ca="1" si="12"/>
        <v>Paid</v>
      </c>
      <c r="K132" s="10">
        <f t="shared" ca="1" si="13"/>
        <v>0</v>
      </c>
      <c r="L132" s="10" t="str">
        <f t="shared" si="14"/>
        <v>Paid</v>
      </c>
      <c r="M132" s="11">
        <v>45323</v>
      </c>
      <c r="N132" s="11">
        <v>45352</v>
      </c>
    </row>
    <row r="133" spans="1:14" x14ac:dyDescent="0.25">
      <c r="A133" s="13" t="s">
        <v>251</v>
      </c>
      <c r="B133" s="13" t="s">
        <v>230</v>
      </c>
      <c r="C133" s="14">
        <v>45335</v>
      </c>
      <c r="D133" s="14">
        <v>45365</v>
      </c>
      <c r="E133" s="14">
        <v>45365</v>
      </c>
      <c r="F133" s="15">
        <v>76952.679999999993</v>
      </c>
      <c r="G133" s="15">
        <v>76952.679999999993</v>
      </c>
      <c r="H133" s="15">
        <f t="shared" si="10"/>
        <v>0</v>
      </c>
      <c r="I133" s="13">
        <f t="shared" si="11"/>
        <v>0</v>
      </c>
      <c r="J133" s="13" t="str">
        <f t="shared" ca="1" si="12"/>
        <v>Paid</v>
      </c>
      <c r="K133" s="13">
        <f t="shared" ca="1" si="13"/>
        <v>0</v>
      </c>
      <c r="L133" s="13" t="str">
        <f t="shared" si="14"/>
        <v>Paid</v>
      </c>
      <c r="M133" s="14">
        <v>45323</v>
      </c>
      <c r="N133" s="14">
        <v>45352</v>
      </c>
    </row>
    <row r="134" spans="1:14" x14ac:dyDescent="0.25">
      <c r="A134" s="10" t="s">
        <v>252</v>
      </c>
      <c r="B134" s="10" t="s">
        <v>134</v>
      </c>
      <c r="C134" s="11">
        <v>45330</v>
      </c>
      <c r="D134" s="11">
        <v>45360</v>
      </c>
      <c r="E134" s="11">
        <v>45360</v>
      </c>
      <c r="F134" s="12">
        <v>58081.91</v>
      </c>
      <c r="G134" s="12">
        <v>58081.91</v>
      </c>
      <c r="H134" s="12">
        <f t="shared" si="10"/>
        <v>0</v>
      </c>
      <c r="I134" s="10">
        <f t="shared" si="11"/>
        <v>0</v>
      </c>
      <c r="J134" s="10" t="str">
        <f t="shared" ca="1" si="12"/>
        <v>Paid</v>
      </c>
      <c r="K134" s="10">
        <f t="shared" ca="1" si="13"/>
        <v>0</v>
      </c>
      <c r="L134" s="10" t="str">
        <f t="shared" si="14"/>
        <v>Paid</v>
      </c>
      <c r="M134" s="11">
        <v>45323</v>
      </c>
      <c r="N134" s="11">
        <v>45352</v>
      </c>
    </row>
    <row r="135" spans="1:14" x14ac:dyDescent="0.25">
      <c r="A135" s="13" t="s">
        <v>253</v>
      </c>
      <c r="B135" s="13" t="s">
        <v>119</v>
      </c>
      <c r="C135" s="14">
        <v>45347</v>
      </c>
      <c r="D135" s="14">
        <v>45377</v>
      </c>
      <c r="E135" s="14">
        <v>45387</v>
      </c>
      <c r="F135" s="15">
        <v>51324.27</v>
      </c>
      <c r="G135" s="15">
        <v>51324.27</v>
      </c>
      <c r="H135" s="15">
        <f t="shared" si="10"/>
        <v>0</v>
      </c>
      <c r="I135" s="13">
        <f t="shared" si="11"/>
        <v>10</v>
      </c>
      <c r="J135" s="13" t="str">
        <f t="shared" ca="1" si="12"/>
        <v>Paid</v>
      </c>
      <c r="K135" s="13">
        <f t="shared" ca="1" si="13"/>
        <v>0</v>
      </c>
      <c r="L135" s="13" t="str">
        <f t="shared" si="14"/>
        <v>Paid</v>
      </c>
      <c r="M135" s="14">
        <v>45323</v>
      </c>
      <c r="N135" s="14">
        <v>45383</v>
      </c>
    </row>
    <row r="136" spans="1:14" x14ac:dyDescent="0.25">
      <c r="A136" s="10" t="s">
        <v>254</v>
      </c>
      <c r="B136" s="10" t="s">
        <v>131</v>
      </c>
      <c r="C136" s="11">
        <v>45343</v>
      </c>
      <c r="D136" s="11">
        <v>45373</v>
      </c>
      <c r="E136" s="11">
        <v>45373</v>
      </c>
      <c r="F136" s="12">
        <v>48799.59</v>
      </c>
      <c r="G136" s="12">
        <v>48799.59</v>
      </c>
      <c r="H136" s="12">
        <f t="shared" si="10"/>
        <v>0</v>
      </c>
      <c r="I136" s="10">
        <f t="shared" si="11"/>
        <v>0</v>
      </c>
      <c r="J136" s="10" t="str">
        <f t="shared" ca="1" si="12"/>
        <v>Paid</v>
      </c>
      <c r="K136" s="10">
        <f t="shared" ca="1" si="13"/>
        <v>0</v>
      </c>
      <c r="L136" s="10" t="str">
        <f t="shared" si="14"/>
        <v>Paid</v>
      </c>
      <c r="M136" s="11">
        <v>45323</v>
      </c>
      <c r="N136" s="11">
        <v>45352</v>
      </c>
    </row>
    <row r="137" spans="1:14" x14ac:dyDescent="0.25">
      <c r="A137" s="13" t="s">
        <v>255</v>
      </c>
      <c r="B137" s="13" t="s">
        <v>97</v>
      </c>
      <c r="C137" s="14">
        <v>45342</v>
      </c>
      <c r="D137" s="14">
        <v>45372</v>
      </c>
      <c r="E137" s="14">
        <v>45372</v>
      </c>
      <c r="F137" s="15">
        <v>56534.2</v>
      </c>
      <c r="G137" s="15">
        <v>56534.2</v>
      </c>
      <c r="H137" s="15">
        <f t="shared" si="10"/>
        <v>0</v>
      </c>
      <c r="I137" s="13">
        <f t="shared" si="11"/>
        <v>0</v>
      </c>
      <c r="J137" s="13" t="str">
        <f t="shared" ca="1" si="12"/>
        <v>Paid</v>
      </c>
      <c r="K137" s="13">
        <f t="shared" ca="1" si="13"/>
        <v>0</v>
      </c>
      <c r="L137" s="13" t="str">
        <f t="shared" si="14"/>
        <v>Paid</v>
      </c>
      <c r="M137" s="14">
        <v>45323</v>
      </c>
      <c r="N137" s="14">
        <v>45352</v>
      </c>
    </row>
    <row r="138" spans="1:14" x14ac:dyDescent="0.25">
      <c r="A138" s="10" t="s">
        <v>256</v>
      </c>
      <c r="B138" s="10" t="s">
        <v>244</v>
      </c>
      <c r="C138" s="11">
        <v>45325</v>
      </c>
      <c r="D138" s="11">
        <v>45355</v>
      </c>
      <c r="E138" s="11">
        <v>45424</v>
      </c>
      <c r="F138" s="12">
        <v>29960.68</v>
      </c>
      <c r="G138" s="12">
        <v>29960.68</v>
      </c>
      <c r="H138" s="12">
        <f t="shared" si="10"/>
        <v>0</v>
      </c>
      <c r="I138" s="10">
        <f t="shared" si="11"/>
        <v>69</v>
      </c>
      <c r="J138" s="10" t="str">
        <f t="shared" ca="1" si="12"/>
        <v>Paid</v>
      </c>
      <c r="K138" s="10">
        <f t="shared" ca="1" si="13"/>
        <v>0</v>
      </c>
      <c r="L138" s="10" t="str">
        <f t="shared" si="14"/>
        <v>Paid</v>
      </c>
      <c r="M138" s="11">
        <v>45323</v>
      </c>
      <c r="N138" s="11">
        <v>45413</v>
      </c>
    </row>
    <row r="139" spans="1:14" x14ac:dyDescent="0.25">
      <c r="A139" s="13" t="s">
        <v>257</v>
      </c>
      <c r="B139" s="13" t="s">
        <v>95</v>
      </c>
      <c r="C139" s="14">
        <v>45339</v>
      </c>
      <c r="D139" s="14">
        <v>45369</v>
      </c>
      <c r="E139" s="14">
        <v>45388</v>
      </c>
      <c r="F139" s="15">
        <v>27151.4</v>
      </c>
      <c r="G139" s="15">
        <v>27151.4</v>
      </c>
      <c r="H139" s="15">
        <f t="shared" si="10"/>
        <v>0</v>
      </c>
      <c r="I139" s="13">
        <f t="shared" si="11"/>
        <v>19</v>
      </c>
      <c r="J139" s="13" t="str">
        <f t="shared" ca="1" si="12"/>
        <v>Paid</v>
      </c>
      <c r="K139" s="13">
        <f t="shared" ca="1" si="13"/>
        <v>0</v>
      </c>
      <c r="L139" s="13" t="str">
        <f t="shared" si="14"/>
        <v>Paid</v>
      </c>
      <c r="M139" s="14">
        <v>45323</v>
      </c>
      <c r="N139" s="14">
        <v>45383</v>
      </c>
    </row>
    <row r="140" spans="1:14" x14ac:dyDescent="0.25">
      <c r="A140" s="10" t="s">
        <v>258</v>
      </c>
      <c r="B140" s="10" t="s">
        <v>222</v>
      </c>
      <c r="C140" s="11">
        <v>45366</v>
      </c>
      <c r="D140" s="11">
        <v>45396</v>
      </c>
      <c r="E140" s="11"/>
      <c r="F140" s="12">
        <v>31625.29</v>
      </c>
      <c r="G140" s="12">
        <v>0</v>
      </c>
      <c r="H140" s="12">
        <f t="shared" si="10"/>
        <v>31625.29</v>
      </c>
      <c r="I140" s="10" t="str">
        <f t="shared" si="11"/>
        <v/>
      </c>
      <c r="J140" s="10" t="str">
        <f t="shared" ca="1" si="12"/>
        <v>Overdue</v>
      </c>
      <c r="K140" s="10">
        <f t="shared" ca="1" si="13"/>
        <v>860</v>
      </c>
      <c r="L140" s="10" t="str">
        <f t="shared" ca="1" si="14"/>
        <v>120+ Days</v>
      </c>
      <c r="M140" s="11">
        <v>45352</v>
      </c>
      <c r="N140" s="11"/>
    </row>
    <row r="141" spans="1:14" x14ac:dyDescent="0.25">
      <c r="A141" s="13" t="s">
        <v>259</v>
      </c>
      <c r="B141" s="13" t="s">
        <v>119</v>
      </c>
      <c r="C141" s="14">
        <v>45362</v>
      </c>
      <c r="D141" s="14">
        <v>45392</v>
      </c>
      <c r="E141" s="14"/>
      <c r="F141" s="15">
        <v>15699.56</v>
      </c>
      <c r="G141" s="15">
        <v>0</v>
      </c>
      <c r="H141" s="15">
        <f t="shared" si="10"/>
        <v>15699.56</v>
      </c>
      <c r="I141" s="13" t="str">
        <f t="shared" si="11"/>
        <v/>
      </c>
      <c r="J141" s="13" t="str">
        <f t="shared" ca="1" si="12"/>
        <v>Overdue</v>
      </c>
      <c r="K141" s="13">
        <f t="shared" ca="1" si="13"/>
        <v>864</v>
      </c>
      <c r="L141" s="13" t="str">
        <f t="shared" ca="1" si="14"/>
        <v>120+ Days</v>
      </c>
      <c r="M141" s="14">
        <v>45352</v>
      </c>
      <c r="N141" s="14"/>
    </row>
    <row r="142" spans="1:14" x14ac:dyDescent="0.25">
      <c r="A142" s="10" t="s">
        <v>260</v>
      </c>
      <c r="B142" s="10" t="s">
        <v>99</v>
      </c>
      <c r="C142" s="11">
        <v>45358</v>
      </c>
      <c r="D142" s="11">
        <v>45388</v>
      </c>
      <c r="E142" s="11">
        <v>45406</v>
      </c>
      <c r="F142" s="12">
        <v>28638.43</v>
      </c>
      <c r="G142" s="12">
        <v>28638.43</v>
      </c>
      <c r="H142" s="12">
        <f t="shared" si="10"/>
        <v>0</v>
      </c>
      <c r="I142" s="10">
        <f t="shared" si="11"/>
        <v>18</v>
      </c>
      <c r="J142" s="10" t="str">
        <f t="shared" ca="1" si="12"/>
        <v>Paid</v>
      </c>
      <c r="K142" s="10">
        <f t="shared" ca="1" si="13"/>
        <v>0</v>
      </c>
      <c r="L142" s="10" t="str">
        <f t="shared" si="14"/>
        <v>Paid</v>
      </c>
      <c r="M142" s="11">
        <v>45352</v>
      </c>
      <c r="N142" s="11">
        <v>45383</v>
      </c>
    </row>
    <row r="143" spans="1:14" x14ac:dyDescent="0.25">
      <c r="A143" s="13" t="s">
        <v>261</v>
      </c>
      <c r="B143" s="13" t="s">
        <v>169</v>
      </c>
      <c r="C143" s="14">
        <v>45368</v>
      </c>
      <c r="D143" s="14">
        <v>45398</v>
      </c>
      <c r="E143" s="14">
        <v>45417</v>
      </c>
      <c r="F143" s="15">
        <v>25780.38</v>
      </c>
      <c r="G143" s="15">
        <v>25780.38</v>
      </c>
      <c r="H143" s="15">
        <f t="shared" si="10"/>
        <v>0</v>
      </c>
      <c r="I143" s="13">
        <f t="shared" si="11"/>
        <v>19</v>
      </c>
      <c r="J143" s="13" t="str">
        <f t="shared" ca="1" si="12"/>
        <v>Paid</v>
      </c>
      <c r="K143" s="13">
        <f t="shared" ca="1" si="13"/>
        <v>0</v>
      </c>
      <c r="L143" s="13" t="str">
        <f t="shared" si="14"/>
        <v>Paid</v>
      </c>
      <c r="M143" s="14">
        <v>45352</v>
      </c>
      <c r="N143" s="14">
        <v>45413</v>
      </c>
    </row>
    <row r="144" spans="1:14" x14ac:dyDescent="0.25">
      <c r="A144" s="10" t="s">
        <v>262</v>
      </c>
      <c r="B144" s="10" t="s">
        <v>198</v>
      </c>
      <c r="C144" s="11">
        <v>45369</v>
      </c>
      <c r="D144" s="11">
        <v>45399</v>
      </c>
      <c r="E144" s="11">
        <v>45411</v>
      </c>
      <c r="F144" s="12">
        <v>46265.08</v>
      </c>
      <c r="G144" s="12">
        <v>46265.08</v>
      </c>
      <c r="H144" s="12">
        <f t="shared" si="10"/>
        <v>0</v>
      </c>
      <c r="I144" s="10">
        <f t="shared" si="11"/>
        <v>12</v>
      </c>
      <c r="J144" s="10" t="str">
        <f t="shared" ca="1" si="12"/>
        <v>Paid</v>
      </c>
      <c r="K144" s="10">
        <f t="shared" ca="1" si="13"/>
        <v>0</v>
      </c>
      <c r="L144" s="10" t="str">
        <f t="shared" si="14"/>
        <v>Paid</v>
      </c>
      <c r="M144" s="11">
        <v>45352</v>
      </c>
      <c r="N144" s="11">
        <v>45383</v>
      </c>
    </row>
    <row r="145" spans="1:14" x14ac:dyDescent="0.25">
      <c r="A145" s="13" t="s">
        <v>263</v>
      </c>
      <c r="B145" s="13" t="s">
        <v>81</v>
      </c>
      <c r="C145" s="14">
        <v>45353</v>
      </c>
      <c r="D145" s="14">
        <v>45383</v>
      </c>
      <c r="E145" s="14"/>
      <c r="F145" s="15">
        <v>47251.360000000001</v>
      </c>
      <c r="G145" s="15">
        <v>0</v>
      </c>
      <c r="H145" s="15">
        <f t="shared" si="10"/>
        <v>47251.360000000001</v>
      </c>
      <c r="I145" s="13" t="str">
        <f t="shared" si="11"/>
        <v/>
      </c>
      <c r="J145" s="13" t="str">
        <f t="shared" ca="1" si="12"/>
        <v>Overdue</v>
      </c>
      <c r="K145" s="13">
        <f t="shared" ca="1" si="13"/>
        <v>873</v>
      </c>
      <c r="L145" s="13" t="str">
        <f t="shared" ca="1" si="14"/>
        <v>120+ Days</v>
      </c>
      <c r="M145" s="14">
        <v>45352</v>
      </c>
      <c r="N145" s="14"/>
    </row>
    <row r="146" spans="1:14" x14ac:dyDescent="0.25">
      <c r="A146" s="10" t="s">
        <v>264</v>
      </c>
      <c r="B146" s="10" t="s">
        <v>265</v>
      </c>
      <c r="C146" s="11">
        <v>45367</v>
      </c>
      <c r="D146" s="11">
        <v>45397</v>
      </c>
      <c r="E146" s="11">
        <v>45422</v>
      </c>
      <c r="F146" s="12">
        <v>59827.86</v>
      </c>
      <c r="G146" s="12">
        <v>59827.86</v>
      </c>
      <c r="H146" s="12">
        <f t="shared" si="10"/>
        <v>0</v>
      </c>
      <c r="I146" s="10">
        <f t="shared" si="11"/>
        <v>25</v>
      </c>
      <c r="J146" s="10" t="str">
        <f t="shared" ca="1" si="12"/>
        <v>Paid</v>
      </c>
      <c r="K146" s="10">
        <f t="shared" ca="1" si="13"/>
        <v>0</v>
      </c>
      <c r="L146" s="10" t="str">
        <f t="shared" si="14"/>
        <v>Paid</v>
      </c>
      <c r="M146" s="11">
        <v>45352</v>
      </c>
      <c r="N146" s="11">
        <v>45413</v>
      </c>
    </row>
    <row r="147" spans="1:14" x14ac:dyDescent="0.25">
      <c r="A147" s="13" t="s">
        <v>266</v>
      </c>
      <c r="B147" s="13" t="s">
        <v>159</v>
      </c>
      <c r="C147" s="14">
        <v>45367</v>
      </c>
      <c r="D147" s="14">
        <v>45397</v>
      </c>
      <c r="E147" s="14">
        <v>45473</v>
      </c>
      <c r="F147" s="15">
        <v>30047.23</v>
      </c>
      <c r="G147" s="15">
        <v>30047.23</v>
      </c>
      <c r="H147" s="15">
        <f t="shared" si="10"/>
        <v>0</v>
      </c>
      <c r="I147" s="13">
        <f t="shared" si="11"/>
        <v>76</v>
      </c>
      <c r="J147" s="13" t="str">
        <f t="shared" ca="1" si="12"/>
        <v>Paid</v>
      </c>
      <c r="K147" s="13">
        <f t="shared" ca="1" si="13"/>
        <v>0</v>
      </c>
      <c r="L147" s="13" t="str">
        <f t="shared" si="14"/>
        <v>Paid</v>
      </c>
      <c r="M147" s="14">
        <v>45352</v>
      </c>
      <c r="N147" s="14">
        <v>45444</v>
      </c>
    </row>
    <row r="148" spans="1:14" x14ac:dyDescent="0.25">
      <c r="A148" s="10" t="s">
        <v>267</v>
      </c>
      <c r="B148" s="10" t="s">
        <v>117</v>
      </c>
      <c r="C148" s="11">
        <v>45370</v>
      </c>
      <c r="D148" s="11">
        <v>45400</v>
      </c>
      <c r="E148" s="11">
        <v>45421</v>
      </c>
      <c r="F148" s="12">
        <v>87038.51</v>
      </c>
      <c r="G148" s="12">
        <v>87038.51</v>
      </c>
      <c r="H148" s="12">
        <f t="shared" si="10"/>
        <v>0</v>
      </c>
      <c r="I148" s="10">
        <f t="shared" si="11"/>
        <v>21</v>
      </c>
      <c r="J148" s="10" t="str">
        <f t="shared" ca="1" si="12"/>
        <v>Paid</v>
      </c>
      <c r="K148" s="10">
        <f t="shared" ca="1" si="13"/>
        <v>0</v>
      </c>
      <c r="L148" s="10" t="str">
        <f t="shared" si="14"/>
        <v>Paid</v>
      </c>
      <c r="M148" s="11">
        <v>45352</v>
      </c>
      <c r="N148" s="11">
        <v>45413</v>
      </c>
    </row>
    <row r="149" spans="1:14" x14ac:dyDescent="0.25">
      <c r="A149" s="13" t="s">
        <v>268</v>
      </c>
      <c r="B149" s="13" t="s">
        <v>134</v>
      </c>
      <c r="C149" s="14">
        <v>45373</v>
      </c>
      <c r="D149" s="14">
        <v>45403</v>
      </c>
      <c r="E149" s="14">
        <v>45403</v>
      </c>
      <c r="F149" s="15">
        <v>33350.6</v>
      </c>
      <c r="G149" s="15">
        <v>33350.6</v>
      </c>
      <c r="H149" s="15">
        <f t="shared" si="10"/>
        <v>0</v>
      </c>
      <c r="I149" s="13">
        <f t="shared" si="11"/>
        <v>0</v>
      </c>
      <c r="J149" s="13" t="str">
        <f t="shared" ca="1" si="12"/>
        <v>Paid</v>
      </c>
      <c r="K149" s="13">
        <f t="shared" ca="1" si="13"/>
        <v>0</v>
      </c>
      <c r="L149" s="13" t="str">
        <f t="shared" si="14"/>
        <v>Paid</v>
      </c>
      <c r="M149" s="14">
        <v>45352</v>
      </c>
      <c r="N149" s="14">
        <v>45383</v>
      </c>
    </row>
    <row r="150" spans="1:14" x14ac:dyDescent="0.25">
      <c r="A150" s="10" t="s">
        <v>269</v>
      </c>
      <c r="B150" s="10" t="s">
        <v>265</v>
      </c>
      <c r="C150" s="11">
        <v>45365</v>
      </c>
      <c r="D150" s="11">
        <v>45395</v>
      </c>
      <c r="E150" s="11">
        <v>45395</v>
      </c>
      <c r="F150" s="12">
        <v>24229.16</v>
      </c>
      <c r="G150" s="12">
        <v>24229.16</v>
      </c>
      <c r="H150" s="12">
        <f t="shared" si="10"/>
        <v>0</v>
      </c>
      <c r="I150" s="10">
        <f t="shared" si="11"/>
        <v>0</v>
      </c>
      <c r="J150" s="10" t="str">
        <f t="shared" ca="1" si="12"/>
        <v>Paid</v>
      </c>
      <c r="K150" s="10">
        <f t="shared" ca="1" si="13"/>
        <v>0</v>
      </c>
      <c r="L150" s="10" t="str">
        <f t="shared" si="14"/>
        <v>Paid</v>
      </c>
      <c r="M150" s="11">
        <v>45352</v>
      </c>
      <c r="N150" s="11">
        <v>45383</v>
      </c>
    </row>
    <row r="151" spans="1:14" x14ac:dyDescent="0.25">
      <c r="A151" s="13" t="s">
        <v>270</v>
      </c>
      <c r="B151" s="13" t="s">
        <v>271</v>
      </c>
      <c r="C151" s="14">
        <v>45367</v>
      </c>
      <c r="D151" s="14">
        <v>45397</v>
      </c>
      <c r="E151" s="14">
        <v>45441</v>
      </c>
      <c r="F151" s="15">
        <v>23078.67</v>
      </c>
      <c r="G151" s="15">
        <v>23078.67</v>
      </c>
      <c r="H151" s="15">
        <f t="shared" si="10"/>
        <v>0</v>
      </c>
      <c r="I151" s="13">
        <f t="shared" si="11"/>
        <v>44</v>
      </c>
      <c r="J151" s="13" t="str">
        <f t="shared" ca="1" si="12"/>
        <v>Paid</v>
      </c>
      <c r="K151" s="13">
        <f t="shared" ca="1" si="13"/>
        <v>0</v>
      </c>
      <c r="L151" s="13" t="str">
        <f t="shared" si="14"/>
        <v>Paid</v>
      </c>
      <c r="M151" s="14">
        <v>45352</v>
      </c>
      <c r="N151" s="14">
        <v>45413</v>
      </c>
    </row>
    <row r="152" spans="1:14" x14ac:dyDescent="0.25">
      <c r="A152" s="10" t="s">
        <v>272</v>
      </c>
      <c r="B152" s="10" t="s">
        <v>107</v>
      </c>
      <c r="C152" s="11">
        <v>45353</v>
      </c>
      <c r="D152" s="11">
        <v>45383</v>
      </c>
      <c r="E152" s="11">
        <v>45389</v>
      </c>
      <c r="F152" s="12">
        <v>33363.46</v>
      </c>
      <c r="G152" s="12">
        <v>33363.46</v>
      </c>
      <c r="H152" s="12">
        <f t="shared" si="10"/>
        <v>0</v>
      </c>
      <c r="I152" s="10">
        <f t="shared" si="11"/>
        <v>6</v>
      </c>
      <c r="J152" s="10" t="str">
        <f t="shared" ca="1" si="12"/>
        <v>Paid</v>
      </c>
      <c r="K152" s="10">
        <f t="shared" ca="1" si="13"/>
        <v>0</v>
      </c>
      <c r="L152" s="10" t="str">
        <f t="shared" si="14"/>
        <v>Paid</v>
      </c>
      <c r="M152" s="11">
        <v>45352</v>
      </c>
      <c r="N152" s="11">
        <v>45383</v>
      </c>
    </row>
    <row r="153" spans="1:14" x14ac:dyDescent="0.25">
      <c r="A153" s="13" t="s">
        <v>273</v>
      </c>
      <c r="B153" s="13" t="s">
        <v>274</v>
      </c>
      <c r="C153" s="14">
        <v>45372</v>
      </c>
      <c r="D153" s="14">
        <v>45402</v>
      </c>
      <c r="E153" s="14">
        <v>45438</v>
      </c>
      <c r="F153" s="15">
        <v>22319.65</v>
      </c>
      <c r="G153" s="15">
        <v>22319.65</v>
      </c>
      <c r="H153" s="15">
        <f t="shared" si="10"/>
        <v>0</v>
      </c>
      <c r="I153" s="13">
        <f t="shared" si="11"/>
        <v>36</v>
      </c>
      <c r="J153" s="13" t="str">
        <f t="shared" ca="1" si="12"/>
        <v>Paid</v>
      </c>
      <c r="K153" s="13">
        <f t="shared" ca="1" si="13"/>
        <v>0</v>
      </c>
      <c r="L153" s="13" t="str">
        <f t="shared" si="14"/>
        <v>Paid</v>
      </c>
      <c r="M153" s="14">
        <v>45352</v>
      </c>
      <c r="N153" s="14">
        <v>45413</v>
      </c>
    </row>
    <row r="154" spans="1:14" x14ac:dyDescent="0.25">
      <c r="A154" s="10" t="s">
        <v>275</v>
      </c>
      <c r="B154" s="10" t="s">
        <v>70</v>
      </c>
      <c r="C154" s="11">
        <v>45353</v>
      </c>
      <c r="D154" s="11">
        <v>45383</v>
      </c>
      <c r="E154" s="11">
        <v>45415</v>
      </c>
      <c r="F154" s="12">
        <v>33797.94</v>
      </c>
      <c r="G154" s="12">
        <v>16347.77</v>
      </c>
      <c r="H154" s="12">
        <f t="shared" si="10"/>
        <v>17450.170000000002</v>
      </c>
      <c r="I154" s="10">
        <f t="shared" si="11"/>
        <v>32</v>
      </c>
      <c r="J154" s="10" t="str">
        <f t="shared" ca="1" si="12"/>
        <v>Overdue</v>
      </c>
      <c r="K154" s="10">
        <f t="shared" ca="1" si="13"/>
        <v>873</v>
      </c>
      <c r="L154" s="10" t="str">
        <f t="shared" ca="1" si="14"/>
        <v>120+ Days</v>
      </c>
      <c r="M154" s="11">
        <v>45352</v>
      </c>
      <c r="N154" s="11">
        <v>45413</v>
      </c>
    </row>
    <row r="155" spans="1:14" x14ac:dyDescent="0.25">
      <c r="A155" s="13" t="s">
        <v>276</v>
      </c>
      <c r="B155" s="13" t="s">
        <v>115</v>
      </c>
      <c r="C155" s="14">
        <v>45359</v>
      </c>
      <c r="D155" s="14">
        <v>45389</v>
      </c>
      <c r="E155" s="14">
        <v>45392</v>
      </c>
      <c r="F155" s="15">
        <v>21605.58</v>
      </c>
      <c r="G155" s="15">
        <v>21605.58</v>
      </c>
      <c r="H155" s="15">
        <f t="shared" si="10"/>
        <v>0</v>
      </c>
      <c r="I155" s="13">
        <f t="shared" si="11"/>
        <v>3</v>
      </c>
      <c r="J155" s="13" t="str">
        <f t="shared" ca="1" si="12"/>
        <v>Paid</v>
      </c>
      <c r="K155" s="13">
        <f t="shared" ca="1" si="13"/>
        <v>0</v>
      </c>
      <c r="L155" s="13" t="str">
        <f t="shared" si="14"/>
        <v>Paid</v>
      </c>
      <c r="M155" s="14">
        <v>45352</v>
      </c>
      <c r="N155" s="14">
        <v>45383</v>
      </c>
    </row>
    <row r="156" spans="1:14" x14ac:dyDescent="0.25">
      <c r="A156" s="10" t="s">
        <v>277</v>
      </c>
      <c r="B156" s="10" t="s">
        <v>278</v>
      </c>
      <c r="C156" s="11">
        <v>45355</v>
      </c>
      <c r="D156" s="11">
        <v>45385</v>
      </c>
      <c r="E156" s="11">
        <v>45460</v>
      </c>
      <c r="F156" s="12">
        <v>19560.349999999999</v>
      </c>
      <c r="G156" s="12">
        <v>19560.349999999999</v>
      </c>
      <c r="H156" s="12">
        <f t="shared" si="10"/>
        <v>0</v>
      </c>
      <c r="I156" s="10">
        <f t="shared" si="11"/>
        <v>75</v>
      </c>
      <c r="J156" s="10" t="str">
        <f t="shared" ca="1" si="12"/>
        <v>Paid</v>
      </c>
      <c r="K156" s="10">
        <f t="shared" ca="1" si="13"/>
        <v>0</v>
      </c>
      <c r="L156" s="10" t="str">
        <f t="shared" si="14"/>
        <v>Paid</v>
      </c>
      <c r="M156" s="11">
        <v>45352</v>
      </c>
      <c r="N156" s="11">
        <v>45444</v>
      </c>
    </row>
    <row r="157" spans="1:14" x14ac:dyDescent="0.25">
      <c r="A157" s="13" t="s">
        <v>279</v>
      </c>
      <c r="B157" s="13" t="s">
        <v>101</v>
      </c>
      <c r="C157" s="14">
        <v>45366</v>
      </c>
      <c r="D157" s="14">
        <v>45396</v>
      </c>
      <c r="E157" s="14">
        <v>45440</v>
      </c>
      <c r="F157" s="15">
        <v>21758.2</v>
      </c>
      <c r="G157" s="15">
        <v>21758.2</v>
      </c>
      <c r="H157" s="15">
        <f t="shared" si="10"/>
        <v>0</v>
      </c>
      <c r="I157" s="13">
        <f t="shared" si="11"/>
        <v>44</v>
      </c>
      <c r="J157" s="13" t="str">
        <f t="shared" ca="1" si="12"/>
        <v>Paid</v>
      </c>
      <c r="K157" s="13">
        <f t="shared" ca="1" si="13"/>
        <v>0</v>
      </c>
      <c r="L157" s="13" t="str">
        <f t="shared" si="14"/>
        <v>Paid</v>
      </c>
      <c r="M157" s="14">
        <v>45352</v>
      </c>
      <c r="N157" s="14">
        <v>45413</v>
      </c>
    </row>
    <row r="158" spans="1:14" x14ac:dyDescent="0.25">
      <c r="A158" s="10" t="s">
        <v>280</v>
      </c>
      <c r="B158" s="10" t="s">
        <v>140</v>
      </c>
      <c r="C158" s="11">
        <v>45373</v>
      </c>
      <c r="D158" s="11">
        <v>45403</v>
      </c>
      <c r="E158" s="11">
        <v>45403</v>
      </c>
      <c r="F158" s="12">
        <v>10889.93</v>
      </c>
      <c r="G158" s="12">
        <v>10889.93</v>
      </c>
      <c r="H158" s="12">
        <f t="shared" si="10"/>
        <v>0</v>
      </c>
      <c r="I158" s="10">
        <f t="shared" si="11"/>
        <v>0</v>
      </c>
      <c r="J158" s="10" t="str">
        <f t="shared" ca="1" si="12"/>
        <v>Paid</v>
      </c>
      <c r="K158" s="10">
        <f t="shared" ca="1" si="13"/>
        <v>0</v>
      </c>
      <c r="L158" s="10" t="str">
        <f t="shared" si="14"/>
        <v>Paid</v>
      </c>
      <c r="M158" s="11">
        <v>45352</v>
      </c>
      <c r="N158" s="11">
        <v>45383</v>
      </c>
    </row>
    <row r="159" spans="1:14" x14ac:dyDescent="0.25">
      <c r="A159" s="13" t="s">
        <v>281</v>
      </c>
      <c r="B159" s="13" t="s">
        <v>150</v>
      </c>
      <c r="C159" s="14">
        <v>45361</v>
      </c>
      <c r="D159" s="14">
        <v>45391</v>
      </c>
      <c r="E159" s="14"/>
      <c r="F159" s="15">
        <v>44597.04</v>
      </c>
      <c r="G159" s="15">
        <v>0</v>
      </c>
      <c r="H159" s="15">
        <f t="shared" si="10"/>
        <v>44597.04</v>
      </c>
      <c r="I159" s="13" t="str">
        <f t="shared" si="11"/>
        <v/>
      </c>
      <c r="J159" s="13" t="str">
        <f t="shared" ca="1" si="12"/>
        <v>Overdue</v>
      </c>
      <c r="K159" s="13">
        <f t="shared" ca="1" si="13"/>
        <v>865</v>
      </c>
      <c r="L159" s="13" t="str">
        <f t="shared" ca="1" si="14"/>
        <v>120+ Days</v>
      </c>
      <c r="M159" s="14">
        <v>45352</v>
      </c>
      <c r="N159" s="14"/>
    </row>
    <row r="160" spans="1:14" x14ac:dyDescent="0.25">
      <c r="A160" s="10" t="s">
        <v>282</v>
      </c>
      <c r="B160" s="10" t="s">
        <v>222</v>
      </c>
      <c r="C160" s="11">
        <v>45358</v>
      </c>
      <c r="D160" s="11">
        <v>45388</v>
      </c>
      <c r="E160" s="11">
        <v>45422</v>
      </c>
      <c r="F160" s="12">
        <v>20392.28</v>
      </c>
      <c r="G160" s="12">
        <v>20392.28</v>
      </c>
      <c r="H160" s="12">
        <f t="shared" si="10"/>
        <v>0</v>
      </c>
      <c r="I160" s="10">
        <f t="shared" si="11"/>
        <v>34</v>
      </c>
      <c r="J160" s="10" t="str">
        <f t="shared" ca="1" si="12"/>
        <v>Paid</v>
      </c>
      <c r="K160" s="10">
        <f t="shared" ca="1" si="13"/>
        <v>0</v>
      </c>
      <c r="L160" s="10" t="str">
        <f t="shared" si="14"/>
        <v>Paid</v>
      </c>
      <c r="M160" s="11">
        <v>45352</v>
      </c>
      <c r="N160" s="11">
        <v>45413</v>
      </c>
    </row>
    <row r="161" spans="1:14" x14ac:dyDescent="0.25">
      <c r="A161" s="13" t="s">
        <v>283</v>
      </c>
      <c r="B161" s="13" t="s">
        <v>265</v>
      </c>
      <c r="C161" s="14">
        <v>45357</v>
      </c>
      <c r="D161" s="14">
        <v>45387</v>
      </c>
      <c r="E161" s="14">
        <v>45398</v>
      </c>
      <c r="F161" s="15">
        <v>51627.32</v>
      </c>
      <c r="G161" s="15">
        <v>51627.32</v>
      </c>
      <c r="H161" s="15">
        <f t="shared" si="10"/>
        <v>0</v>
      </c>
      <c r="I161" s="13">
        <f t="shared" si="11"/>
        <v>11</v>
      </c>
      <c r="J161" s="13" t="str">
        <f t="shared" ca="1" si="12"/>
        <v>Paid</v>
      </c>
      <c r="K161" s="13">
        <f t="shared" ca="1" si="13"/>
        <v>0</v>
      </c>
      <c r="L161" s="13" t="str">
        <f t="shared" si="14"/>
        <v>Paid</v>
      </c>
      <c r="M161" s="14">
        <v>45352</v>
      </c>
      <c r="N161" s="14">
        <v>45383</v>
      </c>
    </row>
    <row r="162" spans="1:14" x14ac:dyDescent="0.25">
      <c r="A162" s="10" t="s">
        <v>284</v>
      </c>
      <c r="B162" s="10" t="s">
        <v>91</v>
      </c>
      <c r="C162" s="11">
        <v>45356</v>
      </c>
      <c r="D162" s="11">
        <v>45386</v>
      </c>
      <c r="E162" s="11">
        <v>45463</v>
      </c>
      <c r="F162" s="12">
        <v>41646.199999999997</v>
      </c>
      <c r="G162" s="12">
        <v>41646.199999999997</v>
      </c>
      <c r="H162" s="12">
        <f t="shared" si="10"/>
        <v>0</v>
      </c>
      <c r="I162" s="10">
        <f t="shared" si="11"/>
        <v>77</v>
      </c>
      <c r="J162" s="10" t="str">
        <f t="shared" ca="1" si="12"/>
        <v>Paid</v>
      </c>
      <c r="K162" s="10">
        <f t="shared" ca="1" si="13"/>
        <v>0</v>
      </c>
      <c r="L162" s="10" t="str">
        <f t="shared" si="14"/>
        <v>Paid</v>
      </c>
      <c r="M162" s="11">
        <v>45352</v>
      </c>
      <c r="N162" s="11">
        <v>45444</v>
      </c>
    </row>
    <row r="163" spans="1:14" x14ac:dyDescent="0.25">
      <c r="A163" s="13" t="s">
        <v>285</v>
      </c>
      <c r="B163" s="13" t="s">
        <v>99</v>
      </c>
      <c r="C163" s="14">
        <v>45356</v>
      </c>
      <c r="D163" s="14">
        <v>45386</v>
      </c>
      <c r="E163" s="14">
        <v>45410</v>
      </c>
      <c r="F163" s="15">
        <v>11092.25</v>
      </c>
      <c r="G163" s="15">
        <v>11092.25</v>
      </c>
      <c r="H163" s="15">
        <f t="shared" si="10"/>
        <v>0</v>
      </c>
      <c r="I163" s="13">
        <f t="shared" si="11"/>
        <v>24</v>
      </c>
      <c r="J163" s="13" t="str">
        <f t="shared" ca="1" si="12"/>
        <v>Paid</v>
      </c>
      <c r="K163" s="13">
        <f t="shared" ca="1" si="13"/>
        <v>0</v>
      </c>
      <c r="L163" s="13" t="str">
        <f t="shared" si="14"/>
        <v>Paid</v>
      </c>
      <c r="M163" s="14">
        <v>45352</v>
      </c>
      <c r="N163" s="14">
        <v>45383</v>
      </c>
    </row>
    <row r="164" spans="1:14" x14ac:dyDescent="0.25">
      <c r="A164" s="10" t="s">
        <v>286</v>
      </c>
      <c r="B164" s="10" t="s">
        <v>72</v>
      </c>
      <c r="C164" s="11">
        <v>45354</v>
      </c>
      <c r="D164" s="11">
        <v>45384</v>
      </c>
      <c r="E164" s="11"/>
      <c r="F164" s="12">
        <v>21778.04</v>
      </c>
      <c r="G164" s="12">
        <v>0</v>
      </c>
      <c r="H164" s="12">
        <f t="shared" si="10"/>
        <v>21778.04</v>
      </c>
      <c r="I164" s="10" t="str">
        <f t="shared" si="11"/>
        <v/>
      </c>
      <c r="J164" s="10" t="str">
        <f t="shared" ca="1" si="12"/>
        <v>Overdue</v>
      </c>
      <c r="K164" s="10">
        <f t="shared" ca="1" si="13"/>
        <v>872</v>
      </c>
      <c r="L164" s="10" t="str">
        <f t="shared" ca="1" si="14"/>
        <v>120+ Days</v>
      </c>
      <c r="M164" s="11">
        <v>45352</v>
      </c>
      <c r="N164" s="11"/>
    </row>
    <row r="165" spans="1:14" x14ac:dyDescent="0.25">
      <c r="A165" s="13" t="s">
        <v>287</v>
      </c>
      <c r="B165" s="13" t="s">
        <v>99</v>
      </c>
      <c r="C165" s="14">
        <v>45365</v>
      </c>
      <c r="D165" s="14">
        <v>45395</v>
      </c>
      <c r="E165" s="14">
        <v>45409</v>
      </c>
      <c r="F165" s="15">
        <v>63701.35</v>
      </c>
      <c r="G165" s="15">
        <v>63701.35</v>
      </c>
      <c r="H165" s="15">
        <f t="shared" si="10"/>
        <v>0</v>
      </c>
      <c r="I165" s="13">
        <f t="shared" si="11"/>
        <v>14</v>
      </c>
      <c r="J165" s="13" t="str">
        <f t="shared" ca="1" si="12"/>
        <v>Paid</v>
      </c>
      <c r="K165" s="13">
        <f t="shared" ca="1" si="13"/>
        <v>0</v>
      </c>
      <c r="L165" s="13" t="str">
        <f t="shared" si="14"/>
        <v>Paid</v>
      </c>
      <c r="M165" s="14">
        <v>45352</v>
      </c>
      <c r="N165" s="14">
        <v>45383</v>
      </c>
    </row>
    <row r="166" spans="1:14" x14ac:dyDescent="0.25">
      <c r="A166" s="10" t="s">
        <v>288</v>
      </c>
      <c r="B166" s="10" t="s">
        <v>117</v>
      </c>
      <c r="C166" s="11">
        <v>45352</v>
      </c>
      <c r="D166" s="11">
        <v>45382</v>
      </c>
      <c r="E166" s="11"/>
      <c r="F166" s="12">
        <v>31118.44</v>
      </c>
      <c r="G166" s="12">
        <v>0</v>
      </c>
      <c r="H166" s="12">
        <f t="shared" si="10"/>
        <v>31118.44</v>
      </c>
      <c r="I166" s="10" t="str">
        <f t="shared" si="11"/>
        <v/>
      </c>
      <c r="J166" s="10" t="str">
        <f t="shared" ca="1" si="12"/>
        <v>Overdue</v>
      </c>
      <c r="K166" s="10">
        <f t="shared" ca="1" si="13"/>
        <v>874</v>
      </c>
      <c r="L166" s="10" t="str">
        <f t="shared" ca="1" si="14"/>
        <v>120+ Days</v>
      </c>
      <c r="M166" s="11">
        <v>45352</v>
      </c>
      <c r="N166" s="11"/>
    </row>
    <row r="167" spans="1:14" x14ac:dyDescent="0.25">
      <c r="A167" s="13" t="s">
        <v>289</v>
      </c>
      <c r="B167" s="13" t="s">
        <v>115</v>
      </c>
      <c r="C167" s="14">
        <v>45359</v>
      </c>
      <c r="D167" s="14">
        <v>45389</v>
      </c>
      <c r="E167" s="14">
        <v>45426</v>
      </c>
      <c r="F167" s="15">
        <v>32383.5</v>
      </c>
      <c r="G167" s="15">
        <v>32383.5</v>
      </c>
      <c r="H167" s="15">
        <f t="shared" si="10"/>
        <v>0</v>
      </c>
      <c r="I167" s="13">
        <f t="shared" si="11"/>
        <v>37</v>
      </c>
      <c r="J167" s="13" t="str">
        <f t="shared" ca="1" si="12"/>
        <v>Paid</v>
      </c>
      <c r="K167" s="13">
        <f t="shared" ca="1" si="13"/>
        <v>0</v>
      </c>
      <c r="L167" s="13" t="str">
        <f t="shared" si="14"/>
        <v>Paid</v>
      </c>
      <c r="M167" s="14">
        <v>45352</v>
      </c>
      <c r="N167" s="14">
        <v>45413</v>
      </c>
    </row>
    <row r="168" spans="1:14" x14ac:dyDescent="0.25">
      <c r="A168" s="10" t="s">
        <v>290</v>
      </c>
      <c r="B168" s="10" t="s">
        <v>171</v>
      </c>
      <c r="C168" s="11">
        <v>45358</v>
      </c>
      <c r="D168" s="11">
        <v>45388</v>
      </c>
      <c r="E168" s="11">
        <v>45412</v>
      </c>
      <c r="F168" s="12">
        <v>101909.72</v>
      </c>
      <c r="G168" s="12">
        <v>86235.15</v>
      </c>
      <c r="H168" s="12">
        <f t="shared" si="10"/>
        <v>15674.570000000007</v>
      </c>
      <c r="I168" s="10">
        <f t="shared" si="11"/>
        <v>24</v>
      </c>
      <c r="J168" s="10" t="str">
        <f t="shared" ca="1" si="12"/>
        <v>Overdue</v>
      </c>
      <c r="K168" s="10">
        <f t="shared" ca="1" si="13"/>
        <v>868</v>
      </c>
      <c r="L168" s="10" t="str">
        <f t="shared" ca="1" si="14"/>
        <v>120+ Days</v>
      </c>
      <c r="M168" s="11">
        <v>45352</v>
      </c>
      <c r="N168" s="11">
        <v>45383</v>
      </c>
    </row>
    <row r="169" spans="1:14" x14ac:dyDescent="0.25">
      <c r="A169" s="13" t="s">
        <v>291</v>
      </c>
      <c r="B169" s="13" t="s">
        <v>129</v>
      </c>
      <c r="C169" s="14">
        <v>45356</v>
      </c>
      <c r="D169" s="14">
        <v>45386</v>
      </c>
      <c r="E169" s="14">
        <v>45411</v>
      </c>
      <c r="F169" s="15">
        <v>54273.67</v>
      </c>
      <c r="G169" s="15">
        <v>54273.67</v>
      </c>
      <c r="H169" s="15">
        <f t="shared" si="10"/>
        <v>0</v>
      </c>
      <c r="I169" s="13">
        <f t="shared" si="11"/>
        <v>25</v>
      </c>
      <c r="J169" s="13" t="str">
        <f t="shared" ca="1" si="12"/>
        <v>Paid</v>
      </c>
      <c r="K169" s="13">
        <f t="shared" ca="1" si="13"/>
        <v>0</v>
      </c>
      <c r="L169" s="13" t="str">
        <f t="shared" si="14"/>
        <v>Paid</v>
      </c>
      <c r="M169" s="14">
        <v>45352</v>
      </c>
      <c r="N169" s="14">
        <v>45383</v>
      </c>
    </row>
    <row r="170" spans="1:14" x14ac:dyDescent="0.25">
      <c r="A170" s="10" t="s">
        <v>292</v>
      </c>
      <c r="B170" s="10" t="s">
        <v>153</v>
      </c>
      <c r="C170" s="11">
        <v>45360</v>
      </c>
      <c r="D170" s="11">
        <v>45390</v>
      </c>
      <c r="E170" s="11">
        <v>45427</v>
      </c>
      <c r="F170" s="12">
        <v>54146.8</v>
      </c>
      <c r="G170" s="12">
        <v>54146.8</v>
      </c>
      <c r="H170" s="12">
        <f t="shared" si="10"/>
        <v>0</v>
      </c>
      <c r="I170" s="10">
        <f t="shared" si="11"/>
        <v>37</v>
      </c>
      <c r="J170" s="10" t="str">
        <f t="shared" ca="1" si="12"/>
        <v>Paid</v>
      </c>
      <c r="K170" s="10">
        <f t="shared" ca="1" si="13"/>
        <v>0</v>
      </c>
      <c r="L170" s="10" t="str">
        <f t="shared" si="14"/>
        <v>Paid</v>
      </c>
      <c r="M170" s="11">
        <v>45352</v>
      </c>
      <c r="N170" s="11">
        <v>45413</v>
      </c>
    </row>
    <row r="171" spans="1:14" x14ac:dyDescent="0.25">
      <c r="A171" s="13" t="s">
        <v>293</v>
      </c>
      <c r="B171" s="13" t="s">
        <v>150</v>
      </c>
      <c r="C171" s="14">
        <v>45375</v>
      </c>
      <c r="D171" s="14">
        <v>45405</v>
      </c>
      <c r="E171" s="14">
        <v>45405</v>
      </c>
      <c r="F171" s="15">
        <v>14314.29</v>
      </c>
      <c r="G171" s="15">
        <v>14314.29</v>
      </c>
      <c r="H171" s="15">
        <f t="shared" si="10"/>
        <v>0</v>
      </c>
      <c r="I171" s="13">
        <f t="shared" si="11"/>
        <v>0</v>
      </c>
      <c r="J171" s="13" t="str">
        <f t="shared" ca="1" si="12"/>
        <v>Paid</v>
      </c>
      <c r="K171" s="13">
        <f t="shared" ca="1" si="13"/>
        <v>0</v>
      </c>
      <c r="L171" s="13" t="str">
        <f t="shared" si="14"/>
        <v>Paid</v>
      </c>
      <c r="M171" s="14">
        <v>45352</v>
      </c>
      <c r="N171" s="14">
        <v>45383</v>
      </c>
    </row>
    <row r="172" spans="1:14" x14ac:dyDescent="0.25">
      <c r="A172" s="10" t="s">
        <v>294</v>
      </c>
      <c r="B172" s="10" t="s">
        <v>111</v>
      </c>
      <c r="C172" s="11">
        <v>45352</v>
      </c>
      <c r="D172" s="11">
        <v>45382</v>
      </c>
      <c r="E172" s="11">
        <v>45414</v>
      </c>
      <c r="F172" s="12">
        <v>18884.32</v>
      </c>
      <c r="G172" s="12">
        <v>18884.32</v>
      </c>
      <c r="H172" s="12">
        <f t="shared" si="10"/>
        <v>0</v>
      </c>
      <c r="I172" s="10">
        <f t="shared" si="11"/>
        <v>32</v>
      </c>
      <c r="J172" s="10" t="str">
        <f t="shared" ca="1" si="12"/>
        <v>Paid</v>
      </c>
      <c r="K172" s="10">
        <f t="shared" ca="1" si="13"/>
        <v>0</v>
      </c>
      <c r="L172" s="10" t="str">
        <f t="shared" si="14"/>
        <v>Paid</v>
      </c>
      <c r="M172" s="11">
        <v>45352</v>
      </c>
      <c r="N172" s="11">
        <v>45413</v>
      </c>
    </row>
    <row r="173" spans="1:14" x14ac:dyDescent="0.25">
      <c r="A173" s="13" t="s">
        <v>295</v>
      </c>
      <c r="B173" s="13" t="s">
        <v>74</v>
      </c>
      <c r="C173" s="14">
        <v>45374</v>
      </c>
      <c r="D173" s="14">
        <v>45404</v>
      </c>
      <c r="E173" s="14">
        <v>45411</v>
      </c>
      <c r="F173" s="15">
        <v>43930.64</v>
      </c>
      <c r="G173" s="15">
        <v>43930.64</v>
      </c>
      <c r="H173" s="15">
        <f t="shared" si="10"/>
        <v>0</v>
      </c>
      <c r="I173" s="13">
        <f t="shared" si="11"/>
        <v>7</v>
      </c>
      <c r="J173" s="13" t="str">
        <f t="shared" ca="1" si="12"/>
        <v>Paid</v>
      </c>
      <c r="K173" s="13">
        <f t="shared" ca="1" si="13"/>
        <v>0</v>
      </c>
      <c r="L173" s="13" t="str">
        <f t="shared" si="14"/>
        <v>Paid</v>
      </c>
      <c r="M173" s="14">
        <v>45352</v>
      </c>
      <c r="N173" s="14">
        <v>45383</v>
      </c>
    </row>
    <row r="174" spans="1:14" x14ac:dyDescent="0.25">
      <c r="A174" s="10" t="s">
        <v>296</v>
      </c>
      <c r="B174" s="10" t="s">
        <v>107</v>
      </c>
      <c r="C174" s="11">
        <v>45360</v>
      </c>
      <c r="D174" s="11">
        <v>45390</v>
      </c>
      <c r="E174" s="11">
        <v>45402</v>
      </c>
      <c r="F174" s="12">
        <v>42682.25</v>
      </c>
      <c r="G174" s="12">
        <v>42682.25</v>
      </c>
      <c r="H174" s="12">
        <f t="shared" si="10"/>
        <v>0</v>
      </c>
      <c r="I174" s="10">
        <f t="shared" si="11"/>
        <v>12</v>
      </c>
      <c r="J174" s="10" t="str">
        <f t="shared" ca="1" si="12"/>
        <v>Paid</v>
      </c>
      <c r="K174" s="10">
        <f t="shared" ca="1" si="13"/>
        <v>0</v>
      </c>
      <c r="L174" s="10" t="str">
        <f t="shared" si="14"/>
        <v>Paid</v>
      </c>
      <c r="M174" s="11">
        <v>45352</v>
      </c>
      <c r="N174" s="11">
        <v>45383</v>
      </c>
    </row>
    <row r="175" spans="1:14" x14ac:dyDescent="0.25">
      <c r="A175" s="13" t="s">
        <v>297</v>
      </c>
      <c r="B175" s="13" t="s">
        <v>134</v>
      </c>
      <c r="C175" s="14">
        <v>45373</v>
      </c>
      <c r="D175" s="14">
        <v>45403</v>
      </c>
      <c r="E175" s="14">
        <v>45408</v>
      </c>
      <c r="F175" s="15">
        <v>18648.88</v>
      </c>
      <c r="G175" s="15">
        <v>18648.88</v>
      </c>
      <c r="H175" s="15">
        <f t="shared" si="10"/>
        <v>0</v>
      </c>
      <c r="I175" s="13">
        <f t="shared" si="11"/>
        <v>5</v>
      </c>
      <c r="J175" s="13" t="str">
        <f t="shared" ca="1" si="12"/>
        <v>Paid</v>
      </c>
      <c r="K175" s="13">
        <f t="shared" ca="1" si="13"/>
        <v>0</v>
      </c>
      <c r="L175" s="13" t="str">
        <f t="shared" si="14"/>
        <v>Paid</v>
      </c>
      <c r="M175" s="14">
        <v>45352</v>
      </c>
      <c r="N175" s="14">
        <v>45383</v>
      </c>
    </row>
    <row r="176" spans="1:14" x14ac:dyDescent="0.25">
      <c r="A176" s="10" t="s">
        <v>298</v>
      </c>
      <c r="B176" s="10" t="s">
        <v>81</v>
      </c>
      <c r="C176" s="11">
        <v>45365</v>
      </c>
      <c r="D176" s="11">
        <v>45395</v>
      </c>
      <c r="E176" s="11">
        <v>45422</v>
      </c>
      <c r="F176" s="12">
        <v>102606.71</v>
      </c>
      <c r="G176" s="12">
        <v>48451.040000000001</v>
      </c>
      <c r="H176" s="12">
        <f t="shared" si="10"/>
        <v>54155.670000000006</v>
      </c>
      <c r="I176" s="10">
        <f t="shared" si="11"/>
        <v>27</v>
      </c>
      <c r="J176" s="10" t="str">
        <f t="shared" ca="1" si="12"/>
        <v>Overdue</v>
      </c>
      <c r="K176" s="10">
        <f t="shared" ca="1" si="13"/>
        <v>861</v>
      </c>
      <c r="L176" s="10" t="str">
        <f t="shared" ca="1" si="14"/>
        <v>120+ Days</v>
      </c>
      <c r="M176" s="11">
        <v>45352</v>
      </c>
      <c r="N176" s="11">
        <v>45413</v>
      </c>
    </row>
    <row r="177" spans="1:14" x14ac:dyDescent="0.25">
      <c r="A177" s="13" t="s">
        <v>299</v>
      </c>
      <c r="B177" s="13" t="s">
        <v>150</v>
      </c>
      <c r="C177" s="14">
        <v>45367</v>
      </c>
      <c r="D177" s="14">
        <v>45397</v>
      </c>
      <c r="E177" s="14">
        <v>45397</v>
      </c>
      <c r="F177" s="15">
        <v>39117.17</v>
      </c>
      <c r="G177" s="15">
        <v>39117.17</v>
      </c>
      <c r="H177" s="15">
        <f t="shared" si="10"/>
        <v>0</v>
      </c>
      <c r="I177" s="13">
        <f t="shared" si="11"/>
        <v>0</v>
      </c>
      <c r="J177" s="13" t="str">
        <f t="shared" ca="1" si="12"/>
        <v>Paid</v>
      </c>
      <c r="K177" s="13">
        <f t="shared" ca="1" si="13"/>
        <v>0</v>
      </c>
      <c r="L177" s="13" t="str">
        <f t="shared" si="14"/>
        <v>Paid</v>
      </c>
      <c r="M177" s="14">
        <v>45352</v>
      </c>
      <c r="N177" s="14">
        <v>45383</v>
      </c>
    </row>
    <row r="178" spans="1:14" x14ac:dyDescent="0.25">
      <c r="A178" s="10" t="s">
        <v>300</v>
      </c>
      <c r="B178" s="10" t="s">
        <v>97</v>
      </c>
      <c r="C178" s="11">
        <v>45376</v>
      </c>
      <c r="D178" s="11">
        <v>45406</v>
      </c>
      <c r="E178" s="11">
        <v>45462</v>
      </c>
      <c r="F178" s="12">
        <v>35133.89</v>
      </c>
      <c r="G178" s="12">
        <v>13186.92</v>
      </c>
      <c r="H178" s="12">
        <f t="shared" si="10"/>
        <v>21946.97</v>
      </c>
      <c r="I178" s="10">
        <f t="shared" si="11"/>
        <v>56</v>
      </c>
      <c r="J178" s="10" t="str">
        <f t="shared" ca="1" si="12"/>
        <v>Overdue</v>
      </c>
      <c r="K178" s="10">
        <f t="shared" ca="1" si="13"/>
        <v>850</v>
      </c>
      <c r="L178" s="10" t="str">
        <f t="shared" ca="1" si="14"/>
        <v>120+ Days</v>
      </c>
      <c r="M178" s="11">
        <v>45352</v>
      </c>
      <c r="N178" s="11">
        <v>45444</v>
      </c>
    </row>
    <row r="179" spans="1:14" x14ac:dyDescent="0.25">
      <c r="A179" s="13" t="s">
        <v>301</v>
      </c>
      <c r="B179" s="13" t="s">
        <v>180</v>
      </c>
      <c r="C179" s="14">
        <v>45355</v>
      </c>
      <c r="D179" s="14">
        <v>45385</v>
      </c>
      <c r="E179" s="14"/>
      <c r="F179" s="15">
        <v>47344.01</v>
      </c>
      <c r="G179" s="15">
        <v>0</v>
      </c>
      <c r="H179" s="15">
        <f t="shared" si="10"/>
        <v>47344.01</v>
      </c>
      <c r="I179" s="13" t="str">
        <f t="shared" si="11"/>
        <v/>
      </c>
      <c r="J179" s="13" t="str">
        <f t="shared" ca="1" si="12"/>
        <v>Overdue</v>
      </c>
      <c r="K179" s="13">
        <f t="shared" ca="1" si="13"/>
        <v>871</v>
      </c>
      <c r="L179" s="13" t="str">
        <f t="shared" ca="1" si="14"/>
        <v>120+ Days</v>
      </c>
      <c r="M179" s="14">
        <v>45352</v>
      </c>
      <c r="N179" s="14"/>
    </row>
    <row r="180" spans="1:14" x14ac:dyDescent="0.25">
      <c r="A180" s="10" t="s">
        <v>302</v>
      </c>
      <c r="B180" s="10" t="s">
        <v>113</v>
      </c>
      <c r="C180" s="11">
        <v>45359</v>
      </c>
      <c r="D180" s="11">
        <v>45389</v>
      </c>
      <c r="E180" s="11">
        <v>45411</v>
      </c>
      <c r="F180" s="12">
        <v>35686.35</v>
      </c>
      <c r="G180" s="12">
        <v>35686.35</v>
      </c>
      <c r="H180" s="12">
        <f t="shared" si="10"/>
        <v>0</v>
      </c>
      <c r="I180" s="10">
        <f t="shared" si="11"/>
        <v>22</v>
      </c>
      <c r="J180" s="10" t="str">
        <f t="shared" ca="1" si="12"/>
        <v>Paid</v>
      </c>
      <c r="K180" s="10">
        <f t="shared" ca="1" si="13"/>
        <v>0</v>
      </c>
      <c r="L180" s="10" t="str">
        <f t="shared" si="14"/>
        <v>Paid</v>
      </c>
      <c r="M180" s="11">
        <v>45352</v>
      </c>
      <c r="N180" s="11">
        <v>45383</v>
      </c>
    </row>
    <row r="181" spans="1:14" x14ac:dyDescent="0.25">
      <c r="A181" s="13" t="s">
        <v>303</v>
      </c>
      <c r="B181" s="13" t="s">
        <v>91</v>
      </c>
      <c r="C181" s="14">
        <v>45374</v>
      </c>
      <c r="D181" s="14">
        <v>45404</v>
      </c>
      <c r="E181" s="14"/>
      <c r="F181" s="15">
        <v>39003.33</v>
      </c>
      <c r="G181" s="15">
        <v>0</v>
      </c>
      <c r="H181" s="15">
        <f t="shared" si="10"/>
        <v>39003.33</v>
      </c>
      <c r="I181" s="13" t="str">
        <f t="shared" si="11"/>
        <v/>
      </c>
      <c r="J181" s="13" t="str">
        <f t="shared" ca="1" si="12"/>
        <v>Overdue</v>
      </c>
      <c r="K181" s="13">
        <f t="shared" ca="1" si="13"/>
        <v>852</v>
      </c>
      <c r="L181" s="13" t="str">
        <f t="shared" ca="1" si="14"/>
        <v>120+ Days</v>
      </c>
      <c r="M181" s="14">
        <v>45352</v>
      </c>
      <c r="N181" s="14"/>
    </row>
    <row r="182" spans="1:14" x14ac:dyDescent="0.25">
      <c r="A182" s="10" t="s">
        <v>304</v>
      </c>
      <c r="B182" s="10" t="s">
        <v>111</v>
      </c>
      <c r="C182" s="11">
        <v>45375</v>
      </c>
      <c r="D182" s="11">
        <v>45405</v>
      </c>
      <c r="E182" s="11">
        <v>45417</v>
      </c>
      <c r="F182" s="12">
        <v>21035.48</v>
      </c>
      <c r="G182" s="12">
        <v>21035.48</v>
      </c>
      <c r="H182" s="12">
        <f t="shared" si="10"/>
        <v>0</v>
      </c>
      <c r="I182" s="10">
        <f t="shared" si="11"/>
        <v>12</v>
      </c>
      <c r="J182" s="10" t="str">
        <f t="shared" ca="1" si="12"/>
        <v>Paid</v>
      </c>
      <c r="K182" s="10">
        <f t="shared" ca="1" si="13"/>
        <v>0</v>
      </c>
      <c r="L182" s="10" t="str">
        <f t="shared" si="14"/>
        <v>Paid</v>
      </c>
      <c r="M182" s="11">
        <v>45352</v>
      </c>
      <c r="N182" s="11">
        <v>45413</v>
      </c>
    </row>
    <row r="183" spans="1:14" x14ac:dyDescent="0.25">
      <c r="A183" s="13" t="s">
        <v>305</v>
      </c>
      <c r="B183" s="13" t="s">
        <v>265</v>
      </c>
      <c r="C183" s="14">
        <v>45366</v>
      </c>
      <c r="D183" s="14">
        <v>45396</v>
      </c>
      <c r="E183" s="14">
        <v>45396</v>
      </c>
      <c r="F183" s="15">
        <v>69911.740000000005</v>
      </c>
      <c r="G183" s="15">
        <v>69911.740000000005</v>
      </c>
      <c r="H183" s="15">
        <f t="shared" si="10"/>
        <v>0</v>
      </c>
      <c r="I183" s="13">
        <f t="shared" si="11"/>
        <v>0</v>
      </c>
      <c r="J183" s="13" t="str">
        <f t="shared" ca="1" si="12"/>
        <v>Paid</v>
      </c>
      <c r="K183" s="13">
        <f t="shared" ca="1" si="13"/>
        <v>0</v>
      </c>
      <c r="L183" s="13" t="str">
        <f t="shared" si="14"/>
        <v>Paid</v>
      </c>
      <c r="M183" s="14">
        <v>45352</v>
      </c>
      <c r="N183" s="14">
        <v>45383</v>
      </c>
    </row>
    <row r="184" spans="1:14" x14ac:dyDescent="0.25">
      <c r="A184" s="10" t="s">
        <v>306</v>
      </c>
      <c r="B184" s="10" t="s">
        <v>274</v>
      </c>
      <c r="C184" s="11">
        <v>45371</v>
      </c>
      <c r="D184" s="11">
        <v>45401</v>
      </c>
      <c r="E184" s="11">
        <v>45425</v>
      </c>
      <c r="F184" s="12">
        <v>32032.02</v>
      </c>
      <c r="G184" s="12">
        <v>32032.02</v>
      </c>
      <c r="H184" s="12">
        <f t="shared" si="10"/>
        <v>0</v>
      </c>
      <c r="I184" s="10">
        <f t="shared" si="11"/>
        <v>24</v>
      </c>
      <c r="J184" s="10" t="str">
        <f t="shared" ca="1" si="12"/>
        <v>Paid</v>
      </c>
      <c r="K184" s="10">
        <f t="shared" ca="1" si="13"/>
        <v>0</v>
      </c>
      <c r="L184" s="10" t="str">
        <f t="shared" si="14"/>
        <v>Paid</v>
      </c>
      <c r="M184" s="11">
        <v>45352</v>
      </c>
      <c r="N184" s="11">
        <v>45413</v>
      </c>
    </row>
    <row r="185" spans="1:14" x14ac:dyDescent="0.25">
      <c r="A185" s="13" t="s">
        <v>307</v>
      </c>
      <c r="B185" s="13" t="s">
        <v>220</v>
      </c>
      <c r="C185" s="14">
        <v>45352</v>
      </c>
      <c r="D185" s="14">
        <v>45382</v>
      </c>
      <c r="E185" s="14">
        <v>45382</v>
      </c>
      <c r="F185" s="15">
        <v>43874.42</v>
      </c>
      <c r="G185" s="15">
        <v>32607.25</v>
      </c>
      <c r="H185" s="15">
        <f t="shared" si="10"/>
        <v>11267.169999999998</v>
      </c>
      <c r="I185" s="13">
        <f t="shared" si="11"/>
        <v>0</v>
      </c>
      <c r="J185" s="13" t="str">
        <f t="shared" ca="1" si="12"/>
        <v>Overdue</v>
      </c>
      <c r="K185" s="13">
        <f t="shared" ca="1" si="13"/>
        <v>874</v>
      </c>
      <c r="L185" s="13" t="str">
        <f t="shared" ca="1" si="14"/>
        <v>120+ Days</v>
      </c>
      <c r="M185" s="14">
        <v>45352</v>
      </c>
      <c r="N185" s="14">
        <v>45352</v>
      </c>
    </row>
    <row r="186" spans="1:14" x14ac:dyDescent="0.25">
      <c r="A186" s="10" t="s">
        <v>308</v>
      </c>
      <c r="B186" s="10" t="s">
        <v>70</v>
      </c>
      <c r="C186" s="11">
        <v>45373</v>
      </c>
      <c r="D186" s="11">
        <v>45403</v>
      </c>
      <c r="E186" s="11">
        <v>45409</v>
      </c>
      <c r="F186" s="12">
        <v>45310.73</v>
      </c>
      <c r="G186" s="12">
        <v>19481.97</v>
      </c>
      <c r="H186" s="12">
        <f t="shared" si="10"/>
        <v>25828.760000000002</v>
      </c>
      <c r="I186" s="10">
        <f t="shared" si="11"/>
        <v>6</v>
      </c>
      <c r="J186" s="10" t="str">
        <f t="shared" ca="1" si="12"/>
        <v>Overdue</v>
      </c>
      <c r="K186" s="10">
        <f t="shared" ca="1" si="13"/>
        <v>853</v>
      </c>
      <c r="L186" s="10" t="str">
        <f t="shared" ca="1" si="14"/>
        <v>120+ Days</v>
      </c>
      <c r="M186" s="11">
        <v>45352</v>
      </c>
      <c r="N186" s="11">
        <v>45383</v>
      </c>
    </row>
    <row r="187" spans="1:14" x14ac:dyDescent="0.25">
      <c r="A187" s="13" t="s">
        <v>309</v>
      </c>
      <c r="B187" s="13" t="s">
        <v>136</v>
      </c>
      <c r="C187" s="14">
        <v>45364</v>
      </c>
      <c r="D187" s="14">
        <v>45394</v>
      </c>
      <c r="E187" s="14">
        <v>45443</v>
      </c>
      <c r="F187" s="15">
        <v>20400.490000000002</v>
      </c>
      <c r="G187" s="15">
        <v>20400.490000000002</v>
      </c>
      <c r="H187" s="15">
        <f t="shared" si="10"/>
        <v>0</v>
      </c>
      <c r="I187" s="13">
        <f t="shared" si="11"/>
        <v>49</v>
      </c>
      <c r="J187" s="13" t="str">
        <f t="shared" ca="1" si="12"/>
        <v>Paid</v>
      </c>
      <c r="K187" s="13">
        <f t="shared" ca="1" si="13"/>
        <v>0</v>
      </c>
      <c r="L187" s="13" t="str">
        <f t="shared" si="14"/>
        <v>Paid</v>
      </c>
      <c r="M187" s="14">
        <v>45352</v>
      </c>
      <c r="N187" s="14">
        <v>45413</v>
      </c>
    </row>
    <row r="188" spans="1:14" x14ac:dyDescent="0.25">
      <c r="A188" s="10" t="s">
        <v>310</v>
      </c>
      <c r="B188" s="10" t="s">
        <v>278</v>
      </c>
      <c r="C188" s="11">
        <v>45356</v>
      </c>
      <c r="D188" s="11">
        <v>45386</v>
      </c>
      <c r="E188" s="11"/>
      <c r="F188" s="12">
        <v>20147.919999999998</v>
      </c>
      <c r="G188" s="12">
        <v>0</v>
      </c>
      <c r="H188" s="12">
        <f t="shared" si="10"/>
        <v>20147.919999999998</v>
      </c>
      <c r="I188" s="10" t="str">
        <f t="shared" si="11"/>
        <v/>
      </c>
      <c r="J188" s="10" t="str">
        <f t="shared" ca="1" si="12"/>
        <v>Overdue</v>
      </c>
      <c r="K188" s="10">
        <f t="shared" ca="1" si="13"/>
        <v>870</v>
      </c>
      <c r="L188" s="10" t="str">
        <f t="shared" ca="1" si="14"/>
        <v>120+ Days</v>
      </c>
      <c r="M188" s="11">
        <v>45352</v>
      </c>
      <c r="N188" s="11"/>
    </row>
    <row r="189" spans="1:14" x14ac:dyDescent="0.25">
      <c r="A189" s="13" t="s">
        <v>311</v>
      </c>
      <c r="B189" s="13" t="s">
        <v>89</v>
      </c>
      <c r="C189" s="14">
        <v>45375</v>
      </c>
      <c r="D189" s="14">
        <v>45405</v>
      </c>
      <c r="E189" s="14">
        <v>45439</v>
      </c>
      <c r="F189" s="15">
        <v>38793.599999999999</v>
      </c>
      <c r="G189" s="15">
        <v>25696.18</v>
      </c>
      <c r="H189" s="15">
        <f t="shared" si="10"/>
        <v>13097.419999999998</v>
      </c>
      <c r="I189" s="13">
        <f t="shared" si="11"/>
        <v>34</v>
      </c>
      <c r="J189" s="13" t="str">
        <f t="shared" ca="1" si="12"/>
        <v>Overdue</v>
      </c>
      <c r="K189" s="13">
        <f t="shared" ca="1" si="13"/>
        <v>851</v>
      </c>
      <c r="L189" s="13" t="str">
        <f t="shared" ca="1" si="14"/>
        <v>120+ Days</v>
      </c>
      <c r="M189" s="14">
        <v>45352</v>
      </c>
      <c r="N189" s="14">
        <v>45413</v>
      </c>
    </row>
    <row r="190" spans="1:14" x14ac:dyDescent="0.25">
      <c r="A190" s="10" t="s">
        <v>312</v>
      </c>
      <c r="B190" s="10" t="s">
        <v>271</v>
      </c>
      <c r="C190" s="11">
        <v>45371</v>
      </c>
      <c r="D190" s="11">
        <v>45401</v>
      </c>
      <c r="E190" s="11"/>
      <c r="F190" s="12">
        <v>74444.149999999994</v>
      </c>
      <c r="G190" s="12">
        <v>0</v>
      </c>
      <c r="H190" s="12">
        <f t="shared" si="10"/>
        <v>74444.149999999994</v>
      </c>
      <c r="I190" s="10" t="str">
        <f t="shared" si="11"/>
        <v/>
      </c>
      <c r="J190" s="10" t="str">
        <f t="shared" ca="1" si="12"/>
        <v>Overdue</v>
      </c>
      <c r="K190" s="10">
        <f t="shared" ca="1" si="13"/>
        <v>855</v>
      </c>
      <c r="L190" s="10" t="str">
        <f t="shared" ca="1" si="14"/>
        <v>120+ Days</v>
      </c>
      <c r="M190" s="11">
        <v>45352</v>
      </c>
      <c r="N190" s="11"/>
    </row>
    <row r="191" spans="1:14" x14ac:dyDescent="0.25">
      <c r="A191" s="13" t="s">
        <v>313</v>
      </c>
      <c r="B191" s="13" t="s">
        <v>314</v>
      </c>
      <c r="C191" s="14">
        <v>45366</v>
      </c>
      <c r="D191" s="14">
        <v>45396</v>
      </c>
      <c r="E191" s="14">
        <v>45398</v>
      </c>
      <c r="F191" s="15">
        <v>90110.41</v>
      </c>
      <c r="G191" s="15">
        <v>57989</v>
      </c>
      <c r="H191" s="15">
        <f t="shared" si="10"/>
        <v>32121.410000000003</v>
      </c>
      <c r="I191" s="13">
        <f t="shared" si="11"/>
        <v>2</v>
      </c>
      <c r="J191" s="13" t="str">
        <f t="shared" ca="1" si="12"/>
        <v>Overdue</v>
      </c>
      <c r="K191" s="13">
        <f t="shared" ca="1" si="13"/>
        <v>860</v>
      </c>
      <c r="L191" s="13" t="str">
        <f t="shared" ca="1" si="14"/>
        <v>120+ Days</v>
      </c>
      <c r="M191" s="14">
        <v>45352</v>
      </c>
      <c r="N191" s="14">
        <v>45383</v>
      </c>
    </row>
    <row r="192" spans="1:14" x14ac:dyDescent="0.25">
      <c r="A192" s="10" t="s">
        <v>315</v>
      </c>
      <c r="B192" s="10" t="s">
        <v>89</v>
      </c>
      <c r="C192" s="11">
        <v>45373</v>
      </c>
      <c r="D192" s="11">
        <v>45403</v>
      </c>
      <c r="E192" s="11"/>
      <c r="F192" s="12">
        <v>25233.040000000001</v>
      </c>
      <c r="G192" s="12">
        <v>0</v>
      </c>
      <c r="H192" s="12">
        <f t="shared" si="10"/>
        <v>25233.040000000001</v>
      </c>
      <c r="I192" s="10" t="str">
        <f t="shared" si="11"/>
        <v/>
      </c>
      <c r="J192" s="10" t="str">
        <f t="shared" ca="1" si="12"/>
        <v>Overdue</v>
      </c>
      <c r="K192" s="10">
        <f t="shared" ca="1" si="13"/>
        <v>853</v>
      </c>
      <c r="L192" s="10" t="str">
        <f t="shared" ca="1" si="14"/>
        <v>120+ Days</v>
      </c>
      <c r="M192" s="11">
        <v>45352</v>
      </c>
      <c r="N192" s="11"/>
    </row>
    <row r="193" spans="1:14" x14ac:dyDescent="0.25">
      <c r="A193" s="13" t="s">
        <v>316</v>
      </c>
      <c r="B193" s="13" t="s">
        <v>117</v>
      </c>
      <c r="C193" s="14">
        <v>45365</v>
      </c>
      <c r="D193" s="14">
        <v>45395</v>
      </c>
      <c r="E193" s="14"/>
      <c r="F193" s="15">
        <v>83710.27</v>
      </c>
      <c r="G193" s="15">
        <v>0</v>
      </c>
      <c r="H193" s="15">
        <f t="shared" si="10"/>
        <v>83710.27</v>
      </c>
      <c r="I193" s="13" t="str">
        <f t="shared" si="11"/>
        <v/>
      </c>
      <c r="J193" s="13" t="str">
        <f t="shared" ca="1" si="12"/>
        <v>Overdue</v>
      </c>
      <c r="K193" s="13">
        <f t="shared" ca="1" si="13"/>
        <v>861</v>
      </c>
      <c r="L193" s="13" t="str">
        <f t="shared" ca="1" si="14"/>
        <v>120+ Days</v>
      </c>
      <c r="M193" s="14">
        <v>45352</v>
      </c>
      <c r="N193" s="14"/>
    </row>
    <row r="194" spans="1:14" x14ac:dyDescent="0.25">
      <c r="A194" s="10" t="s">
        <v>317</v>
      </c>
      <c r="B194" s="10" t="s">
        <v>97</v>
      </c>
      <c r="C194" s="11">
        <v>45354</v>
      </c>
      <c r="D194" s="11">
        <v>45384</v>
      </c>
      <c r="E194" s="11"/>
      <c r="F194" s="12">
        <v>31736.84</v>
      </c>
      <c r="G194" s="12">
        <v>0</v>
      </c>
      <c r="H194" s="12">
        <f t="shared" ref="H194:H257" si="15">MAX(0,F194-G194)</f>
        <v>31736.84</v>
      </c>
      <c r="I194" s="10" t="str">
        <f t="shared" ref="I194:I257" si="16">IF(E194="","",MAX(0,E194-D194))</f>
        <v/>
      </c>
      <c r="J194" s="10" t="str">
        <f t="shared" ref="J194:J257" ca="1" si="17">IF(H194=0,"Paid",IF(D194&lt;TODAY(),"Overdue","Open"))</f>
        <v>Overdue</v>
      </c>
      <c r="K194" s="10">
        <f t="shared" ref="K194:K257" ca="1" si="18">IF(H194=0,0,MAX(0,TODAY()-D194))</f>
        <v>872</v>
      </c>
      <c r="L194" s="10" t="str">
        <f t="shared" ref="L194:L257" ca="1" si="19">IF(H194=0,"Paid",IF(K194&lt;=30,"0-30 Days",IF(K194&lt;=60,"31-60 Days",IF(K194&lt;=90,"61-90 Days",IF(K194&lt;=120,"91-120 Days","120+ Days")))))</f>
        <v>120+ Days</v>
      </c>
      <c r="M194" s="11">
        <v>45352</v>
      </c>
      <c r="N194" s="11"/>
    </row>
    <row r="195" spans="1:14" x14ac:dyDescent="0.25">
      <c r="A195" s="13" t="s">
        <v>318</v>
      </c>
      <c r="B195" s="13" t="s">
        <v>101</v>
      </c>
      <c r="C195" s="14">
        <v>45378</v>
      </c>
      <c r="D195" s="14">
        <v>45408</v>
      </c>
      <c r="E195" s="14"/>
      <c r="F195" s="15">
        <v>100160.59</v>
      </c>
      <c r="G195" s="15">
        <v>0</v>
      </c>
      <c r="H195" s="15">
        <f t="shared" si="15"/>
        <v>100160.59</v>
      </c>
      <c r="I195" s="13" t="str">
        <f t="shared" si="16"/>
        <v/>
      </c>
      <c r="J195" s="13" t="str">
        <f t="shared" ca="1" si="17"/>
        <v>Overdue</v>
      </c>
      <c r="K195" s="13">
        <f t="shared" ca="1" si="18"/>
        <v>848</v>
      </c>
      <c r="L195" s="13" t="str">
        <f t="shared" ca="1" si="19"/>
        <v>120+ Days</v>
      </c>
      <c r="M195" s="14">
        <v>45352</v>
      </c>
      <c r="N195" s="14"/>
    </row>
    <row r="196" spans="1:14" x14ac:dyDescent="0.25">
      <c r="A196" s="10" t="s">
        <v>319</v>
      </c>
      <c r="B196" s="10" t="s">
        <v>230</v>
      </c>
      <c r="C196" s="11">
        <v>45362</v>
      </c>
      <c r="D196" s="11">
        <v>45392</v>
      </c>
      <c r="E196" s="11">
        <v>45446</v>
      </c>
      <c r="F196" s="12">
        <v>41030.94</v>
      </c>
      <c r="G196" s="12">
        <v>41030.94</v>
      </c>
      <c r="H196" s="12">
        <f t="shared" si="15"/>
        <v>0</v>
      </c>
      <c r="I196" s="10">
        <f t="shared" si="16"/>
        <v>54</v>
      </c>
      <c r="J196" s="10" t="str">
        <f t="shared" ca="1" si="17"/>
        <v>Paid</v>
      </c>
      <c r="K196" s="10">
        <f t="shared" ca="1" si="18"/>
        <v>0</v>
      </c>
      <c r="L196" s="10" t="str">
        <f t="shared" si="19"/>
        <v>Paid</v>
      </c>
      <c r="M196" s="11">
        <v>45352</v>
      </c>
      <c r="N196" s="11">
        <v>45444</v>
      </c>
    </row>
    <row r="197" spans="1:14" x14ac:dyDescent="0.25">
      <c r="A197" s="13" t="s">
        <v>320</v>
      </c>
      <c r="B197" s="13" t="s">
        <v>138</v>
      </c>
      <c r="C197" s="14">
        <v>45367</v>
      </c>
      <c r="D197" s="14">
        <v>45397</v>
      </c>
      <c r="E197" s="14">
        <v>45408</v>
      </c>
      <c r="F197" s="15">
        <v>25874.27</v>
      </c>
      <c r="G197" s="15">
        <v>11376.53</v>
      </c>
      <c r="H197" s="15">
        <f t="shared" si="15"/>
        <v>14497.74</v>
      </c>
      <c r="I197" s="13">
        <f t="shared" si="16"/>
        <v>11</v>
      </c>
      <c r="J197" s="13" t="str">
        <f t="shared" ca="1" si="17"/>
        <v>Overdue</v>
      </c>
      <c r="K197" s="13">
        <f t="shared" ca="1" si="18"/>
        <v>859</v>
      </c>
      <c r="L197" s="13" t="str">
        <f t="shared" ca="1" si="19"/>
        <v>120+ Days</v>
      </c>
      <c r="M197" s="14">
        <v>45352</v>
      </c>
      <c r="N197" s="14">
        <v>45383</v>
      </c>
    </row>
    <row r="198" spans="1:14" x14ac:dyDescent="0.25">
      <c r="A198" s="10" t="s">
        <v>321</v>
      </c>
      <c r="B198" s="10" t="s">
        <v>138</v>
      </c>
      <c r="C198" s="11">
        <v>45367</v>
      </c>
      <c r="D198" s="11">
        <v>45397</v>
      </c>
      <c r="E198" s="11">
        <v>45404</v>
      </c>
      <c r="F198" s="12">
        <v>29162.46</v>
      </c>
      <c r="G198" s="12">
        <v>29162.46</v>
      </c>
      <c r="H198" s="12">
        <f t="shared" si="15"/>
        <v>0</v>
      </c>
      <c r="I198" s="10">
        <f t="shared" si="16"/>
        <v>7</v>
      </c>
      <c r="J198" s="10" t="str">
        <f t="shared" ca="1" si="17"/>
        <v>Paid</v>
      </c>
      <c r="K198" s="10">
        <f t="shared" ca="1" si="18"/>
        <v>0</v>
      </c>
      <c r="L198" s="10" t="str">
        <f t="shared" si="19"/>
        <v>Paid</v>
      </c>
      <c r="M198" s="11">
        <v>45352</v>
      </c>
      <c r="N198" s="11">
        <v>45383</v>
      </c>
    </row>
    <row r="199" spans="1:14" x14ac:dyDescent="0.25">
      <c r="A199" s="13" t="s">
        <v>322</v>
      </c>
      <c r="B199" s="13" t="s">
        <v>230</v>
      </c>
      <c r="C199" s="14">
        <v>45361</v>
      </c>
      <c r="D199" s="14">
        <v>45391</v>
      </c>
      <c r="E199" s="14">
        <v>45404</v>
      </c>
      <c r="F199" s="15">
        <v>38472.230000000003</v>
      </c>
      <c r="G199" s="15">
        <v>38472.230000000003</v>
      </c>
      <c r="H199" s="15">
        <f t="shared" si="15"/>
        <v>0</v>
      </c>
      <c r="I199" s="13">
        <f t="shared" si="16"/>
        <v>13</v>
      </c>
      <c r="J199" s="13" t="str">
        <f t="shared" ca="1" si="17"/>
        <v>Paid</v>
      </c>
      <c r="K199" s="13">
        <f t="shared" ca="1" si="18"/>
        <v>0</v>
      </c>
      <c r="L199" s="13" t="str">
        <f t="shared" si="19"/>
        <v>Paid</v>
      </c>
      <c r="M199" s="14">
        <v>45352</v>
      </c>
      <c r="N199" s="14">
        <v>45383</v>
      </c>
    </row>
    <row r="200" spans="1:14" x14ac:dyDescent="0.25">
      <c r="A200" s="10" t="s">
        <v>323</v>
      </c>
      <c r="B200" s="10" t="s">
        <v>215</v>
      </c>
      <c r="C200" s="11">
        <v>45362</v>
      </c>
      <c r="D200" s="11">
        <v>45392</v>
      </c>
      <c r="E200" s="11"/>
      <c r="F200" s="12">
        <v>13156.46</v>
      </c>
      <c r="G200" s="12">
        <v>0</v>
      </c>
      <c r="H200" s="12">
        <f t="shared" si="15"/>
        <v>13156.46</v>
      </c>
      <c r="I200" s="10" t="str">
        <f t="shared" si="16"/>
        <v/>
      </c>
      <c r="J200" s="10" t="str">
        <f t="shared" ca="1" si="17"/>
        <v>Overdue</v>
      </c>
      <c r="K200" s="10">
        <f t="shared" ca="1" si="18"/>
        <v>864</v>
      </c>
      <c r="L200" s="10" t="str">
        <f t="shared" ca="1" si="19"/>
        <v>120+ Days</v>
      </c>
      <c r="M200" s="11">
        <v>45352</v>
      </c>
      <c r="N200" s="11"/>
    </row>
    <row r="201" spans="1:14" x14ac:dyDescent="0.25">
      <c r="A201" s="13" t="s">
        <v>324</v>
      </c>
      <c r="B201" s="13" t="s">
        <v>182</v>
      </c>
      <c r="C201" s="14">
        <v>45371</v>
      </c>
      <c r="D201" s="14">
        <v>45401</v>
      </c>
      <c r="E201" s="14">
        <v>45409</v>
      </c>
      <c r="F201" s="15">
        <v>17270.16</v>
      </c>
      <c r="G201" s="15">
        <v>17270.16</v>
      </c>
      <c r="H201" s="15">
        <f t="shared" si="15"/>
        <v>0</v>
      </c>
      <c r="I201" s="13">
        <f t="shared" si="16"/>
        <v>8</v>
      </c>
      <c r="J201" s="13" t="str">
        <f t="shared" ca="1" si="17"/>
        <v>Paid</v>
      </c>
      <c r="K201" s="13">
        <f t="shared" ca="1" si="18"/>
        <v>0</v>
      </c>
      <c r="L201" s="13" t="str">
        <f t="shared" si="19"/>
        <v>Paid</v>
      </c>
      <c r="M201" s="14">
        <v>45352</v>
      </c>
      <c r="N201" s="14">
        <v>45383</v>
      </c>
    </row>
    <row r="202" spans="1:14" x14ac:dyDescent="0.25">
      <c r="A202" s="10" t="s">
        <v>325</v>
      </c>
      <c r="B202" s="10" t="s">
        <v>123</v>
      </c>
      <c r="C202" s="11">
        <v>45358</v>
      </c>
      <c r="D202" s="11">
        <v>45388</v>
      </c>
      <c r="E202" s="11">
        <v>45388</v>
      </c>
      <c r="F202" s="12">
        <v>26070.81</v>
      </c>
      <c r="G202" s="12">
        <v>26070.81</v>
      </c>
      <c r="H202" s="12">
        <f t="shared" si="15"/>
        <v>0</v>
      </c>
      <c r="I202" s="10">
        <f t="shared" si="16"/>
        <v>0</v>
      </c>
      <c r="J202" s="10" t="str">
        <f t="shared" ca="1" si="17"/>
        <v>Paid</v>
      </c>
      <c r="K202" s="10">
        <f t="shared" ca="1" si="18"/>
        <v>0</v>
      </c>
      <c r="L202" s="10" t="str">
        <f t="shared" si="19"/>
        <v>Paid</v>
      </c>
      <c r="M202" s="11">
        <v>45352</v>
      </c>
      <c r="N202" s="11">
        <v>45383</v>
      </c>
    </row>
    <row r="203" spans="1:14" x14ac:dyDescent="0.25">
      <c r="A203" s="13" t="s">
        <v>326</v>
      </c>
      <c r="B203" s="13" t="s">
        <v>233</v>
      </c>
      <c r="C203" s="14">
        <v>45364</v>
      </c>
      <c r="D203" s="14">
        <v>45394</v>
      </c>
      <c r="E203" s="14">
        <v>45426</v>
      </c>
      <c r="F203" s="15">
        <v>27675.95</v>
      </c>
      <c r="G203" s="15">
        <v>27675.95</v>
      </c>
      <c r="H203" s="15">
        <f t="shared" si="15"/>
        <v>0</v>
      </c>
      <c r="I203" s="13">
        <f t="shared" si="16"/>
        <v>32</v>
      </c>
      <c r="J203" s="13" t="str">
        <f t="shared" ca="1" si="17"/>
        <v>Paid</v>
      </c>
      <c r="K203" s="13">
        <f t="shared" ca="1" si="18"/>
        <v>0</v>
      </c>
      <c r="L203" s="13" t="str">
        <f t="shared" si="19"/>
        <v>Paid</v>
      </c>
      <c r="M203" s="14">
        <v>45352</v>
      </c>
      <c r="N203" s="14">
        <v>45413</v>
      </c>
    </row>
    <row r="204" spans="1:14" x14ac:dyDescent="0.25">
      <c r="A204" s="10" t="s">
        <v>327</v>
      </c>
      <c r="B204" s="10" t="s">
        <v>188</v>
      </c>
      <c r="C204" s="11">
        <v>45366</v>
      </c>
      <c r="D204" s="11">
        <v>45396</v>
      </c>
      <c r="E204" s="11"/>
      <c r="F204" s="12">
        <v>21931.05</v>
      </c>
      <c r="G204" s="12">
        <v>0</v>
      </c>
      <c r="H204" s="12">
        <f t="shared" si="15"/>
        <v>21931.05</v>
      </c>
      <c r="I204" s="10" t="str">
        <f t="shared" si="16"/>
        <v/>
      </c>
      <c r="J204" s="10" t="str">
        <f t="shared" ca="1" si="17"/>
        <v>Overdue</v>
      </c>
      <c r="K204" s="10">
        <f t="shared" ca="1" si="18"/>
        <v>860</v>
      </c>
      <c r="L204" s="10" t="str">
        <f t="shared" ca="1" si="19"/>
        <v>120+ Days</v>
      </c>
      <c r="M204" s="11">
        <v>45352</v>
      </c>
      <c r="N204" s="11"/>
    </row>
    <row r="205" spans="1:14" x14ac:dyDescent="0.25">
      <c r="A205" s="13" t="s">
        <v>328</v>
      </c>
      <c r="B205" s="13" t="s">
        <v>127</v>
      </c>
      <c r="C205" s="14">
        <v>45358</v>
      </c>
      <c r="D205" s="14">
        <v>45388</v>
      </c>
      <c r="E205" s="14">
        <v>45394</v>
      </c>
      <c r="F205" s="15">
        <v>13486.3</v>
      </c>
      <c r="G205" s="15">
        <v>13486.3</v>
      </c>
      <c r="H205" s="15">
        <f t="shared" si="15"/>
        <v>0</v>
      </c>
      <c r="I205" s="13">
        <f t="shared" si="16"/>
        <v>6</v>
      </c>
      <c r="J205" s="13" t="str">
        <f t="shared" ca="1" si="17"/>
        <v>Paid</v>
      </c>
      <c r="K205" s="13">
        <f t="shared" ca="1" si="18"/>
        <v>0</v>
      </c>
      <c r="L205" s="13" t="str">
        <f t="shared" si="19"/>
        <v>Paid</v>
      </c>
      <c r="M205" s="14">
        <v>45352</v>
      </c>
      <c r="N205" s="14">
        <v>45383</v>
      </c>
    </row>
    <row r="206" spans="1:14" x14ac:dyDescent="0.25">
      <c r="A206" s="10" t="s">
        <v>329</v>
      </c>
      <c r="B206" s="10" t="s">
        <v>74</v>
      </c>
      <c r="C206" s="11">
        <v>45369</v>
      </c>
      <c r="D206" s="11">
        <v>45399</v>
      </c>
      <c r="E206" s="11">
        <v>45410</v>
      </c>
      <c r="F206" s="12">
        <v>33808.519999999997</v>
      </c>
      <c r="G206" s="12">
        <v>19768.599999999999</v>
      </c>
      <c r="H206" s="12">
        <f t="shared" si="15"/>
        <v>14039.919999999998</v>
      </c>
      <c r="I206" s="10">
        <f t="shared" si="16"/>
        <v>11</v>
      </c>
      <c r="J206" s="10" t="str">
        <f t="shared" ca="1" si="17"/>
        <v>Overdue</v>
      </c>
      <c r="K206" s="10">
        <f t="shared" ca="1" si="18"/>
        <v>857</v>
      </c>
      <c r="L206" s="10" t="str">
        <f t="shared" ca="1" si="19"/>
        <v>120+ Days</v>
      </c>
      <c r="M206" s="11">
        <v>45352</v>
      </c>
      <c r="N206" s="11">
        <v>45383</v>
      </c>
    </row>
    <row r="207" spans="1:14" x14ac:dyDescent="0.25">
      <c r="A207" s="13" t="s">
        <v>330</v>
      </c>
      <c r="B207" s="13" t="s">
        <v>331</v>
      </c>
      <c r="C207" s="14">
        <v>45372</v>
      </c>
      <c r="D207" s="14">
        <v>45402</v>
      </c>
      <c r="E207" s="14"/>
      <c r="F207" s="15">
        <v>64293.08</v>
      </c>
      <c r="G207" s="15">
        <v>0</v>
      </c>
      <c r="H207" s="15">
        <f t="shared" si="15"/>
        <v>64293.08</v>
      </c>
      <c r="I207" s="13" t="str">
        <f t="shared" si="16"/>
        <v/>
      </c>
      <c r="J207" s="13" t="str">
        <f t="shared" ca="1" si="17"/>
        <v>Overdue</v>
      </c>
      <c r="K207" s="13">
        <f t="shared" ca="1" si="18"/>
        <v>854</v>
      </c>
      <c r="L207" s="13" t="str">
        <f t="shared" ca="1" si="19"/>
        <v>120+ Days</v>
      </c>
      <c r="M207" s="14">
        <v>45352</v>
      </c>
      <c r="N207" s="14"/>
    </row>
    <row r="208" spans="1:14" x14ac:dyDescent="0.25">
      <c r="A208" s="10" t="s">
        <v>332</v>
      </c>
      <c r="B208" s="10" t="s">
        <v>117</v>
      </c>
      <c r="C208" s="11">
        <v>45376</v>
      </c>
      <c r="D208" s="11">
        <v>45406</v>
      </c>
      <c r="E208" s="11">
        <v>45438</v>
      </c>
      <c r="F208" s="12">
        <v>20038.599999999999</v>
      </c>
      <c r="G208" s="12">
        <v>20038.599999999999</v>
      </c>
      <c r="H208" s="12">
        <f t="shared" si="15"/>
        <v>0</v>
      </c>
      <c r="I208" s="10">
        <f t="shared" si="16"/>
        <v>32</v>
      </c>
      <c r="J208" s="10" t="str">
        <f t="shared" ca="1" si="17"/>
        <v>Paid</v>
      </c>
      <c r="K208" s="10">
        <f t="shared" ca="1" si="18"/>
        <v>0</v>
      </c>
      <c r="L208" s="10" t="str">
        <f t="shared" si="19"/>
        <v>Paid</v>
      </c>
      <c r="M208" s="11">
        <v>45352</v>
      </c>
      <c r="N208" s="11">
        <v>45413</v>
      </c>
    </row>
    <row r="209" spans="1:14" x14ac:dyDescent="0.25">
      <c r="A209" s="13" t="s">
        <v>333</v>
      </c>
      <c r="B209" s="13" t="s">
        <v>115</v>
      </c>
      <c r="C209" s="14">
        <v>45377</v>
      </c>
      <c r="D209" s="14">
        <v>45407</v>
      </c>
      <c r="E209" s="14">
        <v>45407</v>
      </c>
      <c r="F209" s="15">
        <v>30114.54</v>
      </c>
      <c r="G209" s="15">
        <v>30114.54</v>
      </c>
      <c r="H209" s="15">
        <f t="shared" si="15"/>
        <v>0</v>
      </c>
      <c r="I209" s="13">
        <f t="shared" si="16"/>
        <v>0</v>
      </c>
      <c r="J209" s="13" t="str">
        <f t="shared" ca="1" si="17"/>
        <v>Paid</v>
      </c>
      <c r="K209" s="13">
        <f t="shared" ca="1" si="18"/>
        <v>0</v>
      </c>
      <c r="L209" s="13" t="str">
        <f t="shared" si="19"/>
        <v>Paid</v>
      </c>
      <c r="M209" s="14">
        <v>45352</v>
      </c>
      <c r="N209" s="14">
        <v>45383</v>
      </c>
    </row>
    <row r="210" spans="1:14" x14ac:dyDescent="0.25">
      <c r="A210" s="10" t="s">
        <v>334</v>
      </c>
      <c r="B210" s="10" t="s">
        <v>129</v>
      </c>
      <c r="C210" s="11">
        <v>45360</v>
      </c>
      <c r="D210" s="11">
        <v>45390</v>
      </c>
      <c r="E210" s="11">
        <v>45464</v>
      </c>
      <c r="F210" s="12">
        <v>24144.93</v>
      </c>
      <c r="G210" s="12">
        <v>13740.62</v>
      </c>
      <c r="H210" s="12">
        <f t="shared" si="15"/>
        <v>10404.31</v>
      </c>
      <c r="I210" s="10">
        <f t="shared" si="16"/>
        <v>74</v>
      </c>
      <c r="J210" s="10" t="str">
        <f t="shared" ca="1" si="17"/>
        <v>Overdue</v>
      </c>
      <c r="K210" s="10">
        <f t="shared" ca="1" si="18"/>
        <v>866</v>
      </c>
      <c r="L210" s="10" t="str">
        <f t="shared" ca="1" si="19"/>
        <v>120+ Days</v>
      </c>
      <c r="M210" s="11">
        <v>45352</v>
      </c>
      <c r="N210" s="11">
        <v>45444</v>
      </c>
    </row>
    <row r="211" spans="1:14" x14ac:dyDescent="0.25">
      <c r="A211" s="13" t="s">
        <v>335</v>
      </c>
      <c r="B211" s="13" t="s">
        <v>222</v>
      </c>
      <c r="C211" s="14">
        <v>45354</v>
      </c>
      <c r="D211" s="14">
        <v>45384</v>
      </c>
      <c r="E211" s="14"/>
      <c r="F211" s="15">
        <v>32161.96</v>
      </c>
      <c r="G211" s="15">
        <v>0</v>
      </c>
      <c r="H211" s="15">
        <f t="shared" si="15"/>
        <v>32161.96</v>
      </c>
      <c r="I211" s="13" t="str">
        <f t="shared" si="16"/>
        <v/>
      </c>
      <c r="J211" s="13" t="str">
        <f t="shared" ca="1" si="17"/>
        <v>Overdue</v>
      </c>
      <c r="K211" s="13">
        <f t="shared" ca="1" si="18"/>
        <v>872</v>
      </c>
      <c r="L211" s="13" t="str">
        <f t="shared" ca="1" si="19"/>
        <v>120+ Days</v>
      </c>
      <c r="M211" s="14">
        <v>45352</v>
      </c>
      <c r="N211" s="14"/>
    </row>
    <row r="212" spans="1:14" x14ac:dyDescent="0.25">
      <c r="A212" s="10" t="s">
        <v>336</v>
      </c>
      <c r="B212" s="10" t="s">
        <v>127</v>
      </c>
      <c r="C212" s="11">
        <v>45358</v>
      </c>
      <c r="D212" s="11">
        <v>45388</v>
      </c>
      <c r="E212" s="11">
        <v>45402</v>
      </c>
      <c r="F212" s="12">
        <v>26322.79</v>
      </c>
      <c r="G212" s="12">
        <v>26322.79</v>
      </c>
      <c r="H212" s="12">
        <f t="shared" si="15"/>
        <v>0</v>
      </c>
      <c r="I212" s="10">
        <f t="shared" si="16"/>
        <v>14</v>
      </c>
      <c r="J212" s="10" t="str">
        <f t="shared" ca="1" si="17"/>
        <v>Paid</v>
      </c>
      <c r="K212" s="10">
        <f t="shared" ca="1" si="18"/>
        <v>0</v>
      </c>
      <c r="L212" s="10" t="str">
        <f t="shared" si="19"/>
        <v>Paid</v>
      </c>
      <c r="M212" s="11">
        <v>45352</v>
      </c>
      <c r="N212" s="11">
        <v>45383</v>
      </c>
    </row>
    <row r="213" spans="1:14" x14ac:dyDescent="0.25">
      <c r="A213" s="13" t="s">
        <v>337</v>
      </c>
      <c r="B213" s="13" t="s">
        <v>127</v>
      </c>
      <c r="C213" s="14">
        <v>45374</v>
      </c>
      <c r="D213" s="14">
        <v>45404</v>
      </c>
      <c r="E213" s="14">
        <v>45408</v>
      </c>
      <c r="F213" s="15">
        <v>47303.07</v>
      </c>
      <c r="G213" s="15">
        <v>47303.07</v>
      </c>
      <c r="H213" s="15">
        <f t="shared" si="15"/>
        <v>0</v>
      </c>
      <c r="I213" s="13">
        <f t="shared" si="16"/>
        <v>4</v>
      </c>
      <c r="J213" s="13" t="str">
        <f t="shared" ca="1" si="17"/>
        <v>Paid</v>
      </c>
      <c r="K213" s="13">
        <f t="shared" ca="1" si="18"/>
        <v>0</v>
      </c>
      <c r="L213" s="13" t="str">
        <f t="shared" si="19"/>
        <v>Paid</v>
      </c>
      <c r="M213" s="14">
        <v>45352</v>
      </c>
      <c r="N213" s="14">
        <v>45383</v>
      </c>
    </row>
    <row r="214" spans="1:14" x14ac:dyDescent="0.25">
      <c r="A214" s="10" t="s">
        <v>338</v>
      </c>
      <c r="B214" s="10" t="s">
        <v>79</v>
      </c>
      <c r="C214" s="11">
        <v>45362</v>
      </c>
      <c r="D214" s="11">
        <v>45392</v>
      </c>
      <c r="E214" s="11"/>
      <c r="F214" s="12">
        <v>91450.38</v>
      </c>
      <c r="G214" s="12">
        <v>0</v>
      </c>
      <c r="H214" s="12">
        <f t="shared" si="15"/>
        <v>91450.38</v>
      </c>
      <c r="I214" s="10" t="str">
        <f t="shared" si="16"/>
        <v/>
      </c>
      <c r="J214" s="10" t="str">
        <f t="shared" ca="1" si="17"/>
        <v>Overdue</v>
      </c>
      <c r="K214" s="10">
        <f t="shared" ca="1" si="18"/>
        <v>864</v>
      </c>
      <c r="L214" s="10" t="str">
        <f t="shared" ca="1" si="19"/>
        <v>120+ Days</v>
      </c>
      <c r="M214" s="11">
        <v>45352</v>
      </c>
      <c r="N214" s="11"/>
    </row>
    <row r="215" spans="1:14" x14ac:dyDescent="0.25">
      <c r="A215" s="13" t="s">
        <v>339</v>
      </c>
      <c r="B215" s="13" t="s">
        <v>340</v>
      </c>
      <c r="C215" s="14">
        <v>45363</v>
      </c>
      <c r="D215" s="14">
        <v>45393</v>
      </c>
      <c r="E215" s="14">
        <v>45422</v>
      </c>
      <c r="F215" s="15">
        <v>33725.61</v>
      </c>
      <c r="G215" s="15">
        <v>33725.61</v>
      </c>
      <c r="H215" s="15">
        <f t="shared" si="15"/>
        <v>0</v>
      </c>
      <c r="I215" s="13">
        <f t="shared" si="16"/>
        <v>29</v>
      </c>
      <c r="J215" s="13" t="str">
        <f t="shared" ca="1" si="17"/>
        <v>Paid</v>
      </c>
      <c r="K215" s="13">
        <f t="shared" ca="1" si="18"/>
        <v>0</v>
      </c>
      <c r="L215" s="13" t="str">
        <f t="shared" si="19"/>
        <v>Paid</v>
      </c>
      <c r="M215" s="14">
        <v>45352</v>
      </c>
      <c r="N215" s="14">
        <v>45413</v>
      </c>
    </row>
    <row r="216" spans="1:14" x14ac:dyDescent="0.25">
      <c r="A216" s="10" t="s">
        <v>341</v>
      </c>
      <c r="B216" s="10" t="s">
        <v>87</v>
      </c>
      <c r="C216" s="11">
        <v>45387</v>
      </c>
      <c r="D216" s="11">
        <v>45417</v>
      </c>
      <c r="E216" s="11">
        <v>45427</v>
      </c>
      <c r="F216" s="12">
        <v>64033.34</v>
      </c>
      <c r="G216" s="12">
        <v>64033.34</v>
      </c>
      <c r="H216" s="12">
        <f t="shared" si="15"/>
        <v>0</v>
      </c>
      <c r="I216" s="10">
        <f t="shared" si="16"/>
        <v>10</v>
      </c>
      <c r="J216" s="10" t="str">
        <f t="shared" ca="1" si="17"/>
        <v>Paid</v>
      </c>
      <c r="K216" s="10">
        <f t="shared" ca="1" si="18"/>
        <v>0</v>
      </c>
      <c r="L216" s="10" t="str">
        <f t="shared" si="19"/>
        <v>Paid</v>
      </c>
      <c r="M216" s="11">
        <v>45383</v>
      </c>
      <c r="N216" s="11">
        <v>45413</v>
      </c>
    </row>
    <row r="217" spans="1:14" x14ac:dyDescent="0.25">
      <c r="A217" s="13" t="s">
        <v>342</v>
      </c>
      <c r="B217" s="13" t="s">
        <v>161</v>
      </c>
      <c r="C217" s="14">
        <v>45389</v>
      </c>
      <c r="D217" s="14">
        <v>45419</v>
      </c>
      <c r="E217" s="14">
        <v>45444</v>
      </c>
      <c r="F217" s="15">
        <v>62163.09</v>
      </c>
      <c r="G217" s="15">
        <v>62163.09</v>
      </c>
      <c r="H217" s="15">
        <f t="shared" si="15"/>
        <v>0</v>
      </c>
      <c r="I217" s="13">
        <f t="shared" si="16"/>
        <v>25</v>
      </c>
      <c r="J217" s="13" t="str">
        <f t="shared" ca="1" si="17"/>
        <v>Paid</v>
      </c>
      <c r="K217" s="13">
        <f t="shared" ca="1" si="18"/>
        <v>0</v>
      </c>
      <c r="L217" s="13" t="str">
        <f t="shared" si="19"/>
        <v>Paid</v>
      </c>
      <c r="M217" s="14">
        <v>45383</v>
      </c>
      <c r="N217" s="14">
        <v>45444</v>
      </c>
    </row>
    <row r="218" spans="1:14" x14ac:dyDescent="0.25">
      <c r="A218" s="10" t="s">
        <v>343</v>
      </c>
      <c r="B218" s="10" t="s">
        <v>76</v>
      </c>
      <c r="C218" s="11">
        <v>45409</v>
      </c>
      <c r="D218" s="11">
        <v>45439</v>
      </c>
      <c r="E218" s="11">
        <v>45439</v>
      </c>
      <c r="F218" s="12">
        <v>31393.81</v>
      </c>
      <c r="G218" s="12">
        <v>31393.81</v>
      </c>
      <c r="H218" s="12">
        <f t="shared" si="15"/>
        <v>0</v>
      </c>
      <c r="I218" s="10">
        <f t="shared" si="16"/>
        <v>0</v>
      </c>
      <c r="J218" s="10" t="str">
        <f t="shared" ca="1" si="17"/>
        <v>Paid</v>
      </c>
      <c r="K218" s="10">
        <f t="shared" ca="1" si="18"/>
        <v>0</v>
      </c>
      <c r="L218" s="10" t="str">
        <f t="shared" si="19"/>
        <v>Paid</v>
      </c>
      <c r="M218" s="11">
        <v>45383</v>
      </c>
      <c r="N218" s="11">
        <v>45413</v>
      </c>
    </row>
    <row r="219" spans="1:14" x14ac:dyDescent="0.25">
      <c r="A219" s="13" t="s">
        <v>344</v>
      </c>
      <c r="B219" s="13" t="s">
        <v>87</v>
      </c>
      <c r="C219" s="14">
        <v>45393</v>
      </c>
      <c r="D219" s="14">
        <v>45423</v>
      </c>
      <c r="E219" s="14">
        <v>45423</v>
      </c>
      <c r="F219" s="15">
        <v>47126.33</v>
      </c>
      <c r="G219" s="15">
        <v>47126.33</v>
      </c>
      <c r="H219" s="15">
        <f t="shared" si="15"/>
        <v>0</v>
      </c>
      <c r="I219" s="13">
        <f t="shared" si="16"/>
        <v>0</v>
      </c>
      <c r="J219" s="13" t="str">
        <f t="shared" ca="1" si="17"/>
        <v>Paid</v>
      </c>
      <c r="K219" s="13">
        <f t="shared" ca="1" si="18"/>
        <v>0</v>
      </c>
      <c r="L219" s="13" t="str">
        <f t="shared" si="19"/>
        <v>Paid</v>
      </c>
      <c r="M219" s="14">
        <v>45383</v>
      </c>
      <c r="N219" s="14">
        <v>45413</v>
      </c>
    </row>
    <row r="220" spans="1:14" x14ac:dyDescent="0.25">
      <c r="A220" s="10" t="s">
        <v>345</v>
      </c>
      <c r="B220" s="10" t="s">
        <v>95</v>
      </c>
      <c r="C220" s="11">
        <v>45405</v>
      </c>
      <c r="D220" s="11">
        <v>45435</v>
      </c>
      <c r="E220" s="11">
        <v>45452</v>
      </c>
      <c r="F220" s="12">
        <v>49644.41</v>
      </c>
      <c r="G220" s="12">
        <v>49644.41</v>
      </c>
      <c r="H220" s="12">
        <f t="shared" si="15"/>
        <v>0</v>
      </c>
      <c r="I220" s="10">
        <f t="shared" si="16"/>
        <v>17</v>
      </c>
      <c r="J220" s="10" t="str">
        <f t="shared" ca="1" si="17"/>
        <v>Paid</v>
      </c>
      <c r="K220" s="10">
        <f t="shared" ca="1" si="18"/>
        <v>0</v>
      </c>
      <c r="L220" s="10" t="str">
        <f t="shared" si="19"/>
        <v>Paid</v>
      </c>
      <c r="M220" s="11">
        <v>45383</v>
      </c>
      <c r="N220" s="11">
        <v>45444</v>
      </c>
    </row>
    <row r="221" spans="1:14" x14ac:dyDescent="0.25">
      <c r="A221" s="13" t="s">
        <v>346</v>
      </c>
      <c r="B221" s="13" t="s">
        <v>81</v>
      </c>
      <c r="C221" s="14">
        <v>45387</v>
      </c>
      <c r="D221" s="14">
        <v>45417</v>
      </c>
      <c r="E221" s="14"/>
      <c r="F221" s="15">
        <v>81129.14</v>
      </c>
      <c r="G221" s="15">
        <v>0</v>
      </c>
      <c r="H221" s="15">
        <f t="shared" si="15"/>
        <v>81129.14</v>
      </c>
      <c r="I221" s="13" t="str">
        <f t="shared" si="16"/>
        <v/>
      </c>
      <c r="J221" s="13" t="str">
        <f t="shared" ca="1" si="17"/>
        <v>Overdue</v>
      </c>
      <c r="K221" s="13">
        <f t="shared" ca="1" si="18"/>
        <v>839</v>
      </c>
      <c r="L221" s="13" t="str">
        <f t="shared" ca="1" si="19"/>
        <v>120+ Days</v>
      </c>
      <c r="M221" s="14">
        <v>45383</v>
      </c>
      <c r="N221" s="14"/>
    </row>
    <row r="222" spans="1:14" x14ac:dyDescent="0.25">
      <c r="A222" s="10" t="s">
        <v>347</v>
      </c>
      <c r="B222" s="10" t="s">
        <v>136</v>
      </c>
      <c r="C222" s="11">
        <v>45400</v>
      </c>
      <c r="D222" s="11">
        <v>45430</v>
      </c>
      <c r="E222" s="11"/>
      <c r="F222" s="12">
        <v>38137.15</v>
      </c>
      <c r="G222" s="12">
        <v>0</v>
      </c>
      <c r="H222" s="12">
        <f t="shared" si="15"/>
        <v>38137.15</v>
      </c>
      <c r="I222" s="10" t="str">
        <f t="shared" si="16"/>
        <v/>
      </c>
      <c r="J222" s="10" t="str">
        <f t="shared" ca="1" si="17"/>
        <v>Overdue</v>
      </c>
      <c r="K222" s="10">
        <f t="shared" ca="1" si="18"/>
        <v>826</v>
      </c>
      <c r="L222" s="10" t="str">
        <f t="shared" ca="1" si="19"/>
        <v>120+ Days</v>
      </c>
      <c r="M222" s="11">
        <v>45383</v>
      </c>
      <c r="N222" s="11"/>
    </row>
    <row r="223" spans="1:14" x14ac:dyDescent="0.25">
      <c r="A223" s="13" t="s">
        <v>348</v>
      </c>
      <c r="B223" s="13" t="s">
        <v>115</v>
      </c>
      <c r="C223" s="14">
        <v>45399</v>
      </c>
      <c r="D223" s="14">
        <v>45429</v>
      </c>
      <c r="E223" s="14"/>
      <c r="F223" s="15">
        <v>92900.19</v>
      </c>
      <c r="G223" s="15">
        <v>0</v>
      </c>
      <c r="H223" s="15">
        <f t="shared" si="15"/>
        <v>92900.19</v>
      </c>
      <c r="I223" s="13" t="str">
        <f t="shared" si="16"/>
        <v/>
      </c>
      <c r="J223" s="13" t="str">
        <f t="shared" ca="1" si="17"/>
        <v>Overdue</v>
      </c>
      <c r="K223" s="13">
        <f t="shared" ca="1" si="18"/>
        <v>827</v>
      </c>
      <c r="L223" s="13" t="str">
        <f t="shared" ca="1" si="19"/>
        <v>120+ Days</v>
      </c>
      <c r="M223" s="14">
        <v>45383</v>
      </c>
      <c r="N223" s="14"/>
    </row>
    <row r="224" spans="1:14" x14ac:dyDescent="0.25">
      <c r="A224" s="10" t="s">
        <v>349</v>
      </c>
      <c r="B224" s="10" t="s">
        <v>91</v>
      </c>
      <c r="C224" s="11">
        <v>45397</v>
      </c>
      <c r="D224" s="11">
        <v>45427</v>
      </c>
      <c r="E224" s="11">
        <v>45471</v>
      </c>
      <c r="F224" s="12">
        <v>35941.57</v>
      </c>
      <c r="G224" s="12">
        <v>35941.57</v>
      </c>
      <c r="H224" s="12">
        <f t="shared" si="15"/>
        <v>0</v>
      </c>
      <c r="I224" s="10">
        <f t="shared" si="16"/>
        <v>44</v>
      </c>
      <c r="J224" s="10" t="str">
        <f t="shared" ca="1" si="17"/>
        <v>Paid</v>
      </c>
      <c r="K224" s="10">
        <f t="shared" ca="1" si="18"/>
        <v>0</v>
      </c>
      <c r="L224" s="10" t="str">
        <f t="shared" si="19"/>
        <v>Paid</v>
      </c>
      <c r="M224" s="11">
        <v>45383</v>
      </c>
      <c r="N224" s="11">
        <v>45444</v>
      </c>
    </row>
    <row r="225" spans="1:14" x14ac:dyDescent="0.25">
      <c r="A225" s="13" t="s">
        <v>350</v>
      </c>
      <c r="B225" s="13" t="s">
        <v>198</v>
      </c>
      <c r="C225" s="14">
        <v>45394</v>
      </c>
      <c r="D225" s="14">
        <v>45424</v>
      </c>
      <c r="E225" s="14">
        <v>45444</v>
      </c>
      <c r="F225" s="15">
        <v>33166.39</v>
      </c>
      <c r="G225" s="15">
        <v>33166.39</v>
      </c>
      <c r="H225" s="15">
        <f t="shared" si="15"/>
        <v>0</v>
      </c>
      <c r="I225" s="13">
        <f t="shared" si="16"/>
        <v>20</v>
      </c>
      <c r="J225" s="13" t="str">
        <f t="shared" ca="1" si="17"/>
        <v>Paid</v>
      </c>
      <c r="K225" s="13">
        <f t="shared" ca="1" si="18"/>
        <v>0</v>
      </c>
      <c r="L225" s="13" t="str">
        <f t="shared" si="19"/>
        <v>Paid</v>
      </c>
      <c r="M225" s="14">
        <v>45383</v>
      </c>
      <c r="N225" s="14">
        <v>45444</v>
      </c>
    </row>
    <row r="226" spans="1:14" x14ac:dyDescent="0.25">
      <c r="A226" s="10" t="s">
        <v>351</v>
      </c>
      <c r="B226" s="10" t="s">
        <v>331</v>
      </c>
      <c r="C226" s="11">
        <v>45404</v>
      </c>
      <c r="D226" s="11">
        <v>45434</v>
      </c>
      <c r="E226" s="11">
        <v>45465</v>
      </c>
      <c r="F226" s="12">
        <v>32678.16</v>
      </c>
      <c r="G226" s="12">
        <v>32678.16</v>
      </c>
      <c r="H226" s="12">
        <f t="shared" si="15"/>
        <v>0</v>
      </c>
      <c r="I226" s="10">
        <f t="shared" si="16"/>
        <v>31</v>
      </c>
      <c r="J226" s="10" t="str">
        <f t="shared" ca="1" si="17"/>
        <v>Paid</v>
      </c>
      <c r="K226" s="10">
        <f t="shared" ca="1" si="18"/>
        <v>0</v>
      </c>
      <c r="L226" s="10" t="str">
        <f t="shared" si="19"/>
        <v>Paid</v>
      </c>
      <c r="M226" s="11">
        <v>45383</v>
      </c>
      <c r="N226" s="11">
        <v>45444</v>
      </c>
    </row>
    <row r="227" spans="1:14" x14ac:dyDescent="0.25">
      <c r="A227" s="13" t="s">
        <v>352</v>
      </c>
      <c r="B227" s="13" t="s">
        <v>274</v>
      </c>
      <c r="C227" s="14">
        <v>45386</v>
      </c>
      <c r="D227" s="14">
        <v>45416</v>
      </c>
      <c r="E227" s="14">
        <v>45428</v>
      </c>
      <c r="F227" s="15">
        <v>53596.97</v>
      </c>
      <c r="G227" s="15">
        <v>53596.97</v>
      </c>
      <c r="H227" s="15">
        <f t="shared" si="15"/>
        <v>0</v>
      </c>
      <c r="I227" s="13">
        <f t="shared" si="16"/>
        <v>12</v>
      </c>
      <c r="J227" s="13" t="str">
        <f t="shared" ca="1" si="17"/>
        <v>Paid</v>
      </c>
      <c r="K227" s="13">
        <f t="shared" ca="1" si="18"/>
        <v>0</v>
      </c>
      <c r="L227" s="13" t="str">
        <f t="shared" si="19"/>
        <v>Paid</v>
      </c>
      <c r="M227" s="14">
        <v>45383</v>
      </c>
      <c r="N227" s="14">
        <v>45413</v>
      </c>
    </row>
    <row r="228" spans="1:14" x14ac:dyDescent="0.25">
      <c r="A228" s="10" t="s">
        <v>353</v>
      </c>
      <c r="B228" s="10" t="s">
        <v>97</v>
      </c>
      <c r="C228" s="11">
        <v>45402</v>
      </c>
      <c r="D228" s="11">
        <v>45432</v>
      </c>
      <c r="E228" s="11">
        <v>45445</v>
      </c>
      <c r="F228" s="12">
        <v>30430.93</v>
      </c>
      <c r="G228" s="12">
        <v>30430.93</v>
      </c>
      <c r="H228" s="12">
        <f t="shared" si="15"/>
        <v>0</v>
      </c>
      <c r="I228" s="10">
        <f t="shared" si="16"/>
        <v>13</v>
      </c>
      <c r="J228" s="10" t="str">
        <f t="shared" ca="1" si="17"/>
        <v>Paid</v>
      </c>
      <c r="K228" s="10">
        <f t="shared" ca="1" si="18"/>
        <v>0</v>
      </c>
      <c r="L228" s="10" t="str">
        <f t="shared" si="19"/>
        <v>Paid</v>
      </c>
      <c r="M228" s="11">
        <v>45383</v>
      </c>
      <c r="N228" s="11">
        <v>45444</v>
      </c>
    </row>
    <row r="229" spans="1:14" x14ac:dyDescent="0.25">
      <c r="A229" s="13" t="s">
        <v>354</v>
      </c>
      <c r="B229" s="13" t="s">
        <v>265</v>
      </c>
      <c r="C229" s="14">
        <v>45395</v>
      </c>
      <c r="D229" s="14">
        <v>45425</v>
      </c>
      <c r="E229" s="14">
        <v>45435</v>
      </c>
      <c r="F229" s="15">
        <v>49259.3</v>
      </c>
      <c r="G229" s="15">
        <v>49259.3</v>
      </c>
      <c r="H229" s="15">
        <f t="shared" si="15"/>
        <v>0</v>
      </c>
      <c r="I229" s="13">
        <f t="shared" si="16"/>
        <v>10</v>
      </c>
      <c r="J229" s="13" t="str">
        <f t="shared" ca="1" si="17"/>
        <v>Paid</v>
      </c>
      <c r="K229" s="13">
        <f t="shared" ca="1" si="18"/>
        <v>0</v>
      </c>
      <c r="L229" s="13" t="str">
        <f t="shared" si="19"/>
        <v>Paid</v>
      </c>
      <c r="M229" s="14">
        <v>45383</v>
      </c>
      <c r="N229" s="14">
        <v>45413</v>
      </c>
    </row>
    <row r="230" spans="1:14" x14ac:dyDescent="0.25">
      <c r="A230" s="10" t="s">
        <v>355</v>
      </c>
      <c r="B230" s="10" t="s">
        <v>113</v>
      </c>
      <c r="C230" s="11">
        <v>45385</v>
      </c>
      <c r="D230" s="11">
        <v>45415</v>
      </c>
      <c r="E230" s="11">
        <v>45415</v>
      </c>
      <c r="F230" s="12">
        <v>46906.55</v>
      </c>
      <c r="G230" s="12">
        <v>46906.55</v>
      </c>
      <c r="H230" s="12">
        <f t="shared" si="15"/>
        <v>0</v>
      </c>
      <c r="I230" s="10">
        <f t="shared" si="16"/>
        <v>0</v>
      </c>
      <c r="J230" s="10" t="str">
        <f t="shared" ca="1" si="17"/>
        <v>Paid</v>
      </c>
      <c r="K230" s="10">
        <f t="shared" ca="1" si="18"/>
        <v>0</v>
      </c>
      <c r="L230" s="10" t="str">
        <f t="shared" si="19"/>
        <v>Paid</v>
      </c>
      <c r="M230" s="11">
        <v>45383</v>
      </c>
      <c r="N230" s="11">
        <v>45413</v>
      </c>
    </row>
    <row r="231" spans="1:14" x14ac:dyDescent="0.25">
      <c r="A231" s="13" t="s">
        <v>356</v>
      </c>
      <c r="B231" s="13" t="s">
        <v>331</v>
      </c>
      <c r="C231" s="14">
        <v>45401</v>
      </c>
      <c r="D231" s="14">
        <v>45431</v>
      </c>
      <c r="E231" s="14"/>
      <c r="F231" s="15">
        <v>45801.5</v>
      </c>
      <c r="G231" s="15">
        <v>0</v>
      </c>
      <c r="H231" s="15">
        <f t="shared" si="15"/>
        <v>45801.5</v>
      </c>
      <c r="I231" s="13" t="str">
        <f t="shared" si="16"/>
        <v/>
      </c>
      <c r="J231" s="13" t="str">
        <f t="shared" ca="1" si="17"/>
        <v>Overdue</v>
      </c>
      <c r="K231" s="13">
        <f t="shared" ca="1" si="18"/>
        <v>825</v>
      </c>
      <c r="L231" s="13" t="str">
        <f t="shared" ca="1" si="19"/>
        <v>120+ Days</v>
      </c>
      <c r="M231" s="14">
        <v>45383</v>
      </c>
      <c r="N231" s="14"/>
    </row>
    <row r="232" spans="1:14" x14ac:dyDescent="0.25">
      <c r="A232" s="10" t="s">
        <v>357</v>
      </c>
      <c r="B232" s="10" t="s">
        <v>220</v>
      </c>
      <c r="C232" s="11">
        <v>45390</v>
      </c>
      <c r="D232" s="11">
        <v>45420</v>
      </c>
      <c r="E232" s="11">
        <v>45461</v>
      </c>
      <c r="F232" s="12">
        <v>32323.8</v>
      </c>
      <c r="G232" s="12">
        <v>32323.8</v>
      </c>
      <c r="H232" s="12">
        <f t="shared" si="15"/>
        <v>0</v>
      </c>
      <c r="I232" s="10">
        <f t="shared" si="16"/>
        <v>41</v>
      </c>
      <c r="J232" s="10" t="str">
        <f t="shared" ca="1" si="17"/>
        <v>Paid</v>
      </c>
      <c r="K232" s="10">
        <f t="shared" ca="1" si="18"/>
        <v>0</v>
      </c>
      <c r="L232" s="10" t="str">
        <f t="shared" si="19"/>
        <v>Paid</v>
      </c>
      <c r="M232" s="11">
        <v>45383</v>
      </c>
      <c r="N232" s="11">
        <v>45444</v>
      </c>
    </row>
    <row r="233" spans="1:14" x14ac:dyDescent="0.25">
      <c r="A233" s="13" t="s">
        <v>358</v>
      </c>
      <c r="B233" s="13" t="s">
        <v>117</v>
      </c>
      <c r="C233" s="14">
        <v>45409</v>
      </c>
      <c r="D233" s="14">
        <v>45439</v>
      </c>
      <c r="E233" s="14">
        <v>45486</v>
      </c>
      <c r="F233" s="15">
        <v>86128.960000000006</v>
      </c>
      <c r="G233" s="15">
        <v>86128.960000000006</v>
      </c>
      <c r="H233" s="15">
        <f t="shared" si="15"/>
        <v>0</v>
      </c>
      <c r="I233" s="13">
        <f t="shared" si="16"/>
        <v>47</v>
      </c>
      <c r="J233" s="13" t="str">
        <f t="shared" ca="1" si="17"/>
        <v>Paid</v>
      </c>
      <c r="K233" s="13">
        <f t="shared" ca="1" si="18"/>
        <v>0</v>
      </c>
      <c r="L233" s="13" t="str">
        <f t="shared" si="19"/>
        <v>Paid</v>
      </c>
      <c r="M233" s="14">
        <v>45383</v>
      </c>
      <c r="N233" s="14">
        <v>45474</v>
      </c>
    </row>
    <row r="234" spans="1:14" x14ac:dyDescent="0.25">
      <c r="A234" s="10" t="s">
        <v>359</v>
      </c>
      <c r="B234" s="10" t="s">
        <v>150</v>
      </c>
      <c r="C234" s="11">
        <v>45393</v>
      </c>
      <c r="D234" s="11">
        <v>45423</v>
      </c>
      <c r="E234" s="11">
        <v>45431</v>
      </c>
      <c r="F234" s="12">
        <v>46350.9</v>
      </c>
      <c r="G234" s="12">
        <v>46350.9</v>
      </c>
      <c r="H234" s="12">
        <f t="shared" si="15"/>
        <v>0</v>
      </c>
      <c r="I234" s="10">
        <f t="shared" si="16"/>
        <v>8</v>
      </c>
      <c r="J234" s="10" t="str">
        <f t="shared" ca="1" si="17"/>
        <v>Paid</v>
      </c>
      <c r="K234" s="10">
        <f t="shared" ca="1" si="18"/>
        <v>0</v>
      </c>
      <c r="L234" s="10" t="str">
        <f t="shared" si="19"/>
        <v>Paid</v>
      </c>
      <c r="M234" s="11">
        <v>45383</v>
      </c>
      <c r="N234" s="11">
        <v>45413</v>
      </c>
    </row>
    <row r="235" spans="1:14" x14ac:dyDescent="0.25">
      <c r="A235" s="13" t="s">
        <v>360</v>
      </c>
      <c r="B235" s="13" t="s">
        <v>159</v>
      </c>
      <c r="C235" s="14">
        <v>45393</v>
      </c>
      <c r="D235" s="14">
        <v>45423</v>
      </c>
      <c r="E235" s="14">
        <v>45487</v>
      </c>
      <c r="F235" s="15">
        <v>41024.32</v>
      </c>
      <c r="G235" s="15">
        <v>41024.32</v>
      </c>
      <c r="H235" s="15">
        <f t="shared" si="15"/>
        <v>0</v>
      </c>
      <c r="I235" s="13">
        <f t="shared" si="16"/>
        <v>64</v>
      </c>
      <c r="J235" s="13" t="str">
        <f t="shared" ca="1" si="17"/>
        <v>Paid</v>
      </c>
      <c r="K235" s="13">
        <f t="shared" ca="1" si="18"/>
        <v>0</v>
      </c>
      <c r="L235" s="13" t="str">
        <f t="shared" si="19"/>
        <v>Paid</v>
      </c>
      <c r="M235" s="14">
        <v>45383</v>
      </c>
      <c r="N235" s="14">
        <v>45474</v>
      </c>
    </row>
    <row r="236" spans="1:14" x14ac:dyDescent="0.25">
      <c r="A236" s="10" t="s">
        <v>361</v>
      </c>
      <c r="B236" s="10" t="s">
        <v>171</v>
      </c>
      <c r="C236" s="11">
        <v>45393</v>
      </c>
      <c r="D236" s="11">
        <v>45423</v>
      </c>
      <c r="E236" s="11">
        <v>45430</v>
      </c>
      <c r="F236" s="12">
        <v>30395.19</v>
      </c>
      <c r="G236" s="12">
        <v>30395.19</v>
      </c>
      <c r="H236" s="12">
        <f t="shared" si="15"/>
        <v>0</v>
      </c>
      <c r="I236" s="10">
        <f t="shared" si="16"/>
        <v>7</v>
      </c>
      <c r="J236" s="10" t="str">
        <f t="shared" ca="1" si="17"/>
        <v>Paid</v>
      </c>
      <c r="K236" s="10">
        <f t="shared" ca="1" si="18"/>
        <v>0</v>
      </c>
      <c r="L236" s="10" t="str">
        <f t="shared" si="19"/>
        <v>Paid</v>
      </c>
      <c r="M236" s="11">
        <v>45383</v>
      </c>
      <c r="N236" s="11">
        <v>45413</v>
      </c>
    </row>
    <row r="237" spans="1:14" x14ac:dyDescent="0.25">
      <c r="A237" s="13" t="s">
        <v>362</v>
      </c>
      <c r="B237" s="13" t="s">
        <v>198</v>
      </c>
      <c r="C237" s="14">
        <v>45392</v>
      </c>
      <c r="D237" s="14">
        <v>45422</v>
      </c>
      <c r="E237" s="14">
        <v>45423</v>
      </c>
      <c r="F237" s="15">
        <v>46033.08</v>
      </c>
      <c r="G237" s="15">
        <v>46033.08</v>
      </c>
      <c r="H237" s="15">
        <f t="shared" si="15"/>
        <v>0</v>
      </c>
      <c r="I237" s="13">
        <f t="shared" si="16"/>
        <v>1</v>
      </c>
      <c r="J237" s="13" t="str">
        <f t="shared" ca="1" si="17"/>
        <v>Paid</v>
      </c>
      <c r="K237" s="13">
        <f t="shared" ca="1" si="18"/>
        <v>0</v>
      </c>
      <c r="L237" s="13" t="str">
        <f t="shared" si="19"/>
        <v>Paid</v>
      </c>
      <c r="M237" s="14">
        <v>45383</v>
      </c>
      <c r="N237" s="14">
        <v>45413</v>
      </c>
    </row>
    <row r="238" spans="1:14" x14ac:dyDescent="0.25">
      <c r="A238" s="10" t="s">
        <v>363</v>
      </c>
      <c r="B238" s="10" t="s">
        <v>93</v>
      </c>
      <c r="C238" s="11">
        <v>45402</v>
      </c>
      <c r="D238" s="11">
        <v>45432</v>
      </c>
      <c r="E238" s="11">
        <v>45434</v>
      </c>
      <c r="F238" s="12">
        <v>47021.65</v>
      </c>
      <c r="G238" s="12">
        <v>32898.99</v>
      </c>
      <c r="H238" s="12">
        <f t="shared" si="15"/>
        <v>14122.660000000003</v>
      </c>
      <c r="I238" s="10">
        <f t="shared" si="16"/>
        <v>2</v>
      </c>
      <c r="J238" s="10" t="str">
        <f t="shared" ca="1" si="17"/>
        <v>Overdue</v>
      </c>
      <c r="K238" s="10">
        <f t="shared" ca="1" si="18"/>
        <v>824</v>
      </c>
      <c r="L238" s="10" t="str">
        <f t="shared" ca="1" si="19"/>
        <v>120+ Days</v>
      </c>
      <c r="M238" s="11">
        <v>45383</v>
      </c>
      <c r="N238" s="11">
        <v>45413</v>
      </c>
    </row>
    <row r="239" spans="1:14" x14ac:dyDescent="0.25">
      <c r="A239" s="13" t="s">
        <v>364</v>
      </c>
      <c r="B239" s="13" t="s">
        <v>198</v>
      </c>
      <c r="C239" s="14">
        <v>45400</v>
      </c>
      <c r="D239" s="14">
        <v>45430</v>
      </c>
      <c r="E239" s="14">
        <v>45430</v>
      </c>
      <c r="F239" s="15">
        <v>28986.639999999999</v>
      </c>
      <c r="G239" s="15">
        <v>28986.639999999999</v>
      </c>
      <c r="H239" s="15">
        <f t="shared" si="15"/>
        <v>0</v>
      </c>
      <c r="I239" s="13">
        <f t="shared" si="16"/>
        <v>0</v>
      </c>
      <c r="J239" s="13" t="str">
        <f t="shared" ca="1" si="17"/>
        <v>Paid</v>
      </c>
      <c r="K239" s="13">
        <f t="shared" ca="1" si="18"/>
        <v>0</v>
      </c>
      <c r="L239" s="13" t="str">
        <f t="shared" si="19"/>
        <v>Paid</v>
      </c>
      <c r="M239" s="14">
        <v>45383</v>
      </c>
      <c r="N239" s="14">
        <v>45413</v>
      </c>
    </row>
    <row r="240" spans="1:14" x14ac:dyDescent="0.25">
      <c r="A240" s="10" t="s">
        <v>365</v>
      </c>
      <c r="B240" s="10" t="s">
        <v>107</v>
      </c>
      <c r="C240" s="11">
        <v>45407</v>
      </c>
      <c r="D240" s="11">
        <v>45437</v>
      </c>
      <c r="E240" s="11">
        <v>45438</v>
      </c>
      <c r="F240" s="12">
        <v>39288.82</v>
      </c>
      <c r="G240" s="12">
        <v>39288.82</v>
      </c>
      <c r="H240" s="12">
        <f t="shared" si="15"/>
        <v>0</v>
      </c>
      <c r="I240" s="10">
        <f t="shared" si="16"/>
        <v>1</v>
      </c>
      <c r="J240" s="10" t="str">
        <f t="shared" ca="1" si="17"/>
        <v>Paid</v>
      </c>
      <c r="K240" s="10">
        <f t="shared" ca="1" si="18"/>
        <v>0</v>
      </c>
      <c r="L240" s="10" t="str">
        <f t="shared" si="19"/>
        <v>Paid</v>
      </c>
      <c r="M240" s="11">
        <v>45383</v>
      </c>
      <c r="N240" s="11">
        <v>45413</v>
      </c>
    </row>
    <row r="241" spans="1:14" x14ac:dyDescent="0.25">
      <c r="A241" s="13" t="s">
        <v>366</v>
      </c>
      <c r="B241" s="13" t="s">
        <v>125</v>
      </c>
      <c r="C241" s="14">
        <v>45401</v>
      </c>
      <c r="D241" s="14">
        <v>45431</v>
      </c>
      <c r="E241" s="14">
        <v>45442</v>
      </c>
      <c r="F241" s="15">
        <v>53682.16</v>
      </c>
      <c r="G241" s="15">
        <v>53682.16</v>
      </c>
      <c r="H241" s="15">
        <f t="shared" si="15"/>
        <v>0</v>
      </c>
      <c r="I241" s="13">
        <f t="shared" si="16"/>
        <v>11</v>
      </c>
      <c r="J241" s="13" t="str">
        <f t="shared" ca="1" si="17"/>
        <v>Paid</v>
      </c>
      <c r="K241" s="13">
        <f t="shared" ca="1" si="18"/>
        <v>0</v>
      </c>
      <c r="L241" s="13" t="str">
        <f t="shared" si="19"/>
        <v>Paid</v>
      </c>
      <c r="M241" s="14">
        <v>45383</v>
      </c>
      <c r="N241" s="14">
        <v>45413</v>
      </c>
    </row>
    <row r="242" spans="1:14" x14ac:dyDescent="0.25">
      <c r="A242" s="10" t="s">
        <v>367</v>
      </c>
      <c r="B242" s="10" t="s">
        <v>85</v>
      </c>
      <c r="C242" s="11">
        <v>45403</v>
      </c>
      <c r="D242" s="11">
        <v>45433</v>
      </c>
      <c r="E242" s="11"/>
      <c r="F242" s="12">
        <v>53576.94</v>
      </c>
      <c r="G242" s="12">
        <v>0</v>
      </c>
      <c r="H242" s="12">
        <f t="shared" si="15"/>
        <v>53576.94</v>
      </c>
      <c r="I242" s="10" t="str">
        <f t="shared" si="16"/>
        <v/>
      </c>
      <c r="J242" s="10" t="str">
        <f t="shared" ca="1" si="17"/>
        <v>Overdue</v>
      </c>
      <c r="K242" s="10">
        <f t="shared" ca="1" si="18"/>
        <v>823</v>
      </c>
      <c r="L242" s="10" t="str">
        <f t="shared" ca="1" si="19"/>
        <v>120+ Days</v>
      </c>
      <c r="M242" s="11">
        <v>45383</v>
      </c>
      <c r="N242" s="11"/>
    </row>
    <row r="243" spans="1:14" x14ac:dyDescent="0.25">
      <c r="A243" s="13" t="s">
        <v>368</v>
      </c>
      <c r="B243" s="13" t="s">
        <v>146</v>
      </c>
      <c r="C243" s="14">
        <v>45388</v>
      </c>
      <c r="D243" s="14">
        <v>45418</v>
      </c>
      <c r="E243" s="14">
        <v>45425</v>
      </c>
      <c r="F243" s="15">
        <v>31243.26</v>
      </c>
      <c r="G243" s="15">
        <v>31243.26</v>
      </c>
      <c r="H243" s="15">
        <f t="shared" si="15"/>
        <v>0</v>
      </c>
      <c r="I243" s="13">
        <f t="shared" si="16"/>
        <v>7</v>
      </c>
      <c r="J243" s="13" t="str">
        <f t="shared" ca="1" si="17"/>
        <v>Paid</v>
      </c>
      <c r="K243" s="13">
        <f t="shared" ca="1" si="18"/>
        <v>0</v>
      </c>
      <c r="L243" s="13" t="str">
        <f t="shared" si="19"/>
        <v>Paid</v>
      </c>
      <c r="M243" s="14">
        <v>45383</v>
      </c>
      <c r="N243" s="14">
        <v>45413</v>
      </c>
    </row>
    <row r="244" spans="1:14" x14ac:dyDescent="0.25">
      <c r="A244" s="10" t="s">
        <v>369</v>
      </c>
      <c r="B244" s="10" t="s">
        <v>138</v>
      </c>
      <c r="C244" s="11">
        <v>45391</v>
      </c>
      <c r="D244" s="11">
        <v>45421</v>
      </c>
      <c r="E244" s="11"/>
      <c r="F244" s="12">
        <v>67849.19</v>
      </c>
      <c r="G244" s="12">
        <v>0</v>
      </c>
      <c r="H244" s="12">
        <f t="shared" si="15"/>
        <v>67849.19</v>
      </c>
      <c r="I244" s="10" t="str">
        <f t="shared" si="16"/>
        <v/>
      </c>
      <c r="J244" s="10" t="str">
        <f t="shared" ca="1" si="17"/>
        <v>Overdue</v>
      </c>
      <c r="K244" s="10">
        <f t="shared" ca="1" si="18"/>
        <v>835</v>
      </c>
      <c r="L244" s="10" t="str">
        <f t="shared" ca="1" si="19"/>
        <v>120+ Days</v>
      </c>
      <c r="M244" s="11">
        <v>45383</v>
      </c>
      <c r="N244" s="11"/>
    </row>
    <row r="245" spans="1:14" x14ac:dyDescent="0.25">
      <c r="A245" s="13" t="s">
        <v>370</v>
      </c>
      <c r="B245" s="13" t="s">
        <v>222</v>
      </c>
      <c r="C245" s="14">
        <v>45399</v>
      </c>
      <c r="D245" s="14">
        <v>45429</v>
      </c>
      <c r="E245" s="14"/>
      <c r="F245" s="15">
        <v>42681.73</v>
      </c>
      <c r="G245" s="15">
        <v>0</v>
      </c>
      <c r="H245" s="15">
        <f t="shared" si="15"/>
        <v>42681.73</v>
      </c>
      <c r="I245" s="13" t="str">
        <f t="shared" si="16"/>
        <v/>
      </c>
      <c r="J245" s="13" t="str">
        <f t="shared" ca="1" si="17"/>
        <v>Overdue</v>
      </c>
      <c r="K245" s="13">
        <f t="shared" ca="1" si="18"/>
        <v>827</v>
      </c>
      <c r="L245" s="13" t="str">
        <f t="shared" ca="1" si="19"/>
        <v>120+ Days</v>
      </c>
      <c r="M245" s="14">
        <v>45383</v>
      </c>
      <c r="N245" s="14"/>
    </row>
    <row r="246" spans="1:14" x14ac:dyDescent="0.25">
      <c r="A246" s="10" t="s">
        <v>371</v>
      </c>
      <c r="B246" s="10" t="s">
        <v>184</v>
      </c>
      <c r="C246" s="11">
        <v>45397</v>
      </c>
      <c r="D246" s="11">
        <v>45427</v>
      </c>
      <c r="E246" s="11"/>
      <c r="F246" s="12">
        <v>28556.66</v>
      </c>
      <c r="G246" s="12">
        <v>0</v>
      </c>
      <c r="H246" s="12">
        <f t="shared" si="15"/>
        <v>28556.66</v>
      </c>
      <c r="I246" s="10" t="str">
        <f t="shared" si="16"/>
        <v/>
      </c>
      <c r="J246" s="10" t="str">
        <f t="shared" ca="1" si="17"/>
        <v>Overdue</v>
      </c>
      <c r="K246" s="10">
        <f t="shared" ca="1" si="18"/>
        <v>829</v>
      </c>
      <c r="L246" s="10" t="str">
        <f t="shared" ca="1" si="19"/>
        <v>120+ Days</v>
      </c>
      <c r="M246" s="11">
        <v>45383</v>
      </c>
      <c r="N246" s="11"/>
    </row>
    <row r="247" spans="1:14" x14ac:dyDescent="0.25">
      <c r="A247" s="13" t="s">
        <v>372</v>
      </c>
      <c r="B247" s="13" t="s">
        <v>134</v>
      </c>
      <c r="C247" s="14">
        <v>45383</v>
      </c>
      <c r="D247" s="14">
        <v>45413</v>
      </c>
      <c r="E247" s="14">
        <v>45432</v>
      </c>
      <c r="F247" s="15">
        <v>65668.52</v>
      </c>
      <c r="G247" s="15">
        <v>65668.52</v>
      </c>
      <c r="H247" s="15">
        <f t="shared" si="15"/>
        <v>0</v>
      </c>
      <c r="I247" s="13">
        <f t="shared" si="16"/>
        <v>19</v>
      </c>
      <c r="J247" s="13" t="str">
        <f t="shared" ca="1" si="17"/>
        <v>Paid</v>
      </c>
      <c r="K247" s="13">
        <f t="shared" ca="1" si="18"/>
        <v>0</v>
      </c>
      <c r="L247" s="13" t="str">
        <f t="shared" si="19"/>
        <v>Paid</v>
      </c>
      <c r="M247" s="14">
        <v>45383</v>
      </c>
      <c r="N247" s="14">
        <v>45413</v>
      </c>
    </row>
    <row r="248" spans="1:14" x14ac:dyDescent="0.25">
      <c r="A248" s="10" t="s">
        <v>373</v>
      </c>
      <c r="B248" s="10" t="s">
        <v>93</v>
      </c>
      <c r="C248" s="11">
        <v>45405</v>
      </c>
      <c r="D248" s="11">
        <v>45435</v>
      </c>
      <c r="E248" s="11">
        <v>45473</v>
      </c>
      <c r="F248" s="12">
        <v>22581.01</v>
      </c>
      <c r="G248" s="12">
        <v>22581.01</v>
      </c>
      <c r="H248" s="12">
        <f t="shared" si="15"/>
        <v>0</v>
      </c>
      <c r="I248" s="10">
        <f t="shared" si="16"/>
        <v>38</v>
      </c>
      <c r="J248" s="10" t="str">
        <f t="shared" ca="1" si="17"/>
        <v>Paid</v>
      </c>
      <c r="K248" s="10">
        <f t="shared" ca="1" si="18"/>
        <v>0</v>
      </c>
      <c r="L248" s="10" t="str">
        <f t="shared" si="19"/>
        <v>Paid</v>
      </c>
      <c r="M248" s="11">
        <v>45383</v>
      </c>
      <c r="N248" s="11">
        <v>45444</v>
      </c>
    </row>
    <row r="249" spans="1:14" x14ac:dyDescent="0.25">
      <c r="A249" s="13" t="s">
        <v>374</v>
      </c>
      <c r="B249" s="13" t="s">
        <v>159</v>
      </c>
      <c r="C249" s="14">
        <v>45406</v>
      </c>
      <c r="D249" s="14">
        <v>45436</v>
      </c>
      <c r="E249" s="14">
        <v>45488</v>
      </c>
      <c r="F249" s="15">
        <v>40378.76</v>
      </c>
      <c r="G249" s="15">
        <v>40378.76</v>
      </c>
      <c r="H249" s="15">
        <f t="shared" si="15"/>
        <v>0</v>
      </c>
      <c r="I249" s="13">
        <f t="shared" si="16"/>
        <v>52</v>
      </c>
      <c r="J249" s="13" t="str">
        <f t="shared" ca="1" si="17"/>
        <v>Paid</v>
      </c>
      <c r="K249" s="13">
        <f t="shared" ca="1" si="18"/>
        <v>0</v>
      </c>
      <c r="L249" s="13" t="str">
        <f t="shared" si="19"/>
        <v>Paid</v>
      </c>
      <c r="M249" s="14">
        <v>45383</v>
      </c>
      <c r="N249" s="14">
        <v>45474</v>
      </c>
    </row>
    <row r="250" spans="1:14" x14ac:dyDescent="0.25">
      <c r="A250" s="10" t="s">
        <v>375</v>
      </c>
      <c r="B250" s="10" t="s">
        <v>140</v>
      </c>
      <c r="C250" s="11">
        <v>45393</v>
      </c>
      <c r="D250" s="11">
        <v>45423</v>
      </c>
      <c r="E250" s="11">
        <v>45436</v>
      </c>
      <c r="F250" s="12">
        <v>51453.15</v>
      </c>
      <c r="G250" s="12">
        <v>51453.15</v>
      </c>
      <c r="H250" s="12">
        <f t="shared" si="15"/>
        <v>0</v>
      </c>
      <c r="I250" s="10">
        <f t="shared" si="16"/>
        <v>13</v>
      </c>
      <c r="J250" s="10" t="str">
        <f t="shared" ca="1" si="17"/>
        <v>Paid</v>
      </c>
      <c r="K250" s="10">
        <f t="shared" ca="1" si="18"/>
        <v>0</v>
      </c>
      <c r="L250" s="10" t="str">
        <f t="shared" si="19"/>
        <v>Paid</v>
      </c>
      <c r="M250" s="11">
        <v>45383</v>
      </c>
      <c r="N250" s="11">
        <v>45413</v>
      </c>
    </row>
    <row r="251" spans="1:14" x14ac:dyDescent="0.25">
      <c r="A251" s="13" t="s">
        <v>376</v>
      </c>
      <c r="B251" s="13" t="s">
        <v>89</v>
      </c>
      <c r="C251" s="14">
        <v>45407</v>
      </c>
      <c r="D251" s="14">
        <v>45437</v>
      </c>
      <c r="E251" s="14"/>
      <c r="F251" s="15">
        <v>19284.07</v>
      </c>
      <c r="G251" s="15">
        <v>0</v>
      </c>
      <c r="H251" s="15">
        <f t="shared" si="15"/>
        <v>19284.07</v>
      </c>
      <c r="I251" s="13" t="str">
        <f t="shared" si="16"/>
        <v/>
      </c>
      <c r="J251" s="13" t="str">
        <f t="shared" ca="1" si="17"/>
        <v>Overdue</v>
      </c>
      <c r="K251" s="13">
        <f t="shared" ca="1" si="18"/>
        <v>819</v>
      </c>
      <c r="L251" s="13" t="str">
        <f t="shared" ca="1" si="19"/>
        <v>120+ Days</v>
      </c>
      <c r="M251" s="14">
        <v>45383</v>
      </c>
      <c r="N251" s="14"/>
    </row>
    <row r="252" spans="1:14" x14ac:dyDescent="0.25">
      <c r="A252" s="10" t="s">
        <v>377</v>
      </c>
      <c r="B252" s="10" t="s">
        <v>188</v>
      </c>
      <c r="C252" s="11">
        <v>45389</v>
      </c>
      <c r="D252" s="11">
        <v>45419</v>
      </c>
      <c r="E252" s="11">
        <v>45477</v>
      </c>
      <c r="F252" s="12">
        <v>146505.99</v>
      </c>
      <c r="G252" s="12">
        <v>59012.959999999999</v>
      </c>
      <c r="H252" s="12">
        <f t="shared" si="15"/>
        <v>87493.03</v>
      </c>
      <c r="I252" s="10">
        <f t="shared" si="16"/>
        <v>58</v>
      </c>
      <c r="J252" s="10" t="str">
        <f t="shared" ca="1" si="17"/>
        <v>Overdue</v>
      </c>
      <c r="K252" s="10">
        <f t="shared" ca="1" si="18"/>
        <v>837</v>
      </c>
      <c r="L252" s="10" t="str">
        <f t="shared" ca="1" si="19"/>
        <v>120+ Days</v>
      </c>
      <c r="M252" s="11">
        <v>45383</v>
      </c>
      <c r="N252" s="11">
        <v>45474</v>
      </c>
    </row>
    <row r="253" spans="1:14" x14ac:dyDescent="0.25">
      <c r="A253" s="13" t="s">
        <v>378</v>
      </c>
      <c r="B253" s="13" t="s">
        <v>159</v>
      </c>
      <c r="C253" s="14">
        <v>45403</v>
      </c>
      <c r="D253" s="14">
        <v>45433</v>
      </c>
      <c r="E253" s="14">
        <v>45499</v>
      </c>
      <c r="F253" s="15">
        <v>41457.050000000003</v>
      </c>
      <c r="G253" s="15">
        <v>41457.050000000003</v>
      </c>
      <c r="H253" s="15">
        <f t="shared" si="15"/>
        <v>0</v>
      </c>
      <c r="I253" s="13">
        <f t="shared" si="16"/>
        <v>66</v>
      </c>
      <c r="J253" s="13" t="str">
        <f t="shared" ca="1" si="17"/>
        <v>Paid</v>
      </c>
      <c r="K253" s="13">
        <f t="shared" ca="1" si="18"/>
        <v>0</v>
      </c>
      <c r="L253" s="13" t="str">
        <f t="shared" si="19"/>
        <v>Paid</v>
      </c>
      <c r="M253" s="14">
        <v>45383</v>
      </c>
      <c r="N253" s="14">
        <v>45474</v>
      </c>
    </row>
    <row r="254" spans="1:14" x14ac:dyDescent="0.25">
      <c r="A254" s="10" t="s">
        <v>379</v>
      </c>
      <c r="B254" s="10" t="s">
        <v>278</v>
      </c>
      <c r="C254" s="11">
        <v>45395</v>
      </c>
      <c r="D254" s="11">
        <v>45425</v>
      </c>
      <c r="E254" s="11">
        <v>45483</v>
      </c>
      <c r="F254" s="12">
        <v>35083.040000000001</v>
      </c>
      <c r="G254" s="12">
        <v>35083.040000000001</v>
      </c>
      <c r="H254" s="12">
        <f t="shared" si="15"/>
        <v>0</v>
      </c>
      <c r="I254" s="10">
        <f t="shared" si="16"/>
        <v>58</v>
      </c>
      <c r="J254" s="10" t="str">
        <f t="shared" ca="1" si="17"/>
        <v>Paid</v>
      </c>
      <c r="K254" s="10">
        <f t="shared" ca="1" si="18"/>
        <v>0</v>
      </c>
      <c r="L254" s="10" t="str">
        <f t="shared" si="19"/>
        <v>Paid</v>
      </c>
      <c r="M254" s="11">
        <v>45383</v>
      </c>
      <c r="N254" s="11">
        <v>45474</v>
      </c>
    </row>
    <row r="255" spans="1:14" x14ac:dyDescent="0.25">
      <c r="A255" s="13" t="s">
        <v>380</v>
      </c>
      <c r="B255" s="13" t="s">
        <v>150</v>
      </c>
      <c r="C255" s="14">
        <v>45398</v>
      </c>
      <c r="D255" s="14">
        <v>45428</v>
      </c>
      <c r="E255" s="14">
        <v>45434</v>
      </c>
      <c r="F255" s="15">
        <v>71163.05</v>
      </c>
      <c r="G255" s="15">
        <v>71163.05</v>
      </c>
      <c r="H255" s="15">
        <f t="shared" si="15"/>
        <v>0</v>
      </c>
      <c r="I255" s="13">
        <f t="shared" si="16"/>
        <v>6</v>
      </c>
      <c r="J255" s="13" t="str">
        <f t="shared" ca="1" si="17"/>
        <v>Paid</v>
      </c>
      <c r="K255" s="13">
        <f t="shared" ca="1" si="18"/>
        <v>0</v>
      </c>
      <c r="L255" s="13" t="str">
        <f t="shared" si="19"/>
        <v>Paid</v>
      </c>
      <c r="M255" s="14">
        <v>45383</v>
      </c>
      <c r="N255" s="14">
        <v>45413</v>
      </c>
    </row>
    <row r="256" spans="1:14" x14ac:dyDescent="0.25">
      <c r="A256" s="10" t="s">
        <v>381</v>
      </c>
      <c r="B256" s="10" t="s">
        <v>224</v>
      </c>
      <c r="C256" s="11">
        <v>45384</v>
      </c>
      <c r="D256" s="11">
        <v>45414</v>
      </c>
      <c r="E256" s="11">
        <v>45419</v>
      </c>
      <c r="F256" s="12">
        <v>49033.7</v>
      </c>
      <c r="G256" s="12">
        <v>49033.7</v>
      </c>
      <c r="H256" s="12">
        <f t="shared" si="15"/>
        <v>0</v>
      </c>
      <c r="I256" s="10">
        <f t="shared" si="16"/>
        <v>5</v>
      </c>
      <c r="J256" s="10" t="str">
        <f t="shared" ca="1" si="17"/>
        <v>Paid</v>
      </c>
      <c r="K256" s="10">
        <f t="shared" ca="1" si="18"/>
        <v>0</v>
      </c>
      <c r="L256" s="10" t="str">
        <f t="shared" si="19"/>
        <v>Paid</v>
      </c>
      <c r="M256" s="11">
        <v>45383</v>
      </c>
      <c r="N256" s="11">
        <v>45413</v>
      </c>
    </row>
    <row r="257" spans="1:14" x14ac:dyDescent="0.25">
      <c r="A257" s="13" t="s">
        <v>382</v>
      </c>
      <c r="B257" s="13" t="s">
        <v>115</v>
      </c>
      <c r="C257" s="14">
        <v>45392</v>
      </c>
      <c r="D257" s="14">
        <v>45422</v>
      </c>
      <c r="E257" s="14">
        <v>45425</v>
      </c>
      <c r="F257" s="15">
        <v>34259.279999999999</v>
      </c>
      <c r="G257" s="15">
        <v>34259.279999999999</v>
      </c>
      <c r="H257" s="15">
        <f t="shared" si="15"/>
        <v>0</v>
      </c>
      <c r="I257" s="13">
        <f t="shared" si="16"/>
        <v>3</v>
      </c>
      <c r="J257" s="13" t="str">
        <f t="shared" ca="1" si="17"/>
        <v>Paid</v>
      </c>
      <c r="K257" s="13">
        <f t="shared" ca="1" si="18"/>
        <v>0</v>
      </c>
      <c r="L257" s="13" t="str">
        <f t="shared" si="19"/>
        <v>Paid</v>
      </c>
      <c r="M257" s="14">
        <v>45383</v>
      </c>
      <c r="N257" s="14">
        <v>45413</v>
      </c>
    </row>
    <row r="258" spans="1:14" x14ac:dyDescent="0.25">
      <c r="A258" s="10" t="s">
        <v>383</v>
      </c>
      <c r="B258" s="10" t="s">
        <v>230</v>
      </c>
      <c r="C258" s="11">
        <v>45395</v>
      </c>
      <c r="D258" s="11">
        <v>45425</v>
      </c>
      <c r="E258" s="11">
        <v>45451</v>
      </c>
      <c r="F258" s="12">
        <v>23107.61</v>
      </c>
      <c r="G258" s="12">
        <v>23107.61</v>
      </c>
      <c r="H258" s="12">
        <f t="shared" ref="H258:H321" si="20">MAX(0,F258-G258)</f>
        <v>0</v>
      </c>
      <c r="I258" s="10">
        <f t="shared" ref="I258:I321" si="21">IF(E258="","",MAX(0,E258-D258))</f>
        <v>26</v>
      </c>
      <c r="J258" s="10" t="str">
        <f t="shared" ref="J258:J321" ca="1" si="22">IF(H258=0,"Paid",IF(D258&lt;TODAY(),"Overdue","Open"))</f>
        <v>Paid</v>
      </c>
      <c r="K258" s="10">
        <f t="shared" ref="K258:K321" ca="1" si="23">IF(H258=0,0,MAX(0,TODAY()-D258))</f>
        <v>0</v>
      </c>
      <c r="L258" s="10" t="str">
        <f t="shared" ref="L258:L321" si="24">IF(H258=0,"Paid",IF(K258&lt;=30,"0-30 Days",IF(K258&lt;=60,"31-60 Days",IF(K258&lt;=90,"61-90 Days",IF(K258&lt;=120,"91-120 Days","120+ Days")))))</f>
        <v>Paid</v>
      </c>
      <c r="M258" s="11">
        <v>45383</v>
      </c>
      <c r="N258" s="11">
        <v>45444</v>
      </c>
    </row>
    <row r="259" spans="1:14" x14ac:dyDescent="0.25">
      <c r="A259" s="13" t="s">
        <v>384</v>
      </c>
      <c r="B259" s="13" t="s">
        <v>180</v>
      </c>
      <c r="C259" s="14">
        <v>45409</v>
      </c>
      <c r="D259" s="14">
        <v>45439</v>
      </c>
      <c r="E259" s="14"/>
      <c r="F259" s="15">
        <v>178986.56</v>
      </c>
      <c r="G259" s="15">
        <v>0</v>
      </c>
      <c r="H259" s="15">
        <f t="shared" si="20"/>
        <v>178986.56</v>
      </c>
      <c r="I259" s="13" t="str">
        <f t="shared" si="21"/>
        <v/>
      </c>
      <c r="J259" s="13" t="str">
        <f t="shared" ca="1" si="22"/>
        <v>Overdue</v>
      </c>
      <c r="K259" s="13">
        <f t="shared" ca="1" si="23"/>
        <v>817</v>
      </c>
      <c r="L259" s="13" t="str">
        <f t="shared" ca="1" si="24"/>
        <v>120+ Days</v>
      </c>
      <c r="M259" s="14">
        <v>45383</v>
      </c>
      <c r="N259" s="14"/>
    </row>
    <row r="260" spans="1:14" x14ac:dyDescent="0.25">
      <c r="A260" s="10" t="s">
        <v>385</v>
      </c>
      <c r="B260" s="10" t="s">
        <v>230</v>
      </c>
      <c r="C260" s="11">
        <v>45390</v>
      </c>
      <c r="D260" s="11">
        <v>45420</v>
      </c>
      <c r="E260" s="11">
        <v>45433</v>
      </c>
      <c r="F260" s="12">
        <v>43654.6</v>
      </c>
      <c r="G260" s="12">
        <v>43654.6</v>
      </c>
      <c r="H260" s="12">
        <f t="shared" si="20"/>
        <v>0</v>
      </c>
      <c r="I260" s="10">
        <f t="shared" si="21"/>
        <v>13</v>
      </c>
      <c r="J260" s="10" t="str">
        <f t="shared" ca="1" si="22"/>
        <v>Paid</v>
      </c>
      <c r="K260" s="10">
        <f t="shared" ca="1" si="23"/>
        <v>0</v>
      </c>
      <c r="L260" s="10" t="str">
        <f t="shared" si="24"/>
        <v>Paid</v>
      </c>
      <c r="M260" s="11">
        <v>45383</v>
      </c>
      <c r="N260" s="11">
        <v>45413</v>
      </c>
    </row>
    <row r="261" spans="1:14" x14ac:dyDescent="0.25">
      <c r="A261" s="13" t="s">
        <v>386</v>
      </c>
      <c r="B261" s="13" t="s">
        <v>180</v>
      </c>
      <c r="C261" s="14">
        <v>45409</v>
      </c>
      <c r="D261" s="14">
        <v>45439</v>
      </c>
      <c r="E261" s="14"/>
      <c r="F261" s="15">
        <v>39499.93</v>
      </c>
      <c r="G261" s="15">
        <v>0</v>
      </c>
      <c r="H261" s="15">
        <f t="shared" si="20"/>
        <v>39499.93</v>
      </c>
      <c r="I261" s="13" t="str">
        <f t="shared" si="21"/>
        <v/>
      </c>
      <c r="J261" s="13" t="str">
        <f t="shared" ca="1" si="22"/>
        <v>Overdue</v>
      </c>
      <c r="K261" s="13">
        <f t="shared" ca="1" si="23"/>
        <v>817</v>
      </c>
      <c r="L261" s="13" t="str">
        <f t="shared" ca="1" si="24"/>
        <v>120+ Days</v>
      </c>
      <c r="M261" s="14">
        <v>45383</v>
      </c>
      <c r="N261" s="14"/>
    </row>
    <row r="262" spans="1:14" x14ac:dyDescent="0.25">
      <c r="A262" s="10" t="s">
        <v>387</v>
      </c>
      <c r="B262" s="10" t="s">
        <v>87</v>
      </c>
      <c r="C262" s="11">
        <v>45389</v>
      </c>
      <c r="D262" s="11">
        <v>45419</v>
      </c>
      <c r="E262" s="11">
        <v>45435</v>
      </c>
      <c r="F262" s="12">
        <v>17695.04</v>
      </c>
      <c r="G262" s="12">
        <v>17695.04</v>
      </c>
      <c r="H262" s="12">
        <f t="shared" si="20"/>
        <v>0</v>
      </c>
      <c r="I262" s="10">
        <f t="shared" si="21"/>
        <v>16</v>
      </c>
      <c r="J262" s="10" t="str">
        <f t="shared" ca="1" si="22"/>
        <v>Paid</v>
      </c>
      <c r="K262" s="10">
        <f t="shared" ca="1" si="23"/>
        <v>0</v>
      </c>
      <c r="L262" s="10" t="str">
        <f t="shared" si="24"/>
        <v>Paid</v>
      </c>
      <c r="M262" s="11">
        <v>45383</v>
      </c>
      <c r="N262" s="11">
        <v>45413</v>
      </c>
    </row>
    <row r="263" spans="1:14" x14ac:dyDescent="0.25">
      <c r="A263" s="13" t="s">
        <v>388</v>
      </c>
      <c r="B263" s="13" t="s">
        <v>127</v>
      </c>
      <c r="C263" s="14">
        <v>45400</v>
      </c>
      <c r="D263" s="14">
        <v>45430</v>
      </c>
      <c r="E263" s="14">
        <v>45437</v>
      </c>
      <c r="F263" s="15">
        <v>32787.9</v>
      </c>
      <c r="G263" s="15">
        <v>32787.9</v>
      </c>
      <c r="H263" s="15">
        <f t="shared" si="20"/>
        <v>0</v>
      </c>
      <c r="I263" s="13">
        <f t="shared" si="21"/>
        <v>7</v>
      </c>
      <c r="J263" s="13" t="str">
        <f t="shared" ca="1" si="22"/>
        <v>Paid</v>
      </c>
      <c r="K263" s="13">
        <f t="shared" ca="1" si="23"/>
        <v>0</v>
      </c>
      <c r="L263" s="13" t="str">
        <f t="shared" si="24"/>
        <v>Paid</v>
      </c>
      <c r="M263" s="14">
        <v>45383</v>
      </c>
      <c r="N263" s="14">
        <v>45413</v>
      </c>
    </row>
    <row r="264" spans="1:14" x14ac:dyDescent="0.25">
      <c r="A264" s="10" t="s">
        <v>389</v>
      </c>
      <c r="B264" s="10" t="s">
        <v>72</v>
      </c>
      <c r="C264" s="11">
        <v>45390</v>
      </c>
      <c r="D264" s="11">
        <v>45420</v>
      </c>
      <c r="E264" s="11"/>
      <c r="F264" s="12">
        <v>42158.86</v>
      </c>
      <c r="G264" s="12">
        <v>0</v>
      </c>
      <c r="H264" s="12">
        <f t="shared" si="20"/>
        <v>42158.86</v>
      </c>
      <c r="I264" s="10" t="str">
        <f t="shared" si="21"/>
        <v/>
      </c>
      <c r="J264" s="10" t="str">
        <f t="shared" ca="1" si="22"/>
        <v>Overdue</v>
      </c>
      <c r="K264" s="10">
        <f t="shared" ca="1" si="23"/>
        <v>836</v>
      </c>
      <c r="L264" s="10" t="str">
        <f t="shared" ca="1" si="24"/>
        <v>120+ Days</v>
      </c>
      <c r="M264" s="11">
        <v>45383</v>
      </c>
      <c r="N264" s="11"/>
    </row>
    <row r="265" spans="1:14" x14ac:dyDescent="0.25">
      <c r="A265" s="13" t="s">
        <v>390</v>
      </c>
      <c r="B265" s="13" t="s">
        <v>131</v>
      </c>
      <c r="C265" s="14">
        <v>45401</v>
      </c>
      <c r="D265" s="14">
        <v>45431</v>
      </c>
      <c r="E265" s="14">
        <v>45445</v>
      </c>
      <c r="F265" s="15">
        <v>74941.350000000006</v>
      </c>
      <c r="G265" s="15">
        <v>74941.350000000006</v>
      </c>
      <c r="H265" s="15">
        <f t="shared" si="20"/>
        <v>0</v>
      </c>
      <c r="I265" s="13">
        <f t="shared" si="21"/>
        <v>14</v>
      </c>
      <c r="J265" s="13" t="str">
        <f t="shared" ca="1" si="22"/>
        <v>Paid</v>
      </c>
      <c r="K265" s="13">
        <f t="shared" ca="1" si="23"/>
        <v>0</v>
      </c>
      <c r="L265" s="13" t="str">
        <f t="shared" si="24"/>
        <v>Paid</v>
      </c>
      <c r="M265" s="14">
        <v>45383</v>
      </c>
      <c r="N265" s="14">
        <v>45444</v>
      </c>
    </row>
    <row r="266" spans="1:14" x14ac:dyDescent="0.25">
      <c r="A266" s="10" t="s">
        <v>391</v>
      </c>
      <c r="B266" s="10" t="s">
        <v>161</v>
      </c>
      <c r="C266" s="11">
        <v>45386</v>
      </c>
      <c r="D266" s="11">
        <v>45416</v>
      </c>
      <c r="E266" s="11">
        <v>45432</v>
      </c>
      <c r="F266" s="12">
        <v>75589.899999999994</v>
      </c>
      <c r="G266" s="12">
        <v>75589.899999999994</v>
      </c>
      <c r="H266" s="12">
        <f t="shared" si="20"/>
        <v>0</v>
      </c>
      <c r="I266" s="10">
        <f t="shared" si="21"/>
        <v>16</v>
      </c>
      <c r="J266" s="10" t="str">
        <f t="shared" ca="1" si="22"/>
        <v>Paid</v>
      </c>
      <c r="K266" s="10">
        <f t="shared" ca="1" si="23"/>
        <v>0</v>
      </c>
      <c r="L266" s="10" t="str">
        <f t="shared" si="24"/>
        <v>Paid</v>
      </c>
      <c r="M266" s="11">
        <v>45383</v>
      </c>
      <c r="N266" s="11">
        <v>45413</v>
      </c>
    </row>
    <row r="267" spans="1:14" x14ac:dyDescent="0.25">
      <c r="A267" s="13" t="s">
        <v>392</v>
      </c>
      <c r="B267" s="13" t="s">
        <v>127</v>
      </c>
      <c r="C267" s="14">
        <v>45409</v>
      </c>
      <c r="D267" s="14">
        <v>45439</v>
      </c>
      <c r="E267" s="14">
        <v>45439</v>
      </c>
      <c r="F267" s="15">
        <v>53055.34</v>
      </c>
      <c r="G267" s="15">
        <v>53055.34</v>
      </c>
      <c r="H267" s="15">
        <f t="shared" si="20"/>
        <v>0</v>
      </c>
      <c r="I267" s="13">
        <f t="shared" si="21"/>
        <v>0</v>
      </c>
      <c r="J267" s="13" t="str">
        <f t="shared" ca="1" si="22"/>
        <v>Paid</v>
      </c>
      <c r="K267" s="13">
        <f t="shared" ca="1" si="23"/>
        <v>0</v>
      </c>
      <c r="L267" s="13" t="str">
        <f t="shared" si="24"/>
        <v>Paid</v>
      </c>
      <c r="M267" s="14">
        <v>45383</v>
      </c>
      <c r="N267" s="14">
        <v>45413</v>
      </c>
    </row>
    <row r="268" spans="1:14" x14ac:dyDescent="0.25">
      <c r="A268" s="10" t="s">
        <v>393</v>
      </c>
      <c r="B268" s="10" t="s">
        <v>97</v>
      </c>
      <c r="C268" s="11">
        <v>45391</v>
      </c>
      <c r="D268" s="11">
        <v>45421</v>
      </c>
      <c r="E268" s="11">
        <v>45447</v>
      </c>
      <c r="F268" s="12">
        <v>18111.5</v>
      </c>
      <c r="G268" s="12">
        <v>18111.5</v>
      </c>
      <c r="H268" s="12">
        <f t="shared" si="20"/>
        <v>0</v>
      </c>
      <c r="I268" s="10">
        <f t="shared" si="21"/>
        <v>26</v>
      </c>
      <c r="J268" s="10" t="str">
        <f t="shared" ca="1" si="22"/>
        <v>Paid</v>
      </c>
      <c r="K268" s="10">
        <f t="shared" ca="1" si="23"/>
        <v>0</v>
      </c>
      <c r="L268" s="10" t="str">
        <f t="shared" si="24"/>
        <v>Paid</v>
      </c>
      <c r="M268" s="11">
        <v>45383</v>
      </c>
      <c r="N268" s="11">
        <v>45444</v>
      </c>
    </row>
    <row r="269" spans="1:14" x14ac:dyDescent="0.25">
      <c r="A269" s="13" t="s">
        <v>394</v>
      </c>
      <c r="B269" s="13" t="s">
        <v>125</v>
      </c>
      <c r="C269" s="14">
        <v>45404</v>
      </c>
      <c r="D269" s="14">
        <v>45434</v>
      </c>
      <c r="E269" s="14">
        <v>45436</v>
      </c>
      <c r="F269" s="15">
        <v>60604.3</v>
      </c>
      <c r="G269" s="15">
        <v>60604.3</v>
      </c>
      <c r="H269" s="15">
        <f t="shared" si="20"/>
        <v>0</v>
      </c>
      <c r="I269" s="13">
        <f t="shared" si="21"/>
        <v>2</v>
      </c>
      <c r="J269" s="13" t="str">
        <f t="shared" ca="1" si="22"/>
        <v>Paid</v>
      </c>
      <c r="K269" s="13">
        <f t="shared" ca="1" si="23"/>
        <v>0</v>
      </c>
      <c r="L269" s="13" t="str">
        <f t="shared" si="24"/>
        <v>Paid</v>
      </c>
      <c r="M269" s="14">
        <v>45383</v>
      </c>
      <c r="N269" s="14">
        <v>45413</v>
      </c>
    </row>
    <row r="270" spans="1:14" x14ac:dyDescent="0.25">
      <c r="A270" s="10" t="s">
        <v>395</v>
      </c>
      <c r="B270" s="10" t="s">
        <v>244</v>
      </c>
      <c r="C270" s="11">
        <v>45387</v>
      </c>
      <c r="D270" s="11">
        <v>45417</v>
      </c>
      <c r="E270" s="11">
        <v>45483</v>
      </c>
      <c r="F270" s="12">
        <v>33448.410000000003</v>
      </c>
      <c r="G270" s="12">
        <v>33448.410000000003</v>
      </c>
      <c r="H270" s="12">
        <f t="shared" si="20"/>
        <v>0</v>
      </c>
      <c r="I270" s="10">
        <f t="shared" si="21"/>
        <v>66</v>
      </c>
      <c r="J270" s="10" t="str">
        <f t="shared" ca="1" si="22"/>
        <v>Paid</v>
      </c>
      <c r="K270" s="10">
        <f t="shared" ca="1" si="23"/>
        <v>0</v>
      </c>
      <c r="L270" s="10" t="str">
        <f t="shared" si="24"/>
        <v>Paid</v>
      </c>
      <c r="M270" s="11">
        <v>45383</v>
      </c>
      <c r="N270" s="11">
        <v>45474</v>
      </c>
    </row>
    <row r="271" spans="1:14" x14ac:dyDescent="0.25">
      <c r="A271" s="13" t="s">
        <v>396</v>
      </c>
      <c r="B271" s="13" t="s">
        <v>182</v>
      </c>
      <c r="C271" s="14">
        <v>45396</v>
      </c>
      <c r="D271" s="14">
        <v>45426</v>
      </c>
      <c r="E271" s="14">
        <v>45438</v>
      </c>
      <c r="F271" s="15">
        <v>71219.67</v>
      </c>
      <c r="G271" s="15">
        <v>71219.67</v>
      </c>
      <c r="H271" s="15">
        <f t="shared" si="20"/>
        <v>0</v>
      </c>
      <c r="I271" s="13">
        <f t="shared" si="21"/>
        <v>12</v>
      </c>
      <c r="J271" s="13" t="str">
        <f t="shared" ca="1" si="22"/>
        <v>Paid</v>
      </c>
      <c r="K271" s="13">
        <f t="shared" ca="1" si="23"/>
        <v>0</v>
      </c>
      <c r="L271" s="13" t="str">
        <f t="shared" si="24"/>
        <v>Paid</v>
      </c>
      <c r="M271" s="14">
        <v>45383</v>
      </c>
      <c r="N271" s="14">
        <v>45413</v>
      </c>
    </row>
    <row r="272" spans="1:14" x14ac:dyDescent="0.25">
      <c r="A272" s="10" t="s">
        <v>397</v>
      </c>
      <c r="B272" s="10" t="s">
        <v>127</v>
      </c>
      <c r="C272" s="11">
        <v>45390</v>
      </c>
      <c r="D272" s="11">
        <v>45420</v>
      </c>
      <c r="E272" s="11">
        <v>45420</v>
      </c>
      <c r="F272" s="12">
        <v>48906.94</v>
      </c>
      <c r="G272" s="12">
        <v>48906.94</v>
      </c>
      <c r="H272" s="12">
        <f t="shared" si="20"/>
        <v>0</v>
      </c>
      <c r="I272" s="10">
        <f t="shared" si="21"/>
        <v>0</v>
      </c>
      <c r="J272" s="10" t="str">
        <f t="shared" ca="1" si="22"/>
        <v>Paid</v>
      </c>
      <c r="K272" s="10">
        <f t="shared" ca="1" si="23"/>
        <v>0</v>
      </c>
      <c r="L272" s="10" t="str">
        <f t="shared" si="24"/>
        <v>Paid</v>
      </c>
      <c r="M272" s="11">
        <v>45383</v>
      </c>
      <c r="N272" s="11">
        <v>45413</v>
      </c>
    </row>
    <row r="273" spans="1:14" x14ac:dyDescent="0.25">
      <c r="A273" s="13" t="s">
        <v>398</v>
      </c>
      <c r="B273" s="13" t="s">
        <v>215</v>
      </c>
      <c r="C273" s="14">
        <v>45384</v>
      </c>
      <c r="D273" s="14">
        <v>45414</v>
      </c>
      <c r="E273" s="14">
        <v>45437</v>
      </c>
      <c r="F273" s="15">
        <v>33533.29</v>
      </c>
      <c r="G273" s="15">
        <v>33533.29</v>
      </c>
      <c r="H273" s="15">
        <f t="shared" si="20"/>
        <v>0</v>
      </c>
      <c r="I273" s="13">
        <f t="shared" si="21"/>
        <v>23</v>
      </c>
      <c r="J273" s="13" t="str">
        <f t="shared" ca="1" si="22"/>
        <v>Paid</v>
      </c>
      <c r="K273" s="13">
        <f t="shared" ca="1" si="23"/>
        <v>0</v>
      </c>
      <c r="L273" s="13" t="str">
        <f t="shared" si="24"/>
        <v>Paid</v>
      </c>
      <c r="M273" s="14">
        <v>45383</v>
      </c>
      <c r="N273" s="14">
        <v>45413</v>
      </c>
    </row>
    <row r="274" spans="1:14" x14ac:dyDescent="0.25">
      <c r="A274" s="10" t="s">
        <v>399</v>
      </c>
      <c r="B274" s="10" t="s">
        <v>224</v>
      </c>
      <c r="C274" s="11">
        <v>45427</v>
      </c>
      <c r="D274" s="11">
        <v>45457</v>
      </c>
      <c r="E274" s="11">
        <v>45457</v>
      </c>
      <c r="F274" s="12">
        <v>147499.97</v>
      </c>
      <c r="G274" s="12">
        <v>147499.97</v>
      </c>
      <c r="H274" s="12">
        <f t="shared" si="20"/>
        <v>0</v>
      </c>
      <c r="I274" s="10">
        <f t="shared" si="21"/>
        <v>0</v>
      </c>
      <c r="J274" s="10" t="str">
        <f t="shared" ca="1" si="22"/>
        <v>Paid</v>
      </c>
      <c r="K274" s="10">
        <f t="shared" ca="1" si="23"/>
        <v>0</v>
      </c>
      <c r="L274" s="10" t="str">
        <f t="shared" si="24"/>
        <v>Paid</v>
      </c>
      <c r="M274" s="11">
        <v>45413</v>
      </c>
      <c r="N274" s="11">
        <v>45444</v>
      </c>
    </row>
    <row r="275" spans="1:14" x14ac:dyDescent="0.25">
      <c r="A275" s="13" t="s">
        <v>400</v>
      </c>
      <c r="B275" s="13" t="s">
        <v>117</v>
      </c>
      <c r="C275" s="14">
        <v>45427</v>
      </c>
      <c r="D275" s="14">
        <v>45457</v>
      </c>
      <c r="E275" s="14">
        <v>45483</v>
      </c>
      <c r="F275" s="15">
        <v>20291.099999999999</v>
      </c>
      <c r="G275" s="15">
        <v>20291.099999999999</v>
      </c>
      <c r="H275" s="15">
        <f t="shared" si="20"/>
        <v>0</v>
      </c>
      <c r="I275" s="13">
        <f t="shared" si="21"/>
        <v>26</v>
      </c>
      <c r="J275" s="13" t="str">
        <f t="shared" ca="1" si="22"/>
        <v>Paid</v>
      </c>
      <c r="K275" s="13">
        <f t="shared" ca="1" si="23"/>
        <v>0</v>
      </c>
      <c r="L275" s="13" t="str">
        <f t="shared" si="24"/>
        <v>Paid</v>
      </c>
      <c r="M275" s="14">
        <v>45413</v>
      </c>
      <c r="N275" s="14">
        <v>45474</v>
      </c>
    </row>
    <row r="276" spans="1:14" x14ac:dyDescent="0.25">
      <c r="A276" s="10" t="s">
        <v>401</v>
      </c>
      <c r="B276" s="10" t="s">
        <v>87</v>
      </c>
      <c r="C276" s="11">
        <v>45414</v>
      </c>
      <c r="D276" s="11">
        <v>45444</v>
      </c>
      <c r="E276" s="11">
        <v>45444</v>
      </c>
      <c r="F276" s="12">
        <v>22052.5</v>
      </c>
      <c r="G276" s="12">
        <v>22052.5</v>
      </c>
      <c r="H276" s="12">
        <f t="shared" si="20"/>
        <v>0</v>
      </c>
      <c r="I276" s="10">
        <f t="shared" si="21"/>
        <v>0</v>
      </c>
      <c r="J276" s="10" t="str">
        <f t="shared" ca="1" si="22"/>
        <v>Paid</v>
      </c>
      <c r="K276" s="10">
        <f t="shared" ca="1" si="23"/>
        <v>0</v>
      </c>
      <c r="L276" s="10" t="str">
        <f t="shared" si="24"/>
        <v>Paid</v>
      </c>
      <c r="M276" s="11">
        <v>45413</v>
      </c>
      <c r="N276" s="11">
        <v>45444</v>
      </c>
    </row>
    <row r="277" spans="1:14" x14ac:dyDescent="0.25">
      <c r="A277" s="13" t="s">
        <v>402</v>
      </c>
      <c r="B277" s="13" t="s">
        <v>123</v>
      </c>
      <c r="C277" s="14">
        <v>45422</v>
      </c>
      <c r="D277" s="14">
        <v>45452</v>
      </c>
      <c r="E277" s="14">
        <v>45465</v>
      </c>
      <c r="F277" s="15">
        <v>41429.35</v>
      </c>
      <c r="G277" s="15">
        <v>41429.35</v>
      </c>
      <c r="H277" s="15">
        <f t="shared" si="20"/>
        <v>0</v>
      </c>
      <c r="I277" s="13">
        <f t="shared" si="21"/>
        <v>13</v>
      </c>
      <c r="J277" s="13" t="str">
        <f t="shared" ca="1" si="22"/>
        <v>Paid</v>
      </c>
      <c r="K277" s="13">
        <f t="shared" ca="1" si="23"/>
        <v>0</v>
      </c>
      <c r="L277" s="13" t="str">
        <f t="shared" si="24"/>
        <v>Paid</v>
      </c>
      <c r="M277" s="14">
        <v>45413</v>
      </c>
      <c r="N277" s="14">
        <v>45444</v>
      </c>
    </row>
    <row r="278" spans="1:14" x14ac:dyDescent="0.25">
      <c r="A278" s="10" t="s">
        <v>403</v>
      </c>
      <c r="B278" s="10" t="s">
        <v>97</v>
      </c>
      <c r="C278" s="11">
        <v>45428</v>
      </c>
      <c r="D278" s="11">
        <v>45458</v>
      </c>
      <c r="E278" s="11">
        <v>45458</v>
      </c>
      <c r="F278" s="12">
        <v>18466.82</v>
      </c>
      <c r="G278" s="12">
        <v>18466.82</v>
      </c>
      <c r="H278" s="12">
        <f t="shared" si="20"/>
        <v>0</v>
      </c>
      <c r="I278" s="10">
        <f t="shared" si="21"/>
        <v>0</v>
      </c>
      <c r="J278" s="10" t="str">
        <f t="shared" ca="1" si="22"/>
        <v>Paid</v>
      </c>
      <c r="K278" s="10">
        <f t="shared" ca="1" si="23"/>
        <v>0</v>
      </c>
      <c r="L278" s="10" t="str">
        <f t="shared" si="24"/>
        <v>Paid</v>
      </c>
      <c r="M278" s="11">
        <v>45413</v>
      </c>
      <c r="N278" s="11">
        <v>45444</v>
      </c>
    </row>
    <row r="279" spans="1:14" x14ac:dyDescent="0.25">
      <c r="A279" s="13" t="s">
        <v>404</v>
      </c>
      <c r="B279" s="13" t="s">
        <v>136</v>
      </c>
      <c r="C279" s="14">
        <v>45435</v>
      </c>
      <c r="D279" s="14">
        <v>45465</v>
      </c>
      <c r="E279" s="14">
        <v>45488</v>
      </c>
      <c r="F279" s="15">
        <v>37954.699999999997</v>
      </c>
      <c r="G279" s="15">
        <v>37954.699999999997</v>
      </c>
      <c r="H279" s="15">
        <f t="shared" si="20"/>
        <v>0</v>
      </c>
      <c r="I279" s="13">
        <f t="shared" si="21"/>
        <v>23</v>
      </c>
      <c r="J279" s="13" t="str">
        <f t="shared" ca="1" si="22"/>
        <v>Paid</v>
      </c>
      <c r="K279" s="13">
        <f t="shared" ca="1" si="23"/>
        <v>0</v>
      </c>
      <c r="L279" s="13" t="str">
        <f t="shared" si="24"/>
        <v>Paid</v>
      </c>
      <c r="M279" s="14">
        <v>45413</v>
      </c>
      <c r="N279" s="14">
        <v>45474</v>
      </c>
    </row>
    <row r="280" spans="1:14" x14ac:dyDescent="0.25">
      <c r="A280" s="10" t="s">
        <v>405</v>
      </c>
      <c r="B280" s="10" t="s">
        <v>265</v>
      </c>
      <c r="C280" s="11">
        <v>45414</v>
      </c>
      <c r="D280" s="11">
        <v>45444</v>
      </c>
      <c r="E280" s="11">
        <v>45448</v>
      </c>
      <c r="F280" s="12">
        <v>46674.35</v>
      </c>
      <c r="G280" s="12">
        <v>46674.35</v>
      </c>
      <c r="H280" s="12">
        <f t="shared" si="20"/>
        <v>0</v>
      </c>
      <c r="I280" s="10">
        <f t="shared" si="21"/>
        <v>4</v>
      </c>
      <c r="J280" s="10" t="str">
        <f t="shared" ca="1" si="22"/>
        <v>Paid</v>
      </c>
      <c r="K280" s="10">
        <f t="shared" ca="1" si="23"/>
        <v>0</v>
      </c>
      <c r="L280" s="10" t="str">
        <f t="shared" si="24"/>
        <v>Paid</v>
      </c>
      <c r="M280" s="11">
        <v>45413</v>
      </c>
      <c r="N280" s="11">
        <v>45444</v>
      </c>
    </row>
    <row r="281" spans="1:14" x14ac:dyDescent="0.25">
      <c r="A281" s="13" t="s">
        <v>406</v>
      </c>
      <c r="B281" s="13" t="s">
        <v>140</v>
      </c>
      <c r="C281" s="14">
        <v>45415</v>
      </c>
      <c r="D281" s="14">
        <v>45445</v>
      </c>
      <c r="E281" s="14"/>
      <c r="F281" s="15">
        <v>66445.070000000007</v>
      </c>
      <c r="G281" s="15">
        <v>0</v>
      </c>
      <c r="H281" s="15">
        <f t="shared" si="20"/>
        <v>66445.070000000007</v>
      </c>
      <c r="I281" s="13" t="str">
        <f t="shared" si="21"/>
        <v/>
      </c>
      <c r="J281" s="13" t="str">
        <f t="shared" ca="1" si="22"/>
        <v>Overdue</v>
      </c>
      <c r="K281" s="13">
        <f t="shared" ca="1" si="23"/>
        <v>811</v>
      </c>
      <c r="L281" s="13" t="str">
        <f t="shared" ca="1" si="24"/>
        <v>120+ Days</v>
      </c>
      <c r="M281" s="14">
        <v>45413</v>
      </c>
      <c r="N281" s="14"/>
    </row>
    <row r="282" spans="1:14" x14ac:dyDescent="0.25">
      <c r="A282" s="10" t="s">
        <v>407</v>
      </c>
      <c r="B282" s="10" t="s">
        <v>224</v>
      </c>
      <c r="C282" s="11">
        <v>45425</v>
      </c>
      <c r="D282" s="11">
        <v>45455</v>
      </c>
      <c r="E282" s="11">
        <v>45491</v>
      </c>
      <c r="F282" s="12">
        <v>57674.3</v>
      </c>
      <c r="G282" s="12">
        <v>57674.3</v>
      </c>
      <c r="H282" s="12">
        <f t="shared" si="20"/>
        <v>0</v>
      </c>
      <c r="I282" s="10">
        <f t="shared" si="21"/>
        <v>36</v>
      </c>
      <c r="J282" s="10" t="str">
        <f t="shared" ca="1" si="22"/>
        <v>Paid</v>
      </c>
      <c r="K282" s="10">
        <f t="shared" ca="1" si="23"/>
        <v>0</v>
      </c>
      <c r="L282" s="10" t="str">
        <f t="shared" si="24"/>
        <v>Paid</v>
      </c>
      <c r="M282" s="11">
        <v>45413</v>
      </c>
      <c r="N282" s="11">
        <v>45474</v>
      </c>
    </row>
    <row r="283" spans="1:14" x14ac:dyDescent="0.25">
      <c r="A283" s="13" t="s">
        <v>408</v>
      </c>
      <c r="B283" s="13" t="s">
        <v>182</v>
      </c>
      <c r="C283" s="14">
        <v>45425</v>
      </c>
      <c r="D283" s="14">
        <v>45455</v>
      </c>
      <c r="E283" s="14">
        <v>45455</v>
      </c>
      <c r="F283" s="15">
        <v>22934.71</v>
      </c>
      <c r="G283" s="15">
        <v>22934.71</v>
      </c>
      <c r="H283" s="15">
        <f t="shared" si="20"/>
        <v>0</v>
      </c>
      <c r="I283" s="13">
        <f t="shared" si="21"/>
        <v>0</v>
      </c>
      <c r="J283" s="13" t="str">
        <f t="shared" ca="1" si="22"/>
        <v>Paid</v>
      </c>
      <c r="K283" s="13">
        <f t="shared" ca="1" si="23"/>
        <v>0</v>
      </c>
      <c r="L283" s="13" t="str">
        <f t="shared" si="24"/>
        <v>Paid</v>
      </c>
      <c r="M283" s="14">
        <v>45413</v>
      </c>
      <c r="N283" s="14">
        <v>45444</v>
      </c>
    </row>
    <row r="284" spans="1:14" x14ac:dyDescent="0.25">
      <c r="A284" s="10" t="s">
        <v>409</v>
      </c>
      <c r="B284" s="10" t="s">
        <v>150</v>
      </c>
      <c r="C284" s="11">
        <v>45418</v>
      </c>
      <c r="D284" s="11">
        <v>45448</v>
      </c>
      <c r="E284" s="11">
        <v>45461</v>
      </c>
      <c r="F284" s="12">
        <v>18445.990000000002</v>
      </c>
      <c r="G284" s="12">
        <v>18445.990000000002</v>
      </c>
      <c r="H284" s="12">
        <f t="shared" si="20"/>
        <v>0</v>
      </c>
      <c r="I284" s="10">
        <f t="shared" si="21"/>
        <v>13</v>
      </c>
      <c r="J284" s="10" t="str">
        <f t="shared" ca="1" si="22"/>
        <v>Paid</v>
      </c>
      <c r="K284" s="10">
        <f t="shared" ca="1" si="23"/>
        <v>0</v>
      </c>
      <c r="L284" s="10" t="str">
        <f t="shared" si="24"/>
        <v>Paid</v>
      </c>
      <c r="M284" s="11">
        <v>45413</v>
      </c>
      <c r="N284" s="11">
        <v>45444</v>
      </c>
    </row>
    <row r="285" spans="1:14" x14ac:dyDescent="0.25">
      <c r="A285" s="13" t="s">
        <v>410</v>
      </c>
      <c r="B285" s="13" t="s">
        <v>188</v>
      </c>
      <c r="C285" s="14">
        <v>45415</v>
      </c>
      <c r="D285" s="14">
        <v>45445</v>
      </c>
      <c r="E285" s="14">
        <v>45445</v>
      </c>
      <c r="F285" s="15">
        <v>26693.89</v>
      </c>
      <c r="G285" s="15">
        <v>26693.89</v>
      </c>
      <c r="H285" s="15">
        <f t="shared" si="20"/>
        <v>0</v>
      </c>
      <c r="I285" s="13">
        <f t="shared" si="21"/>
        <v>0</v>
      </c>
      <c r="J285" s="13" t="str">
        <f t="shared" ca="1" si="22"/>
        <v>Paid</v>
      </c>
      <c r="K285" s="13">
        <f t="shared" ca="1" si="23"/>
        <v>0</v>
      </c>
      <c r="L285" s="13" t="str">
        <f t="shared" si="24"/>
        <v>Paid</v>
      </c>
      <c r="M285" s="14">
        <v>45413</v>
      </c>
      <c r="N285" s="14">
        <v>45444</v>
      </c>
    </row>
    <row r="286" spans="1:14" x14ac:dyDescent="0.25">
      <c r="A286" s="10" t="s">
        <v>411</v>
      </c>
      <c r="B286" s="10" t="s">
        <v>224</v>
      </c>
      <c r="C286" s="11">
        <v>45416</v>
      </c>
      <c r="D286" s="11">
        <v>45446</v>
      </c>
      <c r="E286" s="11">
        <v>45457</v>
      </c>
      <c r="F286" s="12">
        <v>23535.61</v>
      </c>
      <c r="G286" s="12">
        <v>23535.61</v>
      </c>
      <c r="H286" s="12">
        <f t="shared" si="20"/>
        <v>0</v>
      </c>
      <c r="I286" s="10">
        <f t="shared" si="21"/>
        <v>11</v>
      </c>
      <c r="J286" s="10" t="str">
        <f t="shared" ca="1" si="22"/>
        <v>Paid</v>
      </c>
      <c r="K286" s="10">
        <f t="shared" ca="1" si="23"/>
        <v>0</v>
      </c>
      <c r="L286" s="10" t="str">
        <f t="shared" si="24"/>
        <v>Paid</v>
      </c>
      <c r="M286" s="11">
        <v>45413</v>
      </c>
      <c r="N286" s="11">
        <v>45444</v>
      </c>
    </row>
    <row r="287" spans="1:14" x14ac:dyDescent="0.25">
      <c r="A287" s="13" t="s">
        <v>412</v>
      </c>
      <c r="B287" s="13" t="s">
        <v>85</v>
      </c>
      <c r="C287" s="14">
        <v>45438</v>
      </c>
      <c r="D287" s="14">
        <v>45468</v>
      </c>
      <c r="E287" s="14"/>
      <c r="F287" s="15">
        <v>29173.25</v>
      </c>
      <c r="G287" s="15">
        <v>0</v>
      </c>
      <c r="H287" s="15">
        <f t="shared" si="20"/>
        <v>29173.25</v>
      </c>
      <c r="I287" s="13" t="str">
        <f t="shared" si="21"/>
        <v/>
      </c>
      <c r="J287" s="13" t="str">
        <f t="shared" ca="1" si="22"/>
        <v>Overdue</v>
      </c>
      <c r="K287" s="13">
        <f t="shared" ca="1" si="23"/>
        <v>788</v>
      </c>
      <c r="L287" s="13" t="str">
        <f t="shared" ca="1" si="24"/>
        <v>120+ Days</v>
      </c>
      <c r="M287" s="14">
        <v>45413</v>
      </c>
      <c r="N287" s="14"/>
    </row>
    <row r="288" spans="1:14" x14ac:dyDescent="0.25">
      <c r="A288" s="10" t="s">
        <v>413</v>
      </c>
      <c r="B288" s="10" t="s">
        <v>72</v>
      </c>
      <c r="C288" s="11">
        <v>45429</v>
      </c>
      <c r="D288" s="11">
        <v>45459</v>
      </c>
      <c r="E288" s="11">
        <v>45503</v>
      </c>
      <c r="F288" s="12">
        <v>25784.93</v>
      </c>
      <c r="G288" s="12">
        <v>25784.93</v>
      </c>
      <c r="H288" s="12">
        <f t="shared" si="20"/>
        <v>0</v>
      </c>
      <c r="I288" s="10">
        <f t="shared" si="21"/>
        <v>44</v>
      </c>
      <c r="J288" s="10" t="str">
        <f t="shared" ca="1" si="22"/>
        <v>Paid</v>
      </c>
      <c r="K288" s="10">
        <f t="shared" ca="1" si="23"/>
        <v>0</v>
      </c>
      <c r="L288" s="10" t="str">
        <f t="shared" si="24"/>
        <v>Paid</v>
      </c>
      <c r="M288" s="11">
        <v>45413</v>
      </c>
      <c r="N288" s="11">
        <v>45474</v>
      </c>
    </row>
    <row r="289" spans="1:14" x14ac:dyDescent="0.25">
      <c r="A289" s="13" t="s">
        <v>414</v>
      </c>
      <c r="B289" s="13" t="s">
        <v>129</v>
      </c>
      <c r="C289" s="14">
        <v>45414</v>
      </c>
      <c r="D289" s="14">
        <v>45444</v>
      </c>
      <c r="E289" s="14">
        <v>45470</v>
      </c>
      <c r="F289" s="15">
        <v>11076.92</v>
      </c>
      <c r="G289" s="15">
        <v>11076.92</v>
      </c>
      <c r="H289" s="15">
        <f t="shared" si="20"/>
        <v>0</v>
      </c>
      <c r="I289" s="13">
        <f t="shared" si="21"/>
        <v>26</v>
      </c>
      <c r="J289" s="13" t="str">
        <f t="shared" ca="1" si="22"/>
        <v>Paid</v>
      </c>
      <c r="K289" s="13">
        <f t="shared" ca="1" si="23"/>
        <v>0</v>
      </c>
      <c r="L289" s="13" t="str">
        <f t="shared" si="24"/>
        <v>Paid</v>
      </c>
      <c r="M289" s="14">
        <v>45413</v>
      </c>
      <c r="N289" s="14">
        <v>45444</v>
      </c>
    </row>
    <row r="290" spans="1:14" x14ac:dyDescent="0.25">
      <c r="A290" s="10" t="s">
        <v>415</v>
      </c>
      <c r="B290" s="10" t="s">
        <v>278</v>
      </c>
      <c r="C290" s="11">
        <v>45416</v>
      </c>
      <c r="D290" s="11">
        <v>45446</v>
      </c>
      <c r="E290" s="11"/>
      <c r="F290" s="12">
        <v>37255.699999999997</v>
      </c>
      <c r="G290" s="12">
        <v>0</v>
      </c>
      <c r="H290" s="12">
        <f t="shared" si="20"/>
        <v>37255.699999999997</v>
      </c>
      <c r="I290" s="10" t="str">
        <f t="shared" si="21"/>
        <v/>
      </c>
      <c r="J290" s="10" t="str">
        <f t="shared" ca="1" si="22"/>
        <v>Overdue</v>
      </c>
      <c r="K290" s="10">
        <f t="shared" ca="1" si="23"/>
        <v>810</v>
      </c>
      <c r="L290" s="10" t="str">
        <f t="shared" ca="1" si="24"/>
        <v>120+ Days</v>
      </c>
      <c r="M290" s="11">
        <v>45413</v>
      </c>
      <c r="N290" s="11"/>
    </row>
    <row r="291" spans="1:14" x14ac:dyDescent="0.25">
      <c r="A291" s="13" t="s">
        <v>416</v>
      </c>
      <c r="B291" s="13" t="s">
        <v>150</v>
      </c>
      <c r="C291" s="14">
        <v>45431</v>
      </c>
      <c r="D291" s="14">
        <v>45461</v>
      </c>
      <c r="E291" s="14">
        <v>45475</v>
      </c>
      <c r="F291" s="15">
        <v>58712.47</v>
      </c>
      <c r="G291" s="15">
        <v>58712.47</v>
      </c>
      <c r="H291" s="15">
        <f t="shared" si="20"/>
        <v>0</v>
      </c>
      <c r="I291" s="13">
        <f t="shared" si="21"/>
        <v>14</v>
      </c>
      <c r="J291" s="13" t="str">
        <f t="shared" ca="1" si="22"/>
        <v>Paid</v>
      </c>
      <c r="K291" s="13">
        <f t="shared" ca="1" si="23"/>
        <v>0</v>
      </c>
      <c r="L291" s="13" t="str">
        <f t="shared" si="24"/>
        <v>Paid</v>
      </c>
      <c r="M291" s="14">
        <v>45413</v>
      </c>
      <c r="N291" s="14">
        <v>45474</v>
      </c>
    </row>
    <row r="292" spans="1:14" x14ac:dyDescent="0.25">
      <c r="A292" s="10" t="s">
        <v>417</v>
      </c>
      <c r="B292" s="10" t="s">
        <v>220</v>
      </c>
      <c r="C292" s="11">
        <v>45427</v>
      </c>
      <c r="D292" s="11">
        <v>45457</v>
      </c>
      <c r="E292" s="11"/>
      <c r="F292" s="12">
        <v>56999.22</v>
      </c>
      <c r="G292" s="12">
        <v>0</v>
      </c>
      <c r="H292" s="12">
        <f t="shared" si="20"/>
        <v>56999.22</v>
      </c>
      <c r="I292" s="10" t="str">
        <f t="shared" si="21"/>
        <v/>
      </c>
      <c r="J292" s="10" t="str">
        <f t="shared" ca="1" si="22"/>
        <v>Overdue</v>
      </c>
      <c r="K292" s="10">
        <f t="shared" ca="1" si="23"/>
        <v>799</v>
      </c>
      <c r="L292" s="10" t="str">
        <f t="shared" ca="1" si="24"/>
        <v>120+ Days</v>
      </c>
      <c r="M292" s="11">
        <v>45413</v>
      </c>
      <c r="N292" s="11"/>
    </row>
    <row r="293" spans="1:14" x14ac:dyDescent="0.25">
      <c r="A293" s="13" t="s">
        <v>418</v>
      </c>
      <c r="B293" s="13" t="s">
        <v>70</v>
      </c>
      <c r="C293" s="14">
        <v>45415</v>
      </c>
      <c r="D293" s="14">
        <v>45445</v>
      </c>
      <c r="E293" s="14">
        <v>45445</v>
      </c>
      <c r="F293" s="15">
        <v>52125.17</v>
      </c>
      <c r="G293" s="15">
        <v>52125.17</v>
      </c>
      <c r="H293" s="15">
        <f t="shared" si="20"/>
        <v>0</v>
      </c>
      <c r="I293" s="13">
        <f t="shared" si="21"/>
        <v>0</v>
      </c>
      <c r="J293" s="13" t="str">
        <f t="shared" ca="1" si="22"/>
        <v>Paid</v>
      </c>
      <c r="K293" s="13">
        <f t="shared" ca="1" si="23"/>
        <v>0</v>
      </c>
      <c r="L293" s="13" t="str">
        <f t="shared" si="24"/>
        <v>Paid</v>
      </c>
      <c r="M293" s="14">
        <v>45413</v>
      </c>
      <c r="N293" s="14">
        <v>45444</v>
      </c>
    </row>
    <row r="294" spans="1:14" x14ac:dyDescent="0.25">
      <c r="A294" s="10" t="s">
        <v>419</v>
      </c>
      <c r="B294" s="10" t="s">
        <v>169</v>
      </c>
      <c r="C294" s="11">
        <v>45428</v>
      </c>
      <c r="D294" s="11">
        <v>45458</v>
      </c>
      <c r="E294" s="11">
        <v>45458</v>
      </c>
      <c r="F294" s="12">
        <v>19905.060000000001</v>
      </c>
      <c r="G294" s="12">
        <v>19905.060000000001</v>
      </c>
      <c r="H294" s="12">
        <f t="shared" si="20"/>
        <v>0</v>
      </c>
      <c r="I294" s="10">
        <f t="shared" si="21"/>
        <v>0</v>
      </c>
      <c r="J294" s="10" t="str">
        <f t="shared" ca="1" si="22"/>
        <v>Paid</v>
      </c>
      <c r="K294" s="10">
        <f t="shared" ca="1" si="23"/>
        <v>0</v>
      </c>
      <c r="L294" s="10" t="str">
        <f t="shared" si="24"/>
        <v>Paid</v>
      </c>
      <c r="M294" s="11">
        <v>45413</v>
      </c>
      <c r="N294" s="11">
        <v>45444</v>
      </c>
    </row>
    <row r="295" spans="1:14" x14ac:dyDescent="0.25">
      <c r="A295" s="13" t="s">
        <v>420</v>
      </c>
      <c r="B295" s="13" t="s">
        <v>93</v>
      </c>
      <c r="C295" s="14">
        <v>45438</v>
      </c>
      <c r="D295" s="14">
        <v>45468</v>
      </c>
      <c r="E295" s="14">
        <v>45496</v>
      </c>
      <c r="F295" s="15">
        <v>45700.08</v>
      </c>
      <c r="G295" s="15">
        <v>45700.08</v>
      </c>
      <c r="H295" s="15">
        <f t="shared" si="20"/>
        <v>0</v>
      </c>
      <c r="I295" s="13">
        <f t="shared" si="21"/>
        <v>28</v>
      </c>
      <c r="J295" s="13" t="str">
        <f t="shared" ca="1" si="22"/>
        <v>Paid</v>
      </c>
      <c r="K295" s="13">
        <f t="shared" ca="1" si="23"/>
        <v>0</v>
      </c>
      <c r="L295" s="13" t="str">
        <f t="shared" si="24"/>
        <v>Paid</v>
      </c>
      <c r="M295" s="14">
        <v>45413</v>
      </c>
      <c r="N295" s="14">
        <v>45474</v>
      </c>
    </row>
    <row r="296" spans="1:14" x14ac:dyDescent="0.25">
      <c r="A296" s="10" t="s">
        <v>421</v>
      </c>
      <c r="B296" s="10" t="s">
        <v>79</v>
      </c>
      <c r="C296" s="11">
        <v>45423</v>
      </c>
      <c r="D296" s="11">
        <v>45453</v>
      </c>
      <c r="E296" s="11">
        <v>45504</v>
      </c>
      <c r="F296" s="12">
        <v>52250.01</v>
      </c>
      <c r="G296" s="12">
        <v>52250.01</v>
      </c>
      <c r="H296" s="12">
        <f t="shared" si="20"/>
        <v>0</v>
      </c>
      <c r="I296" s="10">
        <f t="shared" si="21"/>
        <v>51</v>
      </c>
      <c r="J296" s="10" t="str">
        <f t="shared" ca="1" si="22"/>
        <v>Paid</v>
      </c>
      <c r="K296" s="10">
        <f t="shared" ca="1" si="23"/>
        <v>0</v>
      </c>
      <c r="L296" s="10" t="str">
        <f t="shared" si="24"/>
        <v>Paid</v>
      </c>
      <c r="M296" s="11">
        <v>45413</v>
      </c>
      <c r="N296" s="11">
        <v>45474</v>
      </c>
    </row>
    <row r="297" spans="1:14" x14ac:dyDescent="0.25">
      <c r="A297" s="13" t="s">
        <v>422</v>
      </c>
      <c r="B297" s="13" t="s">
        <v>215</v>
      </c>
      <c r="C297" s="14">
        <v>45434</v>
      </c>
      <c r="D297" s="14">
        <v>45464</v>
      </c>
      <c r="E297" s="14">
        <v>45484</v>
      </c>
      <c r="F297" s="15">
        <v>22010.83</v>
      </c>
      <c r="G297" s="15">
        <v>22010.83</v>
      </c>
      <c r="H297" s="15">
        <f t="shared" si="20"/>
        <v>0</v>
      </c>
      <c r="I297" s="13">
        <f t="shared" si="21"/>
        <v>20</v>
      </c>
      <c r="J297" s="13" t="str">
        <f t="shared" ca="1" si="22"/>
        <v>Paid</v>
      </c>
      <c r="K297" s="13">
        <f t="shared" ca="1" si="23"/>
        <v>0</v>
      </c>
      <c r="L297" s="13" t="str">
        <f t="shared" si="24"/>
        <v>Paid</v>
      </c>
      <c r="M297" s="14">
        <v>45413</v>
      </c>
      <c r="N297" s="14">
        <v>45474</v>
      </c>
    </row>
    <row r="298" spans="1:14" x14ac:dyDescent="0.25">
      <c r="A298" s="10" t="s">
        <v>423</v>
      </c>
      <c r="B298" s="10" t="s">
        <v>340</v>
      </c>
      <c r="C298" s="11">
        <v>45436</v>
      </c>
      <c r="D298" s="11">
        <v>45466</v>
      </c>
      <c r="E298" s="11">
        <v>45487</v>
      </c>
      <c r="F298" s="12">
        <v>67824.59</v>
      </c>
      <c r="G298" s="12">
        <v>67824.59</v>
      </c>
      <c r="H298" s="12">
        <f t="shared" si="20"/>
        <v>0</v>
      </c>
      <c r="I298" s="10">
        <f t="shared" si="21"/>
        <v>21</v>
      </c>
      <c r="J298" s="10" t="str">
        <f t="shared" ca="1" si="22"/>
        <v>Paid</v>
      </c>
      <c r="K298" s="10">
        <f t="shared" ca="1" si="23"/>
        <v>0</v>
      </c>
      <c r="L298" s="10" t="str">
        <f t="shared" si="24"/>
        <v>Paid</v>
      </c>
      <c r="M298" s="11">
        <v>45413</v>
      </c>
      <c r="N298" s="11">
        <v>45474</v>
      </c>
    </row>
    <row r="299" spans="1:14" x14ac:dyDescent="0.25">
      <c r="A299" s="13" t="s">
        <v>424</v>
      </c>
      <c r="B299" s="13" t="s">
        <v>150</v>
      </c>
      <c r="C299" s="14">
        <v>45434</v>
      </c>
      <c r="D299" s="14">
        <v>45464</v>
      </c>
      <c r="E299" s="14">
        <v>45485</v>
      </c>
      <c r="F299" s="15">
        <v>34739.74</v>
      </c>
      <c r="G299" s="15">
        <v>34739.74</v>
      </c>
      <c r="H299" s="15">
        <f t="shared" si="20"/>
        <v>0</v>
      </c>
      <c r="I299" s="13">
        <f t="shared" si="21"/>
        <v>21</v>
      </c>
      <c r="J299" s="13" t="str">
        <f t="shared" ca="1" si="22"/>
        <v>Paid</v>
      </c>
      <c r="K299" s="13">
        <f t="shared" ca="1" si="23"/>
        <v>0</v>
      </c>
      <c r="L299" s="13" t="str">
        <f t="shared" si="24"/>
        <v>Paid</v>
      </c>
      <c r="M299" s="14">
        <v>45413</v>
      </c>
      <c r="N299" s="14">
        <v>45474</v>
      </c>
    </row>
    <row r="300" spans="1:14" x14ac:dyDescent="0.25">
      <c r="A300" s="10" t="s">
        <v>425</v>
      </c>
      <c r="B300" s="10" t="s">
        <v>79</v>
      </c>
      <c r="C300" s="11">
        <v>45438</v>
      </c>
      <c r="D300" s="11">
        <v>45468</v>
      </c>
      <c r="E300" s="11">
        <v>45500</v>
      </c>
      <c r="F300" s="12">
        <v>87924.69</v>
      </c>
      <c r="G300" s="12">
        <v>87924.69</v>
      </c>
      <c r="H300" s="12">
        <f t="shared" si="20"/>
        <v>0</v>
      </c>
      <c r="I300" s="10">
        <f t="shared" si="21"/>
        <v>32</v>
      </c>
      <c r="J300" s="10" t="str">
        <f t="shared" ca="1" si="22"/>
        <v>Paid</v>
      </c>
      <c r="K300" s="10">
        <f t="shared" ca="1" si="23"/>
        <v>0</v>
      </c>
      <c r="L300" s="10" t="str">
        <f t="shared" si="24"/>
        <v>Paid</v>
      </c>
      <c r="M300" s="11">
        <v>45413</v>
      </c>
      <c r="N300" s="11">
        <v>45474</v>
      </c>
    </row>
    <row r="301" spans="1:14" x14ac:dyDescent="0.25">
      <c r="A301" s="13" t="s">
        <v>426</v>
      </c>
      <c r="B301" s="13" t="s">
        <v>274</v>
      </c>
      <c r="C301" s="14">
        <v>45422</v>
      </c>
      <c r="D301" s="14">
        <v>45452</v>
      </c>
      <c r="E301" s="14">
        <v>45479</v>
      </c>
      <c r="F301" s="15">
        <v>27020.02</v>
      </c>
      <c r="G301" s="15">
        <v>27020.02</v>
      </c>
      <c r="H301" s="15">
        <f t="shared" si="20"/>
        <v>0</v>
      </c>
      <c r="I301" s="13">
        <f t="shared" si="21"/>
        <v>27</v>
      </c>
      <c r="J301" s="13" t="str">
        <f t="shared" ca="1" si="22"/>
        <v>Paid</v>
      </c>
      <c r="K301" s="13">
        <f t="shared" ca="1" si="23"/>
        <v>0</v>
      </c>
      <c r="L301" s="13" t="str">
        <f t="shared" si="24"/>
        <v>Paid</v>
      </c>
      <c r="M301" s="14">
        <v>45413</v>
      </c>
      <c r="N301" s="14">
        <v>45474</v>
      </c>
    </row>
    <row r="302" spans="1:14" x14ac:dyDescent="0.25">
      <c r="A302" s="10" t="s">
        <v>427</v>
      </c>
      <c r="B302" s="10" t="s">
        <v>188</v>
      </c>
      <c r="C302" s="11">
        <v>45427</v>
      </c>
      <c r="D302" s="11">
        <v>45457</v>
      </c>
      <c r="E302" s="11">
        <v>45478</v>
      </c>
      <c r="F302" s="12">
        <v>99389.96</v>
      </c>
      <c r="G302" s="12">
        <v>99389.96</v>
      </c>
      <c r="H302" s="12">
        <f t="shared" si="20"/>
        <v>0</v>
      </c>
      <c r="I302" s="10">
        <f t="shared" si="21"/>
        <v>21</v>
      </c>
      <c r="J302" s="10" t="str">
        <f t="shared" ca="1" si="22"/>
        <v>Paid</v>
      </c>
      <c r="K302" s="10">
        <f t="shared" ca="1" si="23"/>
        <v>0</v>
      </c>
      <c r="L302" s="10" t="str">
        <f t="shared" si="24"/>
        <v>Paid</v>
      </c>
      <c r="M302" s="11">
        <v>45413</v>
      </c>
      <c r="N302" s="11">
        <v>45474</v>
      </c>
    </row>
    <row r="303" spans="1:14" x14ac:dyDescent="0.25">
      <c r="A303" s="13" t="s">
        <v>428</v>
      </c>
      <c r="B303" s="13" t="s">
        <v>233</v>
      </c>
      <c r="C303" s="14">
        <v>45439</v>
      </c>
      <c r="D303" s="14">
        <v>45469</v>
      </c>
      <c r="E303" s="14">
        <v>45496</v>
      </c>
      <c r="F303" s="15">
        <v>59140.89</v>
      </c>
      <c r="G303" s="15">
        <v>59140.89</v>
      </c>
      <c r="H303" s="15">
        <f t="shared" si="20"/>
        <v>0</v>
      </c>
      <c r="I303" s="13">
        <f t="shared" si="21"/>
        <v>27</v>
      </c>
      <c r="J303" s="13" t="str">
        <f t="shared" ca="1" si="22"/>
        <v>Paid</v>
      </c>
      <c r="K303" s="13">
        <f t="shared" ca="1" si="23"/>
        <v>0</v>
      </c>
      <c r="L303" s="13" t="str">
        <f t="shared" si="24"/>
        <v>Paid</v>
      </c>
      <c r="M303" s="14">
        <v>45413</v>
      </c>
      <c r="N303" s="14">
        <v>45474</v>
      </c>
    </row>
    <row r="304" spans="1:14" x14ac:dyDescent="0.25">
      <c r="A304" s="10" t="s">
        <v>429</v>
      </c>
      <c r="B304" s="10" t="s">
        <v>244</v>
      </c>
      <c r="C304" s="11">
        <v>45423</v>
      </c>
      <c r="D304" s="11">
        <v>45453</v>
      </c>
      <c r="E304" s="11"/>
      <c r="F304" s="12">
        <v>35827.660000000003</v>
      </c>
      <c r="G304" s="12">
        <v>0</v>
      </c>
      <c r="H304" s="12">
        <f t="shared" si="20"/>
        <v>35827.660000000003</v>
      </c>
      <c r="I304" s="10" t="str">
        <f t="shared" si="21"/>
        <v/>
      </c>
      <c r="J304" s="10" t="str">
        <f t="shared" ca="1" si="22"/>
        <v>Overdue</v>
      </c>
      <c r="K304" s="10">
        <f t="shared" ca="1" si="23"/>
        <v>803</v>
      </c>
      <c r="L304" s="10" t="str">
        <f t="shared" ca="1" si="24"/>
        <v>120+ Days</v>
      </c>
      <c r="M304" s="11">
        <v>45413</v>
      </c>
      <c r="N304" s="11"/>
    </row>
    <row r="305" spans="1:14" x14ac:dyDescent="0.25">
      <c r="A305" s="13" t="s">
        <v>430</v>
      </c>
      <c r="B305" s="13" t="s">
        <v>81</v>
      </c>
      <c r="C305" s="14">
        <v>45439</v>
      </c>
      <c r="D305" s="14">
        <v>45469</v>
      </c>
      <c r="E305" s="14">
        <v>45546</v>
      </c>
      <c r="F305" s="15">
        <v>54591.69</v>
      </c>
      <c r="G305" s="15">
        <v>31353.94</v>
      </c>
      <c r="H305" s="15">
        <f t="shared" si="20"/>
        <v>23237.750000000004</v>
      </c>
      <c r="I305" s="13">
        <f t="shared" si="21"/>
        <v>77</v>
      </c>
      <c r="J305" s="13" t="str">
        <f t="shared" ca="1" si="22"/>
        <v>Overdue</v>
      </c>
      <c r="K305" s="13">
        <f t="shared" ca="1" si="23"/>
        <v>787</v>
      </c>
      <c r="L305" s="13" t="str">
        <f t="shared" ca="1" si="24"/>
        <v>120+ Days</v>
      </c>
      <c r="M305" s="14">
        <v>45413</v>
      </c>
      <c r="N305" s="14">
        <v>45536</v>
      </c>
    </row>
    <row r="306" spans="1:14" x14ac:dyDescent="0.25">
      <c r="A306" s="10" t="s">
        <v>431</v>
      </c>
      <c r="B306" s="10" t="s">
        <v>314</v>
      </c>
      <c r="C306" s="11">
        <v>45438</v>
      </c>
      <c r="D306" s="11">
        <v>45468</v>
      </c>
      <c r="E306" s="11">
        <v>45501</v>
      </c>
      <c r="F306" s="12">
        <v>84722.77</v>
      </c>
      <c r="G306" s="12">
        <v>84722.77</v>
      </c>
      <c r="H306" s="12">
        <f t="shared" si="20"/>
        <v>0</v>
      </c>
      <c r="I306" s="10">
        <f t="shared" si="21"/>
        <v>33</v>
      </c>
      <c r="J306" s="10" t="str">
        <f t="shared" ca="1" si="22"/>
        <v>Paid</v>
      </c>
      <c r="K306" s="10">
        <f t="shared" ca="1" si="23"/>
        <v>0</v>
      </c>
      <c r="L306" s="10" t="str">
        <f t="shared" si="24"/>
        <v>Paid</v>
      </c>
      <c r="M306" s="11">
        <v>45413</v>
      </c>
      <c r="N306" s="11">
        <v>45474</v>
      </c>
    </row>
    <row r="307" spans="1:14" x14ac:dyDescent="0.25">
      <c r="A307" s="13" t="s">
        <v>432</v>
      </c>
      <c r="B307" s="13" t="s">
        <v>76</v>
      </c>
      <c r="C307" s="14">
        <v>45437</v>
      </c>
      <c r="D307" s="14">
        <v>45467</v>
      </c>
      <c r="E307" s="14">
        <v>45498</v>
      </c>
      <c r="F307" s="15">
        <v>38671.01</v>
      </c>
      <c r="G307" s="15">
        <v>38671.01</v>
      </c>
      <c r="H307" s="15">
        <f t="shared" si="20"/>
        <v>0</v>
      </c>
      <c r="I307" s="13">
        <f t="shared" si="21"/>
        <v>31</v>
      </c>
      <c r="J307" s="13" t="str">
        <f t="shared" ca="1" si="22"/>
        <v>Paid</v>
      </c>
      <c r="K307" s="13">
        <f t="shared" ca="1" si="23"/>
        <v>0</v>
      </c>
      <c r="L307" s="13" t="str">
        <f t="shared" si="24"/>
        <v>Paid</v>
      </c>
      <c r="M307" s="14">
        <v>45413</v>
      </c>
      <c r="N307" s="14">
        <v>45474</v>
      </c>
    </row>
    <row r="308" spans="1:14" x14ac:dyDescent="0.25">
      <c r="A308" s="10" t="s">
        <v>433</v>
      </c>
      <c r="B308" s="10" t="s">
        <v>215</v>
      </c>
      <c r="C308" s="11">
        <v>45428</v>
      </c>
      <c r="D308" s="11">
        <v>45458</v>
      </c>
      <c r="E308" s="11">
        <v>45503</v>
      </c>
      <c r="F308" s="12">
        <v>46631.61</v>
      </c>
      <c r="G308" s="12">
        <v>46631.61</v>
      </c>
      <c r="H308" s="12">
        <f t="shared" si="20"/>
        <v>0</v>
      </c>
      <c r="I308" s="10">
        <f t="shared" si="21"/>
        <v>45</v>
      </c>
      <c r="J308" s="10" t="str">
        <f t="shared" ca="1" si="22"/>
        <v>Paid</v>
      </c>
      <c r="K308" s="10">
        <f t="shared" ca="1" si="23"/>
        <v>0</v>
      </c>
      <c r="L308" s="10" t="str">
        <f t="shared" si="24"/>
        <v>Paid</v>
      </c>
      <c r="M308" s="11">
        <v>45413</v>
      </c>
      <c r="N308" s="11">
        <v>45474</v>
      </c>
    </row>
    <row r="309" spans="1:14" x14ac:dyDescent="0.25">
      <c r="A309" s="13" t="s">
        <v>434</v>
      </c>
      <c r="B309" s="13" t="s">
        <v>74</v>
      </c>
      <c r="C309" s="14">
        <v>45417</v>
      </c>
      <c r="D309" s="14">
        <v>45447</v>
      </c>
      <c r="E309" s="14">
        <v>45454</v>
      </c>
      <c r="F309" s="15">
        <v>12609.98</v>
      </c>
      <c r="G309" s="15">
        <v>12609.98</v>
      </c>
      <c r="H309" s="15">
        <f t="shared" si="20"/>
        <v>0</v>
      </c>
      <c r="I309" s="13">
        <f t="shared" si="21"/>
        <v>7</v>
      </c>
      <c r="J309" s="13" t="str">
        <f t="shared" ca="1" si="22"/>
        <v>Paid</v>
      </c>
      <c r="K309" s="13">
        <f t="shared" ca="1" si="23"/>
        <v>0</v>
      </c>
      <c r="L309" s="13" t="str">
        <f t="shared" si="24"/>
        <v>Paid</v>
      </c>
      <c r="M309" s="14">
        <v>45413</v>
      </c>
      <c r="N309" s="14">
        <v>45444</v>
      </c>
    </row>
    <row r="310" spans="1:14" x14ac:dyDescent="0.25">
      <c r="A310" s="10" t="s">
        <v>435</v>
      </c>
      <c r="B310" s="10" t="s">
        <v>79</v>
      </c>
      <c r="C310" s="11">
        <v>45436</v>
      </c>
      <c r="D310" s="11">
        <v>45466</v>
      </c>
      <c r="E310" s="11">
        <v>45493</v>
      </c>
      <c r="F310" s="12">
        <v>43815.61</v>
      </c>
      <c r="G310" s="12">
        <v>43815.61</v>
      </c>
      <c r="H310" s="12">
        <f t="shared" si="20"/>
        <v>0</v>
      </c>
      <c r="I310" s="10">
        <f t="shared" si="21"/>
        <v>27</v>
      </c>
      <c r="J310" s="10" t="str">
        <f t="shared" ca="1" si="22"/>
        <v>Paid</v>
      </c>
      <c r="K310" s="10">
        <f t="shared" ca="1" si="23"/>
        <v>0</v>
      </c>
      <c r="L310" s="10" t="str">
        <f t="shared" si="24"/>
        <v>Paid</v>
      </c>
      <c r="M310" s="11">
        <v>45413</v>
      </c>
      <c r="N310" s="11">
        <v>45474</v>
      </c>
    </row>
    <row r="311" spans="1:14" x14ac:dyDescent="0.25">
      <c r="A311" s="13" t="s">
        <v>436</v>
      </c>
      <c r="B311" s="13" t="s">
        <v>127</v>
      </c>
      <c r="C311" s="14">
        <v>45439</v>
      </c>
      <c r="D311" s="14">
        <v>45469</v>
      </c>
      <c r="E311" s="14">
        <v>45469</v>
      </c>
      <c r="F311" s="15">
        <v>60072.639999999999</v>
      </c>
      <c r="G311" s="15">
        <v>60072.639999999999</v>
      </c>
      <c r="H311" s="15">
        <f t="shared" si="20"/>
        <v>0</v>
      </c>
      <c r="I311" s="13">
        <f t="shared" si="21"/>
        <v>0</v>
      </c>
      <c r="J311" s="13" t="str">
        <f t="shared" ca="1" si="22"/>
        <v>Paid</v>
      </c>
      <c r="K311" s="13">
        <f t="shared" ca="1" si="23"/>
        <v>0</v>
      </c>
      <c r="L311" s="13" t="str">
        <f t="shared" si="24"/>
        <v>Paid</v>
      </c>
      <c r="M311" s="14">
        <v>45413</v>
      </c>
      <c r="N311" s="14">
        <v>45444</v>
      </c>
    </row>
    <row r="312" spans="1:14" x14ac:dyDescent="0.25">
      <c r="A312" s="10" t="s">
        <v>437</v>
      </c>
      <c r="B312" s="10" t="s">
        <v>180</v>
      </c>
      <c r="C312" s="11">
        <v>45423</v>
      </c>
      <c r="D312" s="11">
        <v>45453</v>
      </c>
      <c r="E312" s="11">
        <v>45484</v>
      </c>
      <c r="F312" s="12">
        <v>30729.7</v>
      </c>
      <c r="G312" s="12">
        <v>30729.7</v>
      </c>
      <c r="H312" s="12">
        <f t="shared" si="20"/>
        <v>0</v>
      </c>
      <c r="I312" s="10">
        <f t="shared" si="21"/>
        <v>31</v>
      </c>
      <c r="J312" s="10" t="str">
        <f t="shared" ca="1" si="22"/>
        <v>Paid</v>
      </c>
      <c r="K312" s="10">
        <f t="shared" ca="1" si="23"/>
        <v>0</v>
      </c>
      <c r="L312" s="10" t="str">
        <f t="shared" si="24"/>
        <v>Paid</v>
      </c>
      <c r="M312" s="11">
        <v>45413</v>
      </c>
      <c r="N312" s="11">
        <v>45474</v>
      </c>
    </row>
    <row r="313" spans="1:14" x14ac:dyDescent="0.25">
      <c r="A313" s="13" t="s">
        <v>438</v>
      </c>
      <c r="B313" s="13" t="s">
        <v>79</v>
      </c>
      <c r="C313" s="14">
        <v>45419</v>
      </c>
      <c r="D313" s="14">
        <v>45449</v>
      </c>
      <c r="E313" s="14"/>
      <c r="F313" s="15">
        <v>16049.12</v>
      </c>
      <c r="G313" s="15">
        <v>0</v>
      </c>
      <c r="H313" s="15">
        <f t="shared" si="20"/>
        <v>16049.12</v>
      </c>
      <c r="I313" s="13" t="str">
        <f t="shared" si="21"/>
        <v/>
      </c>
      <c r="J313" s="13" t="str">
        <f t="shared" ca="1" si="22"/>
        <v>Overdue</v>
      </c>
      <c r="K313" s="13">
        <f t="shared" ca="1" si="23"/>
        <v>807</v>
      </c>
      <c r="L313" s="13" t="str">
        <f t="shared" ca="1" si="24"/>
        <v>120+ Days</v>
      </c>
      <c r="M313" s="14">
        <v>45413</v>
      </c>
      <c r="N313" s="14"/>
    </row>
    <row r="314" spans="1:14" x14ac:dyDescent="0.25">
      <c r="A314" s="10" t="s">
        <v>439</v>
      </c>
      <c r="B314" s="10" t="s">
        <v>72</v>
      </c>
      <c r="C314" s="11">
        <v>45439</v>
      </c>
      <c r="D314" s="11">
        <v>45469</v>
      </c>
      <c r="E314" s="11"/>
      <c r="F314" s="12">
        <v>20199.12</v>
      </c>
      <c r="G314" s="12">
        <v>0</v>
      </c>
      <c r="H314" s="12">
        <f t="shared" si="20"/>
        <v>20199.12</v>
      </c>
      <c r="I314" s="10" t="str">
        <f t="shared" si="21"/>
        <v/>
      </c>
      <c r="J314" s="10" t="str">
        <f t="shared" ca="1" si="22"/>
        <v>Overdue</v>
      </c>
      <c r="K314" s="10">
        <f t="shared" ca="1" si="23"/>
        <v>787</v>
      </c>
      <c r="L314" s="10" t="str">
        <f t="shared" ca="1" si="24"/>
        <v>120+ Days</v>
      </c>
      <c r="M314" s="11">
        <v>45413</v>
      </c>
      <c r="N314" s="11"/>
    </row>
    <row r="315" spans="1:14" x14ac:dyDescent="0.25">
      <c r="A315" s="13" t="s">
        <v>440</v>
      </c>
      <c r="B315" s="13" t="s">
        <v>117</v>
      </c>
      <c r="C315" s="14">
        <v>45438</v>
      </c>
      <c r="D315" s="14">
        <v>45468</v>
      </c>
      <c r="E315" s="14"/>
      <c r="F315" s="15">
        <v>12131.72</v>
      </c>
      <c r="G315" s="15">
        <v>0</v>
      </c>
      <c r="H315" s="15">
        <f t="shared" si="20"/>
        <v>12131.72</v>
      </c>
      <c r="I315" s="13" t="str">
        <f t="shared" si="21"/>
        <v/>
      </c>
      <c r="J315" s="13" t="str">
        <f t="shared" ca="1" si="22"/>
        <v>Overdue</v>
      </c>
      <c r="K315" s="13">
        <f t="shared" ca="1" si="23"/>
        <v>788</v>
      </c>
      <c r="L315" s="13" t="str">
        <f t="shared" ca="1" si="24"/>
        <v>120+ Days</v>
      </c>
      <c r="M315" s="14">
        <v>45413</v>
      </c>
      <c r="N315" s="14"/>
    </row>
    <row r="316" spans="1:14" x14ac:dyDescent="0.25">
      <c r="A316" s="10" t="s">
        <v>441</v>
      </c>
      <c r="B316" s="10" t="s">
        <v>87</v>
      </c>
      <c r="C316" s="11">
        <v>45436</v>
      </c>
      <c r="D316" s="11">
        <v>45466</v>
      </c>
      <c r="E316" s="11">
        <v>45466</v>
      </c>
      <c r="F316" s="12">
        <v>57792.85</v>
      </c>
      <c r="G316" s="12">
        <v>57792.85</v>
      </c>
      <c r="H316" s="12">
        <f t="shared" si="20"/>
        <v>0</v>
      </c>
      <c r="I316" s="10">
        <f t="shared" si="21"/>
        <v>0</v>
      </c>
      <c r="J316" s="10" t="str">
        <f t="shared" ca="1" si="22"/>
        <v>Paid</v>
      </c>
      <c r="K316" s="10">
        <f t="shared" ca="1" si="23"/>
        <v>0</v>
      </c>
      <c r="L316" s="10" t="str">
        <f t="shared" si="24"/>
        <v>Paid</v>
      </c>
      <c r="M316" s="11">
        <v>45413</v>
      </c>
      <c r="N316" s="11">
        <v>45444</v>
      </c>
    </row>
    <row r="317" spans="1:14" x14ac:dyDescent="0.25">
      <c r="A317" s="13" t="s">
        <v>442</v>
      </c>
      <c r="B317" s="13" t="s">
        <v>125</v>
      </c>
      <c r="C317" s="14">
        <v>45432</v>
      </c>
      <c r="D317" s="14">
        <v>45462</v>
      </c>
      <c r="E317" s="14">
        <v>45463</v>
      </c>
      <c r="F317" s="15">
        <v>75214.259999999995</v>
      </c>
      <c r="G317" s="15">
        <v>75214.259999999995</v>
      </c>
      <c r="H317" s="15">
        <f t="shared" si="20"/>
        <v>0</v>
      </c>
      <c r="I317" s="13">
        <f t="shared" si="21"/>
        <v>1</v>
      </c>
      <c r="J317" s="13" t="str">
        <f t="shared" ca="1" si="22"/>
        <v>Paid</v>
      </c>
      <c r="K317" s="13">
        <f t="shared" ca="1" si="23"/>
        <v>0</v>
      </c>
      <c r="L317" s="13" t="str">
        <f t="shared" si="24"/>
        <v>Paid</v>
      </c>
      <c r="M317" s="14">
        <v>45413</v>
      </c>
      <c r="N317" s="14">
        <v>45444</v>
      </c>
    </row>
    <row r="318" spans="1:14" x14ac:dyDescent="0.25">
      <c r="A318" s="10" t="s">
        <v>443</v>
      </c>
      <c r="B318" s="10" t="s">
        <v>87</v>
      </c>
      <c r="C318" s="11">
        <v>45429</v>
      </c>
      <c r="D318" s="11">
        <v>45459</v>
      </c>
      <c r="E318" s="11">
        <v>45459</v>
      </c>
      <c r="F318" s="12">
        <v>19950.3</v>
      </c>
      <c r="G318" s="12">
        <v>19950.3</v>
      </c>
      <c r="H318" s="12">
        <f t="shared" si="20"/>
        <v>0</v>
      </c>
      <c r="I318" s="10">
        <f t="shared" si="21"/>
        <v>0</v>
      </c>
      <c r="J318" s="10" t="str">
        <f t="shared" ca="1" si="22"/>
        <v>Paid</v>
      </c>
      <c r="K318" s="10">
        <f t="shared" ca="1" si="23"/>
        <v>0</v>
      </c>
      <c r="L318" s="10" t="str">
        <f t="shared" si="24"/>
        <v>Paid</v>
      </c>
      <c r="M318" s="11">
        <v>45413</v>
      </c>
      <c r="N318" s="11">
        <v>45444</v>
      </c>
    </row>
    <row r="319" spans="1:14" x14ac:dyDescent="0.25">
      <c r="A319" s="13" t="s">
        <v>444</v>
      </c>
      <c r="B319" s="13" t="s">
        <v>85</v>
      </c>
      <c r="C319" s="14">
        <v>45414</v>
      </c>
      <c r="D319" s="14">
        <v>45444</v>
      </c>
      <c r="E319" s="14"/>
      <c r="F319" s="15">
        <v>52104.32</v>
      </c>
      <c r="G319" s="15">
        <v>0</v>
      </c>
      <c r="H319" s="15">
        <f t="shared" si="20"/>
        <v>52104.32</v>
      </c>
      <c r="I319" s="13" t="str">
        <f t="shared" si="21"/>
        <v/>
      </c>
      <c r="J319" s="13" t="str">
        <f t="shared" ca="1" si="22"/>
        <v>Overdue</v>
      </c>
      <c r="K319" s="13">
        <f t="shared" ca="1" si="23"/>
        <v>812</v>
      </c>
      <c r="L319" s="13" t="str">
        <f t="shared" ca="1" si="24"/>
        <v>120+ Days</v>
      </c>
      <c r="M319" s="14">
        <v>45413</v>
      </c>
      <c r="N319" s="14"/>
    </row>
    <row r="320" spans="1:14" x14ac:dyDescent="0.25">
      <c r="A320" s="10" t="s">
        <v>445</v>
      </c>
      <c r="B320" s="10" t="s">
        <v>224</v>
      </c>
      <c r="C320" s="11">
        <v>45420</v>
      </c>
      <c r="D320" s="11">
        <v>45450</v>
      </c>
      <c r="E320" s="11">
        <v>45450</v>
      </c>
      <c r="F320" s="12">
        <v>34145.360000000001</v>
      </c>
      <c r="G320" s="12">
        <v>34145.360000000001</v>
      </c>
      <c r="H320" s="12">
        <f t="shared" si="20"/>
        <v>0</v>
      </c>
      <c r="I320" s="10">
        <f t="shared" si="21"/>
        <v>0</v>
      </c>
      <c r="J320" s="10" t="str">
        <f t="shared" ca="1" si="22"/>
        <v>Paid</v>
      </c>
      <c r="K320" s="10">
        <f t="shared" ca="1" si="23"/>
        <v>0</v>
      </c>
      <c r="L320" s="10" t="str">
        <f t="shared" si="24"/>
        <v>Paid</v>
      </c>
      <c r="M320" s="11">
        <v>45413</v>
      </c>
      <c r="N320" s="11">
        <v>45444</v>
      </c>
    </row>
    <row r="321" spans="1:14" x14ac:dyDescent="0.25">
      <c r="A321" s="13" t="s">
        <v>446</v>
      </c>
      <c r="B321" s="13" t="s">
        <v>136</v>
      </c>
      <c r="C321" s="14">
        <v>45424</v>
      </c>
      <c r="D321" s="14">
        <v>45454</v>
      </c>
      <c r="E321" s="14">
        <v>45481</v>
      </c>
      <c r="F321" s="15">
        <v>25127.55</v>
      </c>
      <c r="G321" s="15">
        <v>25127.55</v>
      </c>
      <c r="H321" s="15">
        <f t="shared" si="20"/>
        <v>0</v>
      </c>
      <c r="I321" s="13">
        <f t="shared" si="21"/>
        <v>27</v>
      </c>
      <c r="J321" s="13" t="str">
        <f t="shared" ca="1" si="22"/>
        <v>Paid</v>
      </c>
      <c r="K321" s="13">
        <f t="shared" ca="1" si="23"/>
        <v>0</v>
      </c>
      <c r="L321" s="13" t="str">
        <f t="shared" si="24"/>
        <v>Paid</v>
      </c>
      <c r="M321" s="14">
        <v>45413</v>
      </c>
      <c r="N321" s="14">
        <v>45474</v>
      </c>
    </row>
    <row r="322" spans="1:14" x14ac:dyDescent="0.25">
      <c r="A322" s="10" t="s">
        <v>447</v>
      </c>
      <c r="B322" s="10" t="s">
        <v>278</v>
      </c>
      <c r="C322" s="11">
        <v>45431</v>
      </c>
      <c r="D322" s="11">
        <v>45461</v>
      </c>
      <c r="E322" s="11">
        <v>45540</v>
      </c>
      <c r="F322" s="12">
        <v>16161.93</v>
      </c>
      <c r="G322" s="12">
        <v>16161.93</v>
      </c>
      <c r="H322" s="12">
        <f t="shared" ref="H322:H385" si="25">MAX(0,F322-G322)</f>
        <v>0</v>
      </c>
      <c r="I322" s="10">
        <f t="shared" ref="I322:I385" si="26">IF(E322="","",MAX(0,E322-D322))</f>
        <v>79</v>
      </c>
      <c r="J322" s="10" t="str">
        <f t="shared" ref="J322:J385" ca="1" si="27">IF(H322=0,"Paid",IF(D322&lt;TODAY(),"Overdue","Open"))</f>
        <v>Paid</v>
      </c>
      <c r="K322" s="10">
        <f t="shared" ref="K322:K385" ca="1" si="28">IF(H322=0,0,MAX(0,TODAY()-D322))</f>
        <v>0</v>
      </c>
      <c r="L322" s="10" t="str">
        <f t="shared" ref="L322:L385" si="29">IF(H322=0,"Paid",IF(K322&lt;=30,"0-30 Days",IF(K322&lt;=60,"31-60 Days",IF(K322&lt;=90,"61-90 Days",IF(K322&lt;=120,"91-120 Days","120+ Days")))))</f>
        <v>Paid</v>
      </c>
      <c r="M322" s="11">
        <v>45413</v>
      </c>
      <c r="N322" s="11">
        <v>45536</v>
      </c>
    </row>
    <row r="323" spans="1:14" x14ac:dyDescent="0.25">
      <c r="A323" s="13" t="s">
        <v>448</v>
      </c>
      <c r="B323" s="13" t="s">
        <v>449</v>
      </c>
      <c r="C323" s="14">
        <v>45438</v>
      </c>
      <c r="D323" s="14">
        <v>45468</v>
      </c>
      <c r="E323" s="14">
        <v>45507</v>
      </c>
      <c r="F323" s="15">
        <v>15932.34</v>
      </c>
      <c r="G323" s="15">
        <v>5656.83</v>
      </c>
      <c r="H323" s="15">
        <f t="shared" si="25"/>
        <v>10275.51</v>
      </c>
      <c r="I323" s="13">
        <f t="shared" si="26"/>
        <v>39</v>
      </c>
      <c r="J323" s="13" t="str">
        <f t="shared" ca="1" si="27"/>
        <v>Overdue</v>
      </c>
      <c r="K323" s="13">
        <f t="shared" ca="1" si="28"/>
        <v>788</v>
      </c>
      <c r="L323" s="13" t="str">
        <f t="shared" ca="1" si="29"/>
        <v>120+ Days</v>
      </c>
      <c r="M323" s="14">
        <v>45413</v>
      </c>
      <c r="N323" s="14">
        <v>45505</v>
      </c>
    </row>
    <row r="324" spans="1:14" x14ac:dyDescent="0.25">
      <c r="A324" s="10" t="s">
        <v>450</v>
      </c>
      <c r="B324" s="10" t="s">
        <v>111</v>
      </c>
      <c r="C324" s="11">
        <v>45427</v>
      </c>
      <c r="D324" s="11">
        <v>45457</v>
      </c>
      <c r="E324" s="11">
        <v>45472</v>
      </c>
      <c r="F324" s="12">
        <v>13590.23</v>
      </c>
      <c r="G324" s="12">
        <v>11548.23</v>
      </c>
      <c r="H324" s="12">
        <f t="shared" si="25"/>
        <v>2042</v>
      </c>
      <c r="I324" s="10">
        <f t="shared" si="26"/>
        <v>15</v>
      </c>
      <c r="J324" s="10" t="str">
        <f t="shared" ca="1" si="27"/>
        <v>Overdue</v>
      </c>
      <c r="K324" s="10">
        <f t="shared" ca="1" si="28"/>
        <v>799</v>
      </c>
      <c r="L324" s="10" t="str">
        <f t="shared" ca="1" si="29"/>
        <v>120+ Days</v>
      </c>
      <c r="M324" s="11">
        <v>45413</v>
      </c>
      <c r="N324" s="11">
        <v>45444</v>
      </c>
    </row>
    <row r="325" spans="1:14" x14ac:dyDescent="0.25">
      <c r="A325" s="13" t="s">
        <v>451</v>
      </c>
      <c r="B325" s="13" t="s">
        <v>265</v>
      </c>
      <c r="C325" s="14">
        <v>45418</v>
      </c>
      <c r="D325" s="14">
        <v>45448</v>
      </c>
      <c r="E325" s="14"/>
      <c r="F325" s="15">
        <v>47886.28</v>
      </c>
      <c r="G325" s="15">
        <v>0</v>
      </c>
      <c r="H325" s="15">
        <f t="shared" si="25"/>
        <v>47886.28</v>
      </c>
      <c r="I325" s="13" t="str">
        <f t="shared" si="26"/>
        <v/>
      </c>
      <c r="J325" s="13" t="str">
        <f t="shared" ca="1" si="27"/>
        <v>Overdue</v>
      </c>
      <c r="K325" s="13">
        <f t="shared" ca="1" si="28"/>
        <v>808</v>
      </c>
      <c r="L325" s="13" t="str">
        <f t="shared" ca="1" si="29"/>
        <v>120+ Days</v>
      </c>
      <c r="M325" s="14">
        <v>45413</v>
      </c>
      <c r="N325" s="14"/>
    </row>
    <row r="326" spans="1:14" x14ac:dyDescent="0.25">
      <c r="A326" s="10" t="s">
        <v>452</v>
      </c>
      <c r="B326" s="10" t="s">
        <v>97</v>
      </c>
      <c r="C326" s="11">
        <v>45423</v>
      </c>
      <c r="D326" s="11">
        <v>45453</v>
      </c>
      <c r="E326" s="11">
        <v>45500</v>
      </c>
      <c r="F326" s="12">
        <v>49399.92</v>
      </c>
      <c r="G326" s="12">
        <v>49399.92</v>
      </c>
      <c r="H326" s="12">
        <f t="shared" si="25"/>
        <v>0</v>
      </c>
      <c r="I326" s="10">
        <f t="shared" si="26"/>
        <v>47</v>
      </c>
      <c r="J326" s="10" t="str">
        <f t="shared" ca="1" si="27"/>
        <v>Paid</v>
      </c>
      <c r="K326" s="10">
        <f t="shared" ca="1" si="28"/>
        <v>0</v>
      </c>
      <c r="L326" s="10" t="str">
        <f t="shared" si="29"/>
        <v>Paid</v>
      </c>
      <c r="M326" s="11">
        <v>45413</v>
      </c>
      <c r="N326" s="11">
        <v>45474</v>
      </c>
    </row>
    <row r="327" spans="1:14" x14ac:dyDescent="0.25">
      <c r="A327" s="13" t="s">
        <v>453</v>
      </c>
      <c r="B327" s="13" t="s">
        <v>111</v>
      </c>
      <c r="C327" s="14">
        <v>45436</v>
      </c>
      <c r="D327" s="14">
        <v>45466</v>
      </c>
      <c r="E327" s="14">
        <v>45479</v>
      </c>
      <c r="F327" s="15">
        <v>24616.31</v>
      </c>
      <c r="G327" s="15">
        <v>24616.31</v>
      </c>
      <c r="H327" s="15">
        <f t="shared" si="25"/>
        <v>0</v>
      </c>
      <c r="I327" s="13">
        <f t="shared" si="26"/>
        <v>13</v>
      </c>
      <c r="J327" s="13" t="str">
        <f t="shared" ca="1" si="27"/>
        <v>Paid</v>
      </c>
      <c r="K327" s="13">
        <f t="shared" ca="1" si="28"/>
        <v>0</v>
      </c>
      <c r="L327" s="13" t="str">
        <f t="shared" si="29"/>
        <v>Paid</v>
      </c>
      <c r="M327" s="14">
        <v>45413</v>
      </c>
      <c r="N327" s="14">
        <v>45474</v>
      </c>
    </row>
    <row r="328" spans="1:14" x14ac:dyDescent="0.25">
      <c r="A328" s="10" t="s">
        <v>454</v>
      </c>
      <c r="B328" s="10" t="s">
        <v>95</v>
      </c>
      <c r="C328" s="11">
        <v>45430</v>
      </c>
      <c r="D328" s="11">
        <v>45460</v>
      </c>
      <c r="E328" s="11"/>
      <c r="F328" s="12">
        <v>28575.54</v>
      </c>
      <c r="G328" s="12">
        <v>0</v>
      </c>
      <c r="H328" s="12">
        <f t="shared" si="25"/>
        <v>28575.54</v>
      </c>
      <c r="I328" s="10" t="str">
        <f t="shared" si="26"/>
        <v/>
      </c>
      <c r="J328" s="10" t="str">
        <f t="shared" ca="1" si="27"/>
        <v>Overdue</v>
      </c>
      <c r="K328" s="10">
        <f t="shared" ca="1" si="28"/>
        <v>796</v>
      </c>
      <c r="L328" s="10" t="str">
        <f t="shared" ca="1" si="29"/>
        <v>120+ Days</v>
      </c>
      <c r="M328" s="11">
        <v>45413</v>
      </c>
      <c r="N328" s="11"/>
    </row>
    <row r="329" spans="1:14" x14ac:dyDescent="0.25">
      <c r="A329" s="13" t="s">
        <v>455</v>
      </c>
      <c r="B329" s="13" t="s">
        <v>87</v>
      </c>
      <c r="C329" s="14">
        <v>45425</v>
      </c>
      <c r="D329" s="14">
        <v>45455</v>
      </c>
      <c r="E329" s="14">
        <v>45463</v>
      </c>
      <c r="F329" s="15">
        <v>45695.9</v>
      </c>
      <c r="G329" s="15">
        <v>38505.56</v>
      </c>
      <c r="H329" s="15">
        <f t="shared" si="25"/>
        <v>7190.3400000000038</v>
      </c>
      <c r="I329" s="13">
        <f t="shared" si="26"/>
        <v>8</v>
      </c>
      <c r="J329" s="13" t="str">
        <f t="shared" ca="1" si="27"/>
        <v>Overdue</v>
      </c>
      <c r="K329" s="13">
        <f t="shared" ca="1" si="28"/>
        <v>801</v>
      </c>
      <c r="L329" s="13" t="str">
        <f t="shared" ca="1" si="29"/>
        <v>120+ Days</v>
      </c>
      <c r="M329" s="14">
        <v>45413</v>
      </c>
      <c r="N329" s="14">
        <v>45444</v>
      </c>
    </row>
    <row r="330" spans="1:14" x14ac:dyDescent="0.25">
      <c r="A330" s="10" t="s">
        <v>456</v>
      </c>
      <c r="B330" s="10" t="s">
        <v>115</v>
      </c>
      <c r="C330" s="11">
        <v>45438</v>
      </c>
      <c r="D330" s="11">
        <v>45468</v>
      </c>
      <c r="E330" s="11">
        <v>45483</v>
      </c>
      <c r="F330" s="12">
        <v>35953.08</v>
      </c>
      <c r="G330" s="12">
        <v>35953.08</v>
      </c>
      <c r="H330" s="12">
        <f t="shared" si="25"/>
        <v>0</v>
      </c>
      <c r="I330" s="10">
        <f t="shared" si="26"/>
        <v>15</v>
      </c>
      <c r="J330" s="10" t="str">
        <f t="shared" ca="1" si="27"/>
        <v>Paid</v>
      </c>
      <c r="K330" s="10">
        <f t="shared" ca="1" si="28"/>
        <v>0</v>
      </c>
      <c r="L330" s="10" t="str">
        <f t="shared" si="29"/>
        <v>Paid</v>
      </c>
      <c r="M330" s="11">
        <v>45413</v>
      </c>
      <c r="N330" s="11">
        <v>45474</v>
      </c>
    </row>
    <row r="331" spans="1:14" x14ac:dyDescent="0.25">
      <c r="A331" s="13" t="s">
        <v>457</v>
      </c>
      <c r="B331" s="13" t="s">
        <v>109</v>
      </c>
      <c r="C331" s="14">
        <v>45433</v>
      </c>
      <c r="D331" s="14">
        <v>45463</v>
      </c>
      <c r="E331" s="14"/>
      <c r="F331" s="15">
        <v>46348.53</v>
      </c>
      <c r="G331" s="15">
        <v>0</v>
      </c>
      <c r="H331" s="15">
        <f t="shared" si="25"/>
        <v>46348.53</v>
      </c>
      <c r="I331" s="13" t="str">
        <f t="shared" si="26"/>
        <v/>
      </c>
      <c r="J331" s="13" t="str">
        <f t="shared" ca="1" si="27"/>
        <v>Overdue</v>
      </c>
      <c r="K331" s="13">
        <f t="shared" ca="1" si="28"/>
        <v>793</v>
      </c>
      <c r="L331" s="13" t="str">
        <f t="shared" ca="1" si="29"/>
        <v>120+ Days</v>
      </c>
      <c r="M331" s="14">
        <v>45413</v>
      </c>
      <c r="N331" s="14"/>
    </row>
    <row r="332" spans="1:14" x14ac:dyDescent="0.25">
      <c r="A332" s="10" t="s">
        <v>458</v>
      </c>
      <c r="B332" s="10" t="s">
        <v>278</v>
      </c>
      <c r="C332" s="11">
        <v>45435</v>
      </c>
      <c r="D332" s="11">
        <v>45465</v>
      </c>
      <c r="E332" s="11"/>
      <c r="F332" s="12">
        <v>49335.43</v>
      </c>
      <c r="G332" s="12">
        <v>0</v>
      </c>
      <c r="H332" s="12">
        <f t="shared" si="25"/>
        <v>49335.43</v>
      </c>
      <c r="I332" s="10" t="str">
        <f t="shared" si="26"/>
        <v/>
      </c>
      <c r="J332" s="10" t="str">
        <f t="shared" ca="1" si="27"/>
        <v>Overdue</v>
      </c>
      <c r="K332" s="10">
        <f t="shared" ca="1" si="28"/>
        <v>791</v>
      </c>
      <c r="L332" s="10" t="str">
        <f t="shared" ca="1" si="29"/>
        <v>120+ Days</v>
      </c>
      <c r="M332" s="11">
        <v>45413</v>
      </c>
      <c r="N332" s="11"/>
    </row>
    <row r="333" spans="1:14" x14ac:dyDescent="0.25">
      <c r="A333" s="13" t="s">
        <v>459</v>
      </c>
      <c r="B333" s="13" t="s">
        <v>91</v>
      </c>
      <c r="C333" s="14">
        <v>45414</v>
      </c>
      <c r="D333" s="14">
        <v>45444</v>
      </c>
      <c r="E333" s="14">
        <v>45503</v>
      </c>
      <c r="F333" s="15">
        <v>30464.37</v>
      </c>
      <c r="G333" s="15">
        <v>30464.37</v>
      </c>
      <c r="H333" s="15">
        <f t="shared" si="25"/>
        <v>0</v>
      </c>
      <c r="I333" s="13">
        <f t="shared" si="26"/>
        <v>59</v>
      </c>
      <c r="J333" s="13" t="str">
        <f t="shared" ca="1" si="27"/>
        <v>Paid</v>
      </c>
      <c r="K333" s="13">
        <f t="shared" ca="1" si="28"/>
        <v>0</v>
      </c>
      <c r="L333" s="13" t="str">
        <f t="shared" si="29"/>
        <v>Paid</v>
      </c>
      <c r="M333" s="14">
        <v>45413</v>
      </c>
      <c r="N333" s="14">
        <v>45474</v>
      </c>
    </row>
    <row r="334" spans="1:14" x14ac:dyDescent="0.25">
      <c r="A334" s="10" t="s">
        <v>460</v>
      </c>
      <c r="B334" s="10" t="s">
        <v>331</v>
      </c>
      <c r="C334" s="11">
        <v>45437</v>
      </c>
      <c r="D334" s="11">
        <v>45467</v>
      </c>
      <c r="E334" s="11"/>
      <c r="F334" s="12">
        <v>63194.42</v>
      </c>
      <c r="G334" s="12">
        <v>0</v>
      </c>
      <c r="H334" s="12">
        <f t="shared" si="25"/>
        <v>63194.42</v>
      </c>
      <c r="I334" s="10" t="str">
        <f t="shared" si="26"/>
        <v/>
      </c>
      <c r="J334" s="10" t="str">
        <f t="shared" ca="1" si="27"/>
        <v>Overdue</v>
      </c>
      <c r="K334" s="10">
        <f t="shared" ca="1" si="28"/>
        <v>789</v>
      </c>
      <c r="L334" s="10" t="str">
        <f t="shared" ca="1" si="29"/>
        <v>120+ Days</v>
      </c>
      <c r="M334" s="11">
        <v>45413</v>
      </c>
      <c r="N334" s="11"/>
    </row>
    <row r="335" spans="1:14" x14ac:dyDescent="0.25">
      <c r="A335" s="13" t="s">
        <v>461</v>
      </c>
      <c r="B335" s="13" t="s">
        <v>127</v>
      </c>
      <c r="C335" s="14">
        <v>45420</v>
      </c>
      <c r="D335" s="14">
        <v>45450</v>
      </c>
      <c r="E335" s="14">
        <v>45450</v>
      </c>
      <c r="F335" s="15">
        <v>30982.33</v>
      </c>
      <c r="G335" s="15">
        <v>30982.33</v>
      </c>
      <c r="H335" s="15">
        <f t="shared" si="25"/>
        <v>0</v>
      </c>
      <c r="I335" s="13">
        <f t="shared" si="26"/>
        <v>0</v>
      </c>
      <c r="J335" s="13" t="str">
        <f t="shared" ca="1" si="27"/>
        <v>Paid</v>
      </c>
      <c r="K335" s="13">
        <f t="shared" ca="1" si="28"/>
        <v>0</v>
      </c>
      <c r="L335" s="13" t="str">
        <f t="shared" si="29"/>
        <v>Paid</v>
      </c>
      <c r="M335" s="14">
        <v>45413</v>
      </c>
      <c r="N335" s="14">
        <v>45444</v>
      </c>
    </row>
    <row r="336" spans="1:14" x14ac:dyDescent="0.25">
      <c r="A336" s="10" t="s">
        <v>462</v>
      </c>
      <c r="B336" s="10" t="s">
        <v>463</v>
      </c>
      <c r="C336" s="11">
        <v>45421</v>
      </c>
      <c r="D336" s="11">
        <v>45451</v>
      </c>
      <c r="E336" s="11">
        <v>45472</v>
      </c>
      <c r="F336" s="12">
        <v>79280.47</v>
      </c>
      <c r="G336" s="12">
        <v>79280.47</v>
      </c>
      <c r="H336" s="12">
        <f t="shared" si="25"/>
        <v>0</v>
      </c>
      <c r="I336" s="10">
        <f t="shared" si="26"/>
        <v>21</v>
      </c>
      <c r="J336" s="10" t="str">
        <f t="shared" ca="1" si="27"/>
        <v>Paid</v>
      </c>
      <c r="K336" s="10">
        <f t="shared" ca="1" si="28"/>
        <v>0</v>
      </c>
      <c r="L336" s="10" t="str">
        <f t="shared" si="29"/>
        <v>Paid</v>
      </c>
      <c r="M336" s="11">
        <v>45413</v>
      </c>
      <c r="N336" s="11">
        <v>45444</v>
      </c>
    </row>
    <row r="337" spans="1:14" x14ac:dyDescent="0.25">
      <c r="A337" s="13" t="s">
        <v>464</v>
      </c>
      <c r="B337" s="13" t="s">
        <v>127</v>
      </c>
      <c r="C337" s="14">
        <v>45427</v>
      </c>
      <c r="D337" s="14">
        <v>45457</v>
      </c>
      <c r="E337" s="14">
        <v>45457</v>
      </c>
      <c r="F337" s="15">
        <v>60235.47</v>
      </c>
      <c r="G337" s="15">
        <v>60235.47</v>
      </c>
      <c r="H337" s="15">
        <f t="shared" si="25"/>
        <v>0</v>
      </c>
      <c r="I337" s="13">
        <f t="shared" si="26"/>
        <v>0</v>
      </c>
      <c r="J337" s="13" t="str">
        <f t="shared" ca="1" si="27"/>
        <v>Paid</v>
      </c>
      <c r="K337" s="13">
        <f t="shared" ca="1" si="28"/>
        <v>0</v>
      </c>
      <c r="L337" s="13" t="str">
        <f t="shared" si="29"/>
        <v>Paid</v>
      </c>
      <c r="M337" s="14">
        <v>45413</v>
      </c>
      <c r="N337" s="14">
        <v>45444</v>
      </c>
    </row>
    <row r="338" spans="1:14" x14ac:dyDescent="0.25">
      <c r="A338" s="10" t="s">
        <v>465</v>
      </c>
      <c r="B338" s="10" t="s">
        <v>331</v>
      </c>
      <c r="C338" s="11">
        <v>45435</v>
      </c>
      <c r="D338" s="11">
        <v>45465</v>
      </c>
      <c r="E338" s="11"/>
      <c r="F338" s="12">
        <v>37670.65</v>
      </c>
      <c r="G338" s="12">
        <v>0</v>
      </c>
      <c r="H338" s="12">
        <f t="shared" si="25"/>
        <v>37670.65</v>
      </c>
      <c r="I338" s="10" t="str">
        <f t="shared" si="26"/>
        <v/>
      </c>
      <c r="J338" s="10" t="str">
        <f t="shared" ca="1" si="27"/>
        <v>Overdue</v>
      </c>
      <c r="K338" s="10">
        <f t="shared" ca="1" si="28"/>
        <v>791</v>
      </c>
      <c r="L338" s="10" t="str">
        <f t="shared" ca="1" si="29"/>
        <v>120+ Days</v>
      </c>
      <c r="M338" s="11">
        <v>45413</v>
      </c>
      <c r="N338" s="11"/>
    </row>
    <row r="339" spans="1:14" x14ac:dyDescent="0.25">
      <c r="A339" s="13" t="s">
        <v>466</v>
      </c>
      <c r="B339" s="13" t="s">
        <v>188</v>
      </c>
      <c r="C339" s="14">
        <v>45421</v>
      </c>
      <c r="D339" s="14">
        <v>45451</v>
      </c>
      <c r="E339" s="14"/>
      <c r="F339" s="15">
        <v>42086.98</v>
      </c>
      <c r="G339" s="15">
        <v>0</v>
      </c>
      <c r="H339" s="15">
        <f t="shared" si="25"/>
        <v>42086.98</v>
      </c>
      <c r="I339" s="13" t="str">
        <f t="shared" si="26"/>
        <v/>
      </c>
      <c r="J339" s="13" t="str">
        <f t="shared" ca="1" si="27"/>
        <v>Overdue</v>
      </c>
      <c r="K339" s="13">
        <f t="shared" ca="1" si="28"/>
        <v>805</v>
      </c>
      <c r="L339" s="13" t="str">
        <f t="shared" ca="1" si="29"/>
        <v>120+ Days</v>
      </c>
      <c r="M339" s="14">
        <v>45413</v>
      </c>
      <c r="N339" s="14"/>
    </row>
    <row r="340" spans="1:14" x14ac:dyDescent="0.25">
      <c r="A340" s="10" t="s">
        <v>467</v>
      </c>
      <c r="B340" s="10" t="s">
        <v>91</v>
      </c>
      <c r="C340" s="11">
        <v>45427</v>
      </c>
      <c r="D340" s="11">
        <v>45457</v>
      </c>
      <c r="E340" s="11"/>
      <c r="F340" s="12">
        <v>85861.11</v>
      </c>
      <c r="G340" s="12">
        <v>0</v>
      </c>
      <c r="H340" s="12">
        <f t="shared" si="25"/>
        <v>85861.11</v>
      </c>
      <c r="I340" s="10" t="str">
        <f t="shared" si="26"/>
        <v/>
      </c>
      <c r="J340" s="10" t="str">
        <f t="shared" ca="1" si="27"/>
        <v>Overdue</v>
      </c>
      <c r="K340" s="10">
        <f t="shared" ca="1" si="28"/>
        <v>799</v>
      </c>
      <c r="L340" s="10" t="str">
        <f t="shared" ca="1" si="29"/>
        <v>120+ Days</v>
      </c>
      <c r="M340" s="11">
        <v>45413</v>
      </c>
      <c r="N340" s="11"/>
    </row>
    <row r="341" spans="1:14" x14ac:dyDescent="0.25">
      <c r="A341" s="13" t="s">
        <v>468</v>
      </c>
      <c r="B341" s="13" t="s">
        <v>76</v>
      </c>
      <c r="C341" s="14">
        <v>45433</v>
      </c>
      <c r="D341" s="14">
        <v>45463</v>
      </c>
      <c r="E341" s="14">
        <v>45463</v>
      </c>
      <c r="F341" s="15">
        <v>32061.42</v>
      </c>
      <c r="G341" s="15">
        <v>32061.42</v>
      </c>
      <c r="H341" s="15">
        <f t="shared" si="25"/>
        <v>0</v>
      </c>
      <c r="I341" s="13">
        <f t="shared" si="26"/>
        <v>0</v>
      </c>
      <c r="J341" s="13" t="str">
        <f t="shared" ca="1" si="27"/>
        <v>Paid</v>
      </c>
      <c r="K341" s="13">
        <f t="shared" ca="1" si="28"/>
        <v>0</v>
      </c>
      <c r="L341" s="13" t="str">
        <f t="shared" si="29"/>
        <v>Paid</v>
      </c>
      <c r="M341" s="14">
        <v>45413</v>
      </c>
      <c r="N341" s="14">
        <v>45444</v>
      </c>
    </row>
    <row r="342" spans="1:14" x14ac:dyDescent="0.25">
      <c r="A342" s="10" t="s">
        <v>469</v>
      </c>
      <c r="B342" s="10" t="s">
        <v>314</v>
      </c>
      <c r="C342" s="11">
        <v>45426</v>
      </c>
      <c r="D342" s="11">
        <v>45456</v>
      </c>
      <c r="E342" s="11">
        <v>45467</v>
      </c>
      <c r="F342" s="12">
        <v>40207.17</v>
      </c>
      <c r="G342" s="12">
        <v>40207.17</v>
      </c>
      <c r="H342" s="12">
        <f t="shared" si="25"/>
        <v>0</v>
      </c>
      <c r="I342" s="10">
        <f t="shared" si="26"/>
        <v>11</v>
      </c>
      <c r="J342" s="10" t="str">
        <f t="shared" ca="1" si="27"/>
        <v>Paid</v>
      </c>
      <c r="K342" s="10">
        <f t="shared" ca="1" si="28"/>
        <v>0</v>
      </c>
      <c r="L342" s="10" t="str">
        <f t="shared" si="29"/>
        <v>Paid</v>
      </c>
      <c r="M342" s="11">
        <v>45413</v>
      </c>
      <c r="N342" s="11">
        <v>45444</v>
      </c>
    </row>
    <row r="343" spans="1:14" x14ac:dyDescent="0.25">
      <c r="A343" s="13" t="s">
        <v>470</v>
      </c>
      <c r="B343" s="13" t="s">
        <v>131</v>
      </c>
      <c r="C343" s="14">
        <v>45428</v>
      </c>
      <c r="D343" s="14">
        <v>45458</v>
      </c>
      <c r="E343" s="14"/>
      <c r="F343" s="15">
        <v>23070.2</v>
      </c>
      <c r="G343" s="15">
        <v>0</v>
      </c>
      <c r="H343" s="15">
        <f t="shared" si="25"/>
        <v>23070.2</v>
      </c>
      <c r="I343" s="13" t="str">
        <f t="shared" si="26"/>
        <v/>
      </c>
      <c r="J343" s="13" t="str">
        <f t="shared" ca="1" si="27"/>
        <v>Overdue</v>
      </c>
      <c r="K343" s="13">
        <f t="shared" ca="1" si="28"/>
        <v>798</v>
      </c>
      <c r="L343" s="13" t="str">
        <f t="shared" ca="1" si="29"/>
        <v>120+ Days</v>
      </c>
      <c r="M343" s="14">
        <v>45413</v>
      </c>
      <c r="N343" s="14"/>
    </row>
    <row r="344" spans="1:14" x14ac:dyDescent="0.25">
      <c r="A344" s="10" t="s">
        <v>471</v>
      </c>
      <c r="B344" s="10" t="s">
        <v>95</v>
      </c>
      <c r="C344" s="11">
        <v>45434</v>
      </c>
      <c r="D344" s="11">
        <v>45464</v>
      </c>
      <c r="E344" s="11">
        <v>45498</v>
      </c>
      <c r="F344" s="12">
        <v>86039.91</v>
      </c>
      <c r="G344" s="12">
        <v>86039.91</v>
      </c>
      <c r="H344" s="12">
        <f t="shared" si="25"/>
        <v>0</v>
      </c>
      <c r="I344" s="10">
        <f t="shared" si="26"/>
        <v>34</v>
      </c>
      <c r="J344" s="10" t="str">
        <f t="shared" ca="1" si="27"/>
        <v>Paid</v>
      </c>
      <c r="K344" s="10">
        <f t="shared" ca="1" si="28"/>
        <v>0</v>
      </c>
      <c r="L344" s="10" t="str">
        <f t="shared" si="29"/>
        <v>Paid</v>
      </c>
      <c r="M344" s="11">
        <v>45413</v>
      </c>
      <c r="N344" s="11">
        <v>45474</v>
      </c>
    </row>
    <row r="345" spans="1:14" x14ac:dyDescent="0.25">
      <c r="A345" s="13" t="s">
        <v>472</v>
      </c>
      <c r="B345" s="13" t="s">
        <v>146</v>
      </c>
      <c r="C345" s="14">
        <v>45436</v>
      </c>
      <c r="D345" s="14">
        <v>45466</v>
      </c>
      <c r="E345" s="14">
        <v>45470</v>
      </c>
      <c r="F345" s="15">
        <v>106327.01</v>
      </c>
      <c r="G345" s="15">
        <v>106327.01</v>
      </c>
      <c r="H345" s="15">
        <f t="shared" si="25"/>
        <v>0</v>
      </c>
      <c r="I345" s="13">
        <f t="shared" si="26"/>
        <v>4</v>
      </c>
      <c r="J345" s="13" t="str">
        <f t="shared" ca="1" si="27"/>
        <v>Paid</v>
      </c>
      <c r="K345" s="13">
        <f t="shared" ca="1" si="28"/>
        <v>0</v>
      </c>
      <c r="L345" s="13" t="str">
        <f t="shared" si="29"/>
        <v>Paid</v>
      </c>
      <c r="M345" s="14">
        <v>45413</v>
      </c>
      <c r="N345" s="14">
        <v>45444</v>
      </c>
    </row>
    <row r="346" spans="1:14" x14ac:dyDescent="0.25">
      <c r="A346" s="10" t="s">
        <v>473</v>
      </c>
      <c r="B346" s="10" t="s">
        <v>107</v>
      </c>
      <c r="C346" s="11">
        <v>45418</v>
      </c>
      <c r="D346" s="11">
        <v>45448</v>
      </c>
      <c r="E346" s="11"/>
      <c r="F346" s="12">
        <v>52394.17</v>
      </c>
      <c r="G346" s="12">
        <v>0</v>
      </c>
      <c r="H346" s="12">
        <f t="shared" si="25"/>
        <v>52394.17</v>
      </c>
      <c r="I346" s="10" t="str">
        <f t="shared" si="26"/>
        <v/>
      </c>
      <c r="J346" s="10" t="str">
        <f t="shared" ca="1" si="27"/>
        <v>Overdue</v>
      </c>
      <c r="K346" s="10">
        <f t="shared" ca="1" si="28"/>
        <v>808</v>
      </c>
      <c r="L346" s="10" t="str">
        <f t="shared" ca="1" si="29"/>
        <v>120+ Days</v>
      </c>
      <c r="M346" s="11">
        <v>45413</v>
      </c>
      <c r="N346" s="11"/>
    </row>
    <row r="347" spans="1:14" x14ac:dyDescent="0.25">
      <c r="A347" s="13" t="s">
        <v>474</v>
      </c>
      <c r="B347" s="13" t="s">
        <v>169</v>
      </c>
      <c r="C347" s="14">
        <v>45414</v>
      </c>
      <c r="D347" s="14">
        <v>45444</v>
      </c>
      <c r="E347" s="14">
        <v>45444</v>
      </c>
      <c r="F347" s="15">
        <v>31946.2</v>
      </c>
      <c r="G347" s="15">
        <v>31946.2</v>
      </c>
      <c r="H347" s="15">
        <f t="shared" si="25"/>
        <v>0</v>
      </c>
      <c r="I347" s="13">
        <f t="shared" si="26"/>
        <v>0</v>
      </c>
      <c r="J347" s="13" t="str">
        <f t="shared" ca="1" si="27"/>
        <v>Paid</v>
      </c>
      <c r="K347" s="13">
        <f t="shared" ca="1" si="28"/>
        <v>0</v>
      </c>
      <c r="L347" s="13" t="str">
        <f t="shared" si="29"/>
        <v>Paid</v>
      </c>
      <c r="M347" s="14">
        <v>45413</v>
      </c>
      <c r="N347" s="14">
        <v>45444</v>
      </c>
    </row>
    <row r="348" spans="1:14" x14ac:dyDescent="0.25">
      <c r="A348" s="10" t="s">
        <v>475</v>
      </c>
      <c r="B348" s="10" t="s">
        <v>220</v>
      </c>
      <c r="C348" s="11">
        <v>45419</v>
      </c>
      <c r="D348" s="11">
        <v>45449</v>
      </c>
      <c r="E348" s="11">
        <v>45480</v>
      </c>
      <c r="F348" s="12">
        <v>27740.31</v>
      </c>
      <c r="G348" s="12">
        <v>27740.31</v>
      </c>
      <c r="H348" s="12">
        <f t="shared" si="25"/>
        <v>0</v>
      </c>
      <c r="I348" s="10">
        <f t="shared" si="26"/>
        <v>31</v>
      </c>
      <c r="J348" s="10" t="str">
        <f t="shared" ca="1" si="27"/>
        <v>Paid</v>
      </c>
      <c r="K348" s="10">
        <f t="shared" ca="1" si="28"/>
        <v>0</v>
      </c>
      <c r="L348" s="10" t="str">
        <f t="shared" si="29"/>
        <v>Paid</v>
      </c>
      <c r="M348" s="11">
        <v>45413</v>
      </c>
      <c r="N348" s="11">
        <v>45474</v>
      </c>
    </row>
    <row r="349" spans="1:14" x14ac:dyDescent="0.25">
      <c r="A349" s="13" t="s">
        <v>476</v>
      </c>
      <c r="B349" s="13" t="s">
        <v>184</v>
      </c>
      <c r="C349" s="14">
        <v>45420</v>
      </c>
      <c r="D349" s="14">
        <v>45450</v>
      </c>
      <c r="E349" s="14">
        <v>45471</v>
      </c>
      <c r="F349" s="15">
        <v>37993.22</v>
      </c>
      <c r="G349" s="15">
        <v>37993.22</v>
      </c>
      <c r="H349" s="15">
        <f t="shared" si="25"/>
        <v>0</v>
      </c>
      <c r="I349" s="13">
        <f t="shared" si="26"/>
        <v>21</v>
      </c>
      <c r="J349" s="13" t="str">
        <f t="shared" ca="1" si="27"/>
        <v>Paid</v>
      </c>
      <c r="K349" s="13">
        <f t="shared" ca="1" si="28"/>
        <v>0</v>
      </c>
      <c r="L349" s="13" t="str">
        <f t="shared" si="29"/>
        <v>Paid</v>
      </c>
      <c r="M349" s="14">
        <v>45413</v>
      </c>
      <c r="N349" s="14">
        <v>45444</v>
      </c>
    </row>
    <row r="350" spans="1:14" x14ac:dyDescent="0.25">
      <c r="A350" s="10" t="s">
        <v>477</v>
      </c>
      <c r="B350" s="10" t="s">
        <v>182</v>
      </c>
      <c r="C350" s="11">
        <v>45427</v>
      </c>
      <c r="D350" s="11">
        <v>45457</v>
      </c>
      <c r="E350" s="11">
        <v>45482</v>
      </c>
      <c r="F350" s="12">
        <v>130138.24000000001</v>
      </c>
      <c r="G350" s="12">
        <v>130138.24000000001</v>
      </c>
      <c r="H350" s="12">
        <f t="shared" si="25"/>
        <v>0</v>
      </c>
      <c r="I350" s="10">
        <f t="shared" si="26"/>
        <v>25</v>
      </c>
      <c r="J350" s="10" t="str">
        <f t="shared" ca="1" si="27"/>
        <v>Paid</v>
      </c>
      <c r="K350" s="10">
        <f t="shared" ca="1" si="28"/>
        <v>0</v>
      </c>
      <c r="L350" s="10" t="str">
        <f t="shared" si="29"/>
        <v>Paid</v>
      </c>
      <c r="M350" s="11">
        <v>45413</v>
      </c>
      <c r="N350" s="11">
        <v>45474</v>
      </c>
    </row>
    <row r="351" spans="1:14" x14ac:dyDescent="0.25">
      <c r="A351" s="13" t="s">
        <v>478</v>
      </c>
      <c r="B351" s="13" t="s">
        <v>220</v>
      </c>
      <c r="C351" s="14">
        <v>45416</v>
      </c>
      <c r="D351" s="14">
        <v>45446</v>
      </c>
      <c r="E351" s="14">
        <v>45488</v>
      </c>
      <c r="F351" s="15">
        <v>23892.33</v>
      </c>
      <c r="G351" s="15">
        <v>23892.33</v>
      </c>
      <c r="H351" s="15">
        <f t="shared" si="25"/>
        <v>0</v>
      </c>
      <c r="I351" s="13">
        <f t="shared" si="26"/>
        <v>42</v>
      </c>
      <c r="J351" s="13" t="str">
        <f t="shared" ca="1" si="27"/>
        <v>Paid</v>
      </c>
      <c r="K351" s="13">
        <f t="shared" ca="1" si="28"/>
        <v>0</v>
      </c>
      <c r="L351" s="13" t="str">
        <f t="shared" si="29"/>
        <v>Paid</v>
      </c>
      <c r="M351" s="14">
        <v>45413</v>
      </c>
      <c r="N351" s="14">
        <v>45474</v>
      </c>
    </row>
    <row r="352" spans="1:14" x14ac:dyDescent="0.25">
      <c r="A352" s="10" t="s">
        <v>479</v>
      </c>
      <c r="B352" s="10" t="s">
        <v>76</v>
      </c>
      <c r="C352" s="11">
        <v>45445</v>
      </c>
      <c r="D352" s="11">
        <v>45475</v>
      </c>
      <c r="E352" s="11">
        <v>45476</v>
      </c>
      <c r="F352" s="12">
        <v>50536.14</v>
      </c>
      <c r="G352" s="12">
        <v>50536.14</v>
      </c>
      <c r="H352" s="12">
        <f t="shared" si="25"/>
        <v>0</v>
      </c>
      <c r="I352" s="10">
        <f t="shared" si="26"/>
        <v>1</v>
      </c>
      <c r="J352" s="10" t="str">
        <f t="shared" ca="1" si="27"/>
        <v>Paid</v>
      </c>
      <c r="K352" s="10">
        <f t="shared" ca="1" si="28"/>
        <v>0</v>
      </c>
      <c r="L352" s="10" t="str">
        <f t="shared" si="29"/>
        <v>Paid</v>
      </c>
      <c r="M352" s="11">
        <v>45444</v>
      </c>
      <c r="N352" s="11">
        <v>45474</v>
      </c>
    </row>
    <row r="353" spans="1:14" x14ac:dyDescent="0.25">
      <c r="A353" s="13" t="s">
        <v>480</v>
      </c>
      <c r="B353" s="13" t="s">
        <v>146</v>
      </c>
      <c r="C353" s="14">
        <v>45468</v>
      </c>
      <c r="D353" s="14">
        <v>45498</v>
      </c>
      <c r="E353" s="14">
        <v>45506</v>
      </c>
      <c r="F353" s="15">
        <v>35853.07</v>
      </c>
      <c r="G353" s="15">
        <v>35853.07</v>
      </c>
      <c r="H353" s="15">
        <f t="shared" si="25"/>
        <v>0</v>
      </c>
      <c r="I353" s="13">
        <f t="shared" si="26"/>
        <v>8</v>
      </c>
      <c r="J353" s="13" t="str">
        <f t="shared" ca="1" si="27"/>
        <v>Paid</v>
      </c>
      <c r="K353" s="13">
        <f t="shared" ca="1" si="28"/>
        <v>0</v>
      </c>
      <c r="L353" s="13" t="str">
        <f t="shared" si="29"/>
        <v>Paid</v>
      </c>
      <c r="M353" s="14">
        <v>45444</v>
      </c>
      <c r="N353" s="14">
        <v>45505</v>
      </c>
    </row>
    <row r="354" spans="1:14" x14ac:dyDescent="0.25">
      <c r="A354" s="10" t="s">
        <v>481</v>
      </c>
      <c r="B354" s="10" t="s">
        <v>161</v>
      </c>
      <c r="C354" s="11">
        <v>45455</v>
      </c>
      <c r="D354" s="11">
        <v>45485</v>
      </c>
      <c r="E354" s="11">
        <v>45506</v>
      </c>
      <c r="F354" s="12">
        <v>101918.13</v>
      </c>
      <c r="G354" s="12">
        <v>101918.13</v>
      </c>
      <c r="H354" s="12">
        <f t="shared" si="25"/>
        <v>0</v>
      </c>
      <c r="I354" s="10">
        <f t="shared" si="26"/>
        <v>21</v>
      </c>
      <c r="J354" s="10" t="str">
        <f t="shared" ca="1" si="27"/>
        <v>Paid</v>
      </c>
      <c r="K354" s="10">
        <f t="shared" ca="1" si="28"/>
        <v>0</v>
      </c>
      <c r="L354" s="10" t="str">
        <f t="shared" si="29"/>
        <v>Paid</v>
      </c>
      <c r="M354" s="11">
        <v>45444</v>
      </c>
      <c r="N354" s="11">
        <v>45505</v>
      </c>
    </row>
    <row r="355" spans="1:14" x14ac:dyDescent="0.25">
      <c r="A355" s="13" t="s">
        <v>482</v>
      </c>
      <c r="B355" s="13" t="s">
        <v>244</v>
      </c>
      <c r="C355" s="14">
        <v>45469</v>
      </c>
      <c r="D355" s="14">
        <v>45499</v>
      </c>
      <c r="E355" s="14">
        <v>45578</v>
      </c>
      <c r="F355" s="15">
        <v>23871.31</v>
      </c>
      <c r="G355" s="15">
        <v>23871.31</v>
      </c>
      <c r="H355" s="15">
        <f t="shared" si="25"/>
        <v>0</v>
      </c>
      <c r="I355" s="13">
        <f t="shared" si="26"/>
        <v>79</v>
      </c>
      <c r="J355" s="13" t="str">
        <f t="shared" ca="1" si="27"/>
        <v>Paid</v>
      </c>
      <c r="K355" s="13">
        <f t="shared" ca="1" si="28"/>
        <v>0</v>
      </c>
      <c r="L355" s="13" t="str">
        <f t="shared" si="29"/>
        <v>Paid</v>
      </c>
      <c r="M355" s="14">
        <v>45444</v>
      </c>
      <c r="N355" s="14">
        <v>45566</v>
      </c>
    </row>
    <row r="356" spans="1:14" x14ac:dyDescent="0.25">
      <c r="A356" s="10" t="s">
        <v>483</v>
      </c>
      <c r="B356" s="10" t="s">
        <v>93</v>
      </c>
      <c r="C356" s="11">
        <v>45469</v>
      </c>
      <c r="D356" s="11">
        <v>45499</v>
      </c>
      <c r="E356" s="11"/>
      <c r="F356" s="12">
        <v>39032.160000000003</v>
      </c>
      <c r="G356" s="12">
        <v>0</v>
      </c>
      <c r="H356" s="12">
        <f t="shared" si="25"/>
        <v>39032.160000000003</v>
      </c>
      <c r="I356" s="10" t="str">
        <f t="shared" si="26"/>
        <v/>
      </c>
      <c r="J356" s="10" t="str">
        <f t="shared" ca="1" si="27"/>
        <v>Overdue</v>
      </c>
      <c r="K356" s="10">
        <f t="shared" ca="1" si="28"/>
        <v>757</v>
      </c>
      <c r="L356" s="10" t="str">
        <f t="shared" ca="1" si="29"/>
        <v>120+ Days</v>
      </c>
      <c r="M356" s="11">
        <v>45444</v>
      </c>
      <c r="N356" s="11"/>
    </row>
    <row r="357" spans="1:14" x14ac:dyDescent="0.25">
      <c r="A357" s="13" t="s">
        <v>484</v>
      </c>
      <c r="B357" s="13" t="s">
        <v>134</v>
      </c>
      <c r="C357" s="14">
        <v>45457</v>
      </c>
      <c r="D357" s="14">
        <v>45487</v>
      </c>
      <c r="E357" s="14">
        <v>45495</v>
      </c>
      <c r="F357" s="15">
        <v>17414.79</v>
      </c>
      <c r="G357" s="15">
        <v>17414.79</v>
      </c>
      <c r="H357" s="15">
        <f t="shared" si="25"/>
        <v>0</v>
      </c>
      <c r="I357" s="13">
        <f t="shared" si="26"/>
        <v>8</v>
      </c>
      <c r="J357" s="13" t="str">
        <f t="shared" ca="1" si="27"/>
        <v>Paid</v>
      </c>
      <c r="K357" s="13">
        <f t="shared" ca="1" si="28"/>
        <v>0</v>
      </c>
      <c r="L357" s="13" t="str">
        <f t="shared" si="29"/>
        <v>Paid</v>
      </c>
      <c r="M357" s="14">
        <v>45444</v>
      </c>
      <c r="N357" s="14">
        <v>45474</v>
      </c>
    </row>
    <row r="358" spans="1:14" x14ac:dyDescent="0.25">
      <c r="A358" s="10" t="s">
        <v>485</v>
      </c>
      <c r="B358" s="10" t="s">
        <v>180</v>
      </c>
      <c r="C358" s="11">
        <v>45456</v>
      </c>
      <c r="D358" s="11">
        <v>45486</v>
      </c>
      <c r="E358" s="11">
        <v>45486</v>
      </c>
      <c r="F358" s="12">
        <v>70882.17</v>
      </c>
      <c r="G358" s="12">
        <v>70882.17</v>
      </c>
      <c r="H358" s="12">
        <f t="shared" si="25"/>
        <v>0</v>
      </c>
      <c r="I358" s="10">
        <f t="shared" si="26"/>
        <v>0</v>
      </c>
      <c r="J358" s="10" t="str">
        <f t="shared" ca="1" si="27"/>
        <v>Paid</v>
      </c>
      <c r="K358" s="10">
        <f t="shared" ca="1" si="28"/>
        <v>0</v>
      </c>
      <c r="L358" s="10" t="str">
        <f t="shared" si="29"/>
        <v>Paid</v>
      </c>
      <c r="M358" s="11">
        <v>45444</v>
      </c>
      <c r="N358" s="11">
        <v>45474</v>
      </c>
    </row>
    <row r="359" spans="1:14" x14ac:dyDescent="0.25">
      <c r="A359" s="13" t="s">
        <v>486</v>
      </c>
      <c r="B359" s="13" t="s">
        <v>150</v>
      </c>
      <c r="C359" s="14">
        <v>45450</v>
      </c>
      <c r="D359" s="14">
        <v>45480</v>
      </c>
      <c r="E359" s="14">
        <v>45480</v>
      </c>
      <c r="F359" s="15">
        <v>34907.620000000003</v>
      </c>
      <c r="G359" s="15">
        <v>34907.620000000003</v>
      </c>
      <c r="H359" s="15">
        <f t="shared" si="25"/>
        <v>0</v>
      </c>
      <c r="I359" s="13">
        <f t="shared" si="26"/>
        <v>0</v>
      </c>
      <c r="J359" s="13" t="str">
        <f t="shared" ca="1" si="27"/>
        <v>Paid</v>
      </c>
      <c r="K359" s="13">
        <f t="shared" ca="1" si="28"/>
        <v>0</v>
      </c>
      <c r="L359" s="13" t="str">
        <f t="shared" si="29"/>
        <v>Paid</v>
      </c>
      <c r="M359" s="14">
        <v>45444</v>
      </c>
      <c r="N359" s="14">
        <v>45474</v>
      </c>
    </row>
    <row r="360" spans="1:14" x14ac:dyDescent="0.25">
      <c r="A360" s="10" t="s">
        <v>487</v>
      </c>
      <c r="B360" s="10" t="s">
        <v>129</v>
      </c>
      <c r="C360" s="11">
        <v>45468</v>
      </c>
      <c r="D360" s="11">
        <v>45498</v>
      </c>
      <c r="E360" s="11">
        <v>45511</v>
      </c>
      <c r="F360" s="12">
        <v>30795.61</v>
      </c>
      <c r="G360" s="12">
        <v>30795.61</v>
      </c>
      <c r="H360" s="12">
        <f t="shared" si="25"/>
        <v>0</v>
      </c>
      <c r="I360" s="10">
        <f t="shared" si="26"/>
        <v>13</v>
      </c>
      <c r="J360" s="10" t="str">
        <f t="shared" ca="1" si="27"/>
        <v>Paid</v>
      </c>
      <c r="K360" s="10">
        <f t="shared" ca="1" si="28"/>
        <v>0</v>
      </c>
      <c r="L360" s="10" t="str">
        <f t="shared" si="29"/>
        <v>Paid</v>
      </c>
      <c r="M360" s="11">
        <v>45444</v>
      </c>
      <c r="N360" s="11">
        <v>45505</v>
      </c>
    </row>
    <row r="361" spans="1:14" x14ac:dyDescent="0.25">
      <c r="A361" s="13" t="s">
        <v>488</v>
      </c>
      <c r="B361" s="13" t="s">
        <v>87</v>
      </c>
      <c r="C361" s="14">
        <v>45452</v>
      </c>
      <c r="D361" s="14">
        <v>45482</v>
      </c>
      <c r="E361" s="14">
        <v>45500</v>
      </c>
      <c r="F361" s="15">
        <v>40660.870000000003</v>
      </c>
      <c r="G361" s="15">
        <v>40660.870000000003</v>
      </c>
      <c r="H361" s="15">
        <f t="shared" si="25"/>
        <v>0</v>
      </c>
      <c r="I361" s="13">
        <f t="shared" si="26"/>
        <v>18</v>
      </c>
      <c r="J361" s="13" t="str">
        <f t="shared" ca="1" si="27"/>
        <v>Paid</v>
      </c>
      <c r="K361" s="13">
        <f t="shared" ca="1" si="28"/>
        <v>0</v>
      </c>
      <c r="L361" s="13" t="str">
        <f t="shared" si="29"/>
        <v>Paid</v>
      </c>
      <c r="M361" s="14">
        <v>45444</v>
      </c>
      <c r="N361" s="14">
        <v>45474</v>
      </c>
    </row>
    <row r="362" spans="1:14" x14ac:dyDescent="0.25">
      <c r="A362" s="10" t="s">
        <v>489</v>
      </c>
      <c r="B362" s="10" t="s">
        <v>119</v>
      </c>
      <c r="C362" s="11">
        <v>45458</v>
      </c>
      <c r="D362" s="11">
        <v>45488</v>
      </c>
      <c r="E362" s="11">
        <v>45488</v>
      </c>
      <c r="F362" s="12">
        <v>24459.71</v>
      </c>
      <c r="G362" s="12">
        <v>24459.71</v>
      </c>
      <c r="H362" s="12">
        <f t="shared" si="25"/>
        <v>0</v>
      </c>
      <c r="I362" s="10">
        <f t="shared" si="26"/>
        <v>0</v>
      </c>
      <c r="J362" s="10" t="str">
        <f t="shared" ca="1" si="27"/>
        <v>Paid</v>
      </c>
      <c r="K362" s="10">
        <f t="shared" ca="1" si="28"/>
        <v>0</v>
      </c>
      <c r="L362" s="10" t="str">
        <f t="shared" si="29"/>
        <v>Paid</v>
      </c>
      <c r="M362" s="11">
        <v>45444</v>
      </c>
      <c r="N362" s="11">
        <v>45474</v>
      </c>
    </row>
    <row r="363" spans="1:14" x14ac:dyDescent="0.25">
      <c r="A363" s="13" t="s">
        <v>490</v>
      </c>
      <c r="B363" s="13" t="s">
        <v>93</v>
      </c>
      <c r="C363" s="14">
        <v>45465</v>
      </c>
      <c r="D363" s="14">
        <v>45495</v>
      </c>
      <c r="E363" s="14">
        <v>45522</v>
      </c>
      <c r="F363" s="15">
        <v>42121.25</v>
      </c>
      <c r="G363" s="15">
        <v>42121.25</v>
      </c>
      <c r="H363" s="15">
        <f t="shared" si="25"/>
        <v>0</v>
      </c>
      <c r="I363" s="13">
        <f t="shared" si="26"/>
        <v>27</v>
      </c>
      <c r="J363" s="13" t="str">
        <f t="shared" ca="1" si="27"/>
        <v>Paid</v>
      </c>
      <c r="K363" s="13">
        <f t="shared" ca="1" si="28"/>
        <v>0</v>
      </c>
      <c r="L363" s="13" t="str">
        <f t="shared" si="29"/>
        <v>Paid</v>
      </c>
      <c r="M363" s="14">
        <v>45444</v>
      </c>
      <c r="N363" s="14">
        <v>45505</v>
      </c>
    </row>
    <row r="364" spans="1:14" x14ac:dyDescent="0.25">
      <c r="A364" s="10" t="s">
        <v>491</v>
      </c>
      <c r="B364" s="10" t="s">
        <v>91</v>
      </c>
      <c r="C364" s="11">
        <v>45447</v>
      </c>
      <c r="D364" s="11">
        <v>45477</v>
      </c>
      <c r="E364" s="11"/>
      <c r="F364" s="12">
        <v>27108.51</v>
      </c>
      <c r="G364" s="12">
        <v>0</v>
      </c>
      <c r="H364" s="12">
        <f t="shared" si="25"/>
        <v>27108.51</v>
      </c>
      <c r="I364" s="10" t="str">
        <f t="shared" si="26"/>
        <v/>
      </c>
      <c r="J364" s="10" t="str">
        <f t="shared" ca="1" si="27"/>
        <v>Overdue</v>
      </c>
      <c r="K364" s="10">
        <f t="shared" ca="1" si="28"/>
        <v>779</v>
      </c>
      <c r="L364" s="10" t="str">
        <f t="shared" ca="1" si="29"/>
        <v>120+ Days</v>
      </c>
      <c r="M364" s="11">
        <v>45444</v>
      </c>
      <c r="N364" s="11"/>
    </row>
    <row r="365" spans="1:14" x14ac:dyDescent="0.25">
      <c r="A365" s="13" t="s">
        <v>492</v>
      </c>
      <c r="B365" s="13" t="s">
        <v>95</v>
      </c>
      <c r="C365" s="14">
        <v>45448</v>
      </c>
      <c r="D365" s="14">
        <v>45478</v>
      </c>
      <c r="E365" s="14"/>
      <c r="F365" s="15">
        <v>20802.04</v>
      </c>
      <c r="G365" s="15">
        <v>0</v>
      </c>
      <c r="H365" s="15">
        <f t="shared" si="25"/>
        <v>20802.04</v>
      </c>
      <c r="I365" s="13" t="str">
        <f t="shared" si="26"/>
        <v/>
      </c>
      <c r="J365" s="13" t="str">
        <f t="shared" ca="1" si="27"/>
        <v>Overdue</v>
      </c>
      <c r="K365" s="13">
        <f t="shared" ca="1" si="28"/>
        <v>778</v>
      </c>
      <c r="L365" s="13" t="str">
        <f t="shared" ca="1" si="29"/>
        <v>120+ Days</v>
      </c>
      <c r="M365" s="14">
        <v>45444</v>
      </c>
      <c r="N365" s="14"/>
    </row>
    <row r="366" spans="1:14" x14ac:dyDescent="0.25">
      <c r="A366" s="10" t="s">
        <v>493</v>
      </c>
      <c r="B366" s="10" t="s">
        <v>87</v>
      </c>
      <c r="C366" s="11">
        <v>45445</v>
      </c>
      <c r="D366" s="11">
        <v>45475</v>
      </c>
      <c r="E366" s="11">
        <v>45475</v>
      </c>
      <c r="F366" s="12">
        <v>20281.27</v>
      </c>
      <c r="G366" s="12">
        <v>20281.27</v>
      </c>
      <c r="H366" s="12">
        <f t="shared" si="25"/>
        <v>0</v>
      </c>
      <c r="I366" s="10">
        <f t="shared" si="26"/>
        <v>0</v>
      </c>
      <c r="J366" s="10" t="str">
        <f t="shared" ca="1" si="27"/>
        <v>Paid</v>
      </c>
      <c r="K366" s="10">
        <f t="shared" ca="1" si="28"/>
        <v>0</v>
      </c>
      <c r="L366" s="10" t="str">
        <f t="shared" si="29"/>
        <v>Paid</v>
      </c>
      <c r="M366" s="11">
        <v>45444</v>
      </c>
      <c r="N366" s="11">
        <v>45474</v>
      </c>
    </row>
    <row r="367" spans="1:14" x14ac:dyDescent="0.25">
      <c r="A367" s="13" t="s">
        <v>494</v>
      </c>
      <c r="B367" s="13" t="s">
        <v>99</v>
      </c>
      <c r="C367" s="14">
        <v>45455</v>
      </c>
      <c r="D367" s="14">
        <v>45485</v>
      </c>
      <c r="E367" s="14">
        <v>45496</v>
      </c>
      <c r="F367" s="15">
        <v>27077.759999999998</v>
      </c>
      <c r="G367" s="15">
        <v>27077.759999999998</v>
      </c>
      <c r="H367" s="15">
        <f t="shared" si="25"/>
        <v>0</v>
      </c>
      <c r="I367" s="13">
        <f t="shared" si="26"/>
        <v>11</v>
      </c>
      <c r="J367" s="13" t="str">
        <f t="shared" ca="1" si="27"/>
        <v>Paid</v>
      </c>
      <c r="K367" s="13">
        <f t="shared" ca="1" si="28"/>
        <v>0</v>
      </c>
      <c r="L367" s="13" t="str">
        <f t="shared" si="29"/>
        <v>Paid</v>
      </c>
      <c r="M367" s="14">
        <v>45444</v>
      </c>
      <c r="N367" s="14">
        <v>45474</v>
      </c>
    </row>
    <row r="368" spans="1:14" x14ac:dyDescent="0.25">
      <c r="A368" s="10" t="s">
        <v>495</v>
      </c>
      <c r="B368" s="10" t="s">
        <v>125</v>
      </c>
      <c r="C368" s="11">
        <v>45466</v>
      </c>
      <c r="D368" s="11">
        <v>45496</v>
      </c>
      <c r="E368" s="11">
        <v>45496</v>
      </c>
      <c r="F368" s="12">
        <v>33980.65</v>
      </c>
      <c r="G368" s="12">
        <v>33980.65</v>
      </c>
      <c r="H368" s="12">
        <f t="shared" si="25"/>
        <v>0</v>
      </c>
      <c r="I368" s="10">
        <f t="shared" si="26"/>
        <v>0</v>
      </c>
      <c r="J368" s="10" t="str">
        <f t="shared" ca="1" si="27"/>
        <v>Paid</v>
      </c>
      <c r="K368" s="10">
        <f t="shared" ca="1" si="28"/>
        <v>0</v>
      </c>
      <c r="L368" s="10" t="str">
        <f t="shared" si="29"/>
        <v>Paid</v>
      </c>
      <c r="M368" s="11">
        <v>45444</v>
      </c>
      <c r="N368" s="11">
        <v>45474</v>
      </c>
    </row>
    <row r="369" spans="1:14" x14ac:dyDescent="0.25">
      <c r="A369" s="13" t="s">
        <v>496</v>
      </c>
      <c r="B369" s="13" t="s">
        <v>115</v>
      </c>
      <c r="C369" s="14">
        <v>45468</v>
      </c>
      <c r="D369" s="14">
        <v>45498</v>
      </c>
      <c r="E369" s="14">
        <v>45506</v>
      </c>
      <c r="F369" s="15">
        <v>114534.66</v>
      </c>
      <c r="G369" s="15">
        <v>114534.66</v>
      </c>
      <c r="H369" s="15">
        <f t="shared" si="25"/>
        <v>0</v>
      </c>
      <c r="I369" s="13">
        <f t="shared" si="26"/>
        <v>8</v>
      </c>
      <c r="J369" s="13" t="str">
        <f t="shared" ca="1" si="27"/>
        <v>Paid</v>
      </c>
      <c r="K369" s="13">
        <f t="shared" ca="1" si="28"/>
        <v>0</v>
      </c>
      <c r="L369" s="13" t="str">
        <f t="shared" si="29"/>
        <v>Paid</v>
      </c>
      <c r="M369" s="14">
        <v>45444</v>
      </c>
      <c r="N369" s="14">
        <v>45505</v>
      </c>
    </row>
    <row r="370" spans="1:14" x14ac:dyDescent="0.25">
      <c r="A370" s="10" t="s">
        <v>497</v>
      </c>
      <c r="B370" s="10" t="s">
        <v>153</v>
      </c>
      <c r="C370" s="11">
        <v>45464</v>
      </c>
      <c r="D370" s="11">
        <v>45494</v>
      </c>
      <c r="E370" s="11">
        <v>45494</v>
      </c>
      <c r="F370" s="12">
        <v>51609.99</v>
      </c>
      <c r="G370" s="12">
        <v>51609.99</v>
      </c>
      <c r="H370" s="12">
        <f t="shared" si="25"/>
        <v>0</v>
      </c>
      <c r="I370" s="10">
        <f t="shared" si="26"/>
        <v>0</v>
      </c>
      <c r="J370" s="10" t="str">
        <f t="shared" ca="1" si="27"/>
        <v>Paid</v>
      </c>
      <c r="K370" s="10">
        <f t="shared" ca="1" si="28"/>
        <v>0</v>
      </c>
      <c r="L370" s="10" t="str">
        <f t="shared" si="29"/>
        <v>Paid</v>
      </c>
      <c r="M370" s="11">
        <v>45444</v>
      </c>
      <c r="N370" s="11">
        <v>45474</v>
      </c>
    </row>
    <row r="371" spans="1:14" x14ac:dyDescent="0.25">
      <c r="A371" s="13" t="s">
        <v>498</v>
      </c>
      <c r="B371" s="13" t="s">
        <v>314</v>
      </c>
      <c r="C371" s="14">
        <v>45468</v>
      </c>
      <c r="D371" s="14">
        <v>45498</v>
      </c>
      <c r="E371" s="14"/>
      <c r="F371" s="15">
        <v>42858.54</v>
      </c>
      <c r="G371" s="15">
        <v>0</v>
      </c>
      <c r="H371" s="15">
        <f t="shared" si="25"/>
        <v>42858.54</v>
      </c>
      <c r="I371" s="13" t="str">
        <f t="shared" si="26"/>
        <v/>
      </c>
      <c r="J371" s="13" t="str">
        <f t="shared" ca="1" si="27"/>
        <v>Overdue</v>
      </c>
      <c r="K371" s="13">
        <f t="shared" ca="1" si="28"/>
        <v>758</v>
      </c>
      <c r="L371" s="13" t="str">
        <f t="shared" ca="1" si="29"/>
        <v>120+ Days</v>
      </c>
      <c r="M371" s="14">
        <v>45444</v>
      </c>
      <c r="N371" s="14"/>
    </row>
    <row r="372" spans="1:14" x14ac:dyDescent="0.25">
      <c r="A372" s="10" t="s">
        <v>499</v>
      </c>
      <c r="B372" s="10" t="s">
        <v>134</v>
      </c>
      <c r="C372" s="11">
        <v>45450</v>
      </c>
      <c r="D372" s="11">
        <v>45480</v>
      </c>
      <c r="E372" s="11">
        <v>45494</v>
      </c>
      <c r="F372" s="12">
        <v>78559.679999999993</v>
      </c>
      <c r="G372" s="12">
        <v>62545.53</v>
      </c>
      <c r="H372" s="12">
        <f t="shared" si="25"/>
        <v>16014.149999999994</v>
      </c>
      <c r="I372" s="10">
        <f t="shared" si="26"/>
        <v>14</v>
      </c>
      <c r="J372" s="10" t="str">
        <f t="shared" ca="1" si="27"/>
        <v>Overdue</v>
      </c>
      <c r="K372" s="10">
        <f t="shared" ca="1" si="28"/>
        <v>776</v>
      </c>
      <c r="L372" s="10" t="str">
        <f t="shared" ca="1" si="29"/>
        <v>120+ Days</v>
      </c>
      <c r="M372" s="11">
        <v>45444</v>
      </c>
      <c r="N372" s="11">
        <v>45474</v>
      </c>
    </row>
    <row r="373" spans="1:14" x14ac:dyDescent="0.25">
      <c r="A373" s="13" t="s">
        <v>500</v>
      </c>
      <c r="B373" s="13" t="s">
        <v>171</v>
      </c>
      <c r="C373" s="14">
        <v>45460</v>
      </c>
      <c r="D373" s="14">
        <v>45490</v>
      </c>
      <c r="E373" s="14"/>
      <c r="F373" s="15">
        <v>8414.2199999999993</v>
      </c>
      <c r="G373" s="15">
        <v>0</v>
      </c>
      <c r="H373" s="15">
        <f t="shared" si="25"/>
        <v>8414.2199999999993</v>
      </c>
      <c r="I373" s="13" t="str">
        <f t="shared" si="26"/>
        <v/>
      </c>
      <c r="J373" s="13" t="str">
        <f t="shared" ca="1" si="27"/>
        <v>Overdue</v>
      </c>
      <c r="K373" s="13">
        <f t="shared" ca="1" si="28"/>
        <v>766</v>
      </c>
      <c r="L373" s="13" t="str">
        <f t="shared" ca="1" si="29"/>
        <v>120+ Days</v>
      </c>
      <c r="M373" s="14">
        <v>45444</v>
      </c>
      <c r="N373" s="14"/>
    </row>
    <row r="374" spans="1:14" x14ac:dyDescent="0.25">
      <c r="A374" s="10" t="s">
        <v>501</v>
      </c>
      <c r="B374" s="10" t="s">
        <v>271</v>
      </c>
      <c r="C374" s="11">
        <v>45470</v>
      </c>
      <c r="D374" s="11">
        <v>45500</v>
      </c>
      <c r="E374" s="11"/>
      <c r="F374" s="12">
        <v>34419.85</v>
      </c>
      <c r="G374" s="12">
        <v>0</v>
      </c>
      <c r="H374" s="12">
        <f t="shared" si="25"/>
        <v>34419.85</v>
      </c>
      <c r="I374" s="10" t="str">
        <f t="shared" si="26"/>
        <v/>
      </c>
      <c r="J374" s="10" t="str">
        <f t="shared" ca="1" si="27"/>
        <v>Overdue</v>
      </c>
      <c r="K374" s="10">
        <f t="shared" ca="1" si="28"/>
        <v>756</v>
      </c>
      <c r="L374" s="10" t="str">
        <f t="shared" ca="1" si="29"/>
        <v>120+ Days</v>
      </c>
      <c r="M374" s="11">
        <v>45444</v>
      </c>
      <c r="N374" s="11"/>
    </row>
    <row r="375" spans="1:14" x14ac:dyDescent="0.25">
      <c r="A375" s="13" t="s">
        <v>502</v>
      </c>
      <c r="B375" s="13" t="s">
        <v>87</v>
      </c>
      <c r="C375" s="14">
        <v>45453</v>
      </c>
      <c r="D375" s="14">
        <v>45483</v>
      </c>
      <c r="E375" s="14">
        <v>45483</v>
      </c>
      <c r="F375" s="15">
        <v>73805.31</v>
      </c>
      <c r="G375" s="15">
        <v>73805.31</v>
      </c>
      <c r="H375" s="15">
        <f t="shared" si="25"/>
        <v>0</v>
      </c>
      <c r="I375" s="13">
        <f t="shared" si="26"/>
        <v>0</v>
      </c>
      <c r="J375" s="13" t="str">
        <f t="shared" ca="1" si="27"/>
        <v>Paid</v>
      </c>
      <c r="K375" s="13">
        <f t="shared" ca="1" si="28"/>
        <v>0</v>
      </c>
      <c r="L375" s="13" t="str">
        <f t="shared" si="29"/>
        <v>Paid</v>
      </c>
      <c r="M375" s="14">
        <v>45444</v>
      </c>
      <c r="N375" s="14">
        <v>45474</v>
      </c>
    </row>
    <row r="376" spans="1:14" x14ac:dyDescent="0.25">
      <c r="A376" s="10" t="s">
        <v>503</v>
      </c>
      <c r="B376" s="10" t="s">
        <v>274</v>
      </c>
      <c r="C376" s="11">
        <v>45456</v>
      </c>
      <c r="D376" s="11">
        <v>45486</v>
      </c>
      <c r="E376" s="11">
        <v>45518</v>
      </c>
      <c r="F376" s="12">
        <v>53610.75</v>
      </c>
      <c r="G376" s="12">
        <v>53610.75</v>
      </c>
      <c r="H376" s="12">
        <f t="shared" si="25"/>
        <v>0</v>
      </c>
      <c r="I376" s="10">
        <f t="shared" si="26"/>
        <v>32</v>
      </c>
      <c r="J376" s="10" t="str">
        <f t="shared" ca="1" si="27"/>
        <v>Paid</v>
      </c>
      <c r="K376" s="10">
        <f t="shared" ca="1" si="28"/>
        <v>0</v>
      </c>
      <c r="L376" s="10" t="str">
        <f t="shared" si="29"/>
        <v>Paid</v>
      </c>
      <c r="M376" s="11">
        <v>45444</v>
      </c>
      <c r="N376" s="11">
        <v>45505</v>
      </c>
    </row>
    <row r="377" spans="1:14" x14ac:dyDescent="0.25">
      <c r="A377" s="13" t="s">
        <v>504</v>
      </c>
      <c r="B377" s="13" t="s">
        <v>146</v>
      </c>
      <c r="C377" s="14">
        <v>45464</v>
      </c>
      <c r="D377" s="14">
        <v>45494</v>
      </c>
      <c r="E377" s="14">
        <v>45494</v>
      </c>
      <c r="F377" s="15">
        <v>20117.48</v>
      </c>
      <c r="G377" s="15">
        <v>20117.48</v>
      </c>
      <c r="H377" s="15">
        <f t="shared" si="25"/>
        <v>0</v>
      </c>
      <c r="I377" s="13">
        <f t="shared" si="26"/>
        <v>0</v>
      </c>
      <c r="J377" s="13" t="str">
        <f t="shared" ca="1" si="27"/>
        <v>Paid</v>
      </c>
      <c r="K377" s="13">
        <f t="shared" ca="1" si="28"/>
        <v>0</v>
      </c>
      <c r="L377" s="13" t="str">
        <f t="shared" si="29"/>
        <v>Paid</v>
      </c>
      <c r="M377" s="14">
        <v>45444</v>
      </c>
      <c r="N377" s="14">
        <v>45474</v>
      </c>
    </row>
    <row r="378" spans="1:14" x14ac:dyDescent="0.25">
      <c r="A378" s="10" t="s">
        <v>505</v>
      </c>
      <c r="B378" s="10" t="s">
        <v>79</v>
      </c>
      <c r="C378" s="11">
        <v>45458</v>
      </c>
      <c r="D378" s="11">
        <v>45488</v>
      </c>
      <c r="E378" s="11"/>
      <c r="F378" s="12">
        <v>57645.8</v>
      </c>
      <c r="G378" s="12">
        <v>0</v>
      </c>
      <c r="H378" s="12">
        <f t="shared" si="25"/>
        <v>57645.8</v>
      </c>
      <c r="I378" s="10" t="str">
        <f t="shared" si="26"/>
        <v/>
      </c>
      <c r="J378" s="10" t="str">
        <f t="shared" ca="1" si="27"/>
        <v>Overdue</v>
      </c>
      <c r="K378" s="10">
        <f t="shared" ca="1" si="28"/>
        <v>768</v>
      </c>
      <c r="L378" s="10" t="str">
        <f t="shared" ca="1" si="29"/>
        <v>120+ Days</v>
      </c>
      <c r="M378" s="11">
        <v>45444</v>
      </c>
      <c r="N378" s="11"/>
    </row>
    <row r="379" spans="1:14" x14ac:dyDescent="0.25">
      <c r="A379" s="13" t="s">
        <v>506</v>
      </c>
      <c r="B379" s="13" t="s">
        <v>91</v>
      </c>
      <c r="C379" s="14">
        <v>45464</v>
      </c>
      <c r="D379" s="14">
        <v>45494</v>
      </c>
      <c r="E379" s="14"/>
      <c r="F379" s="15">
        <v>87904.19</v>
      </c>
      <c r="G379" s="15">
        <v>0</v>
      </c>
      <c r="H379" s="15">
        <f t="shared" si="25"/>
        <v>87904.19</v>
      </c>
      <c r="I379" s="13" t="str">
        <f t="shared" si="26"/>
        <v/>
      </c>
      <c r="J379" s="13" t="str">
        <f t="shared" ca="1" si="27"/>
        <v>Overdue</v>
      </c>
      <c r="K379" s="13">
        <f t="shared" ca="1" si="28"/>
        <v>762</v>
      </c>
      <c r="L379" s="13" t="str">
        <f t="shared" ca="1" si="29"/>
        <v>120+ Days</v>
      </c>
      <c r="M379" s="14">
        <v>45444</v>
      </c>
      <c r="N379" s="14"/>
    </row>
    <row r="380" spans="1:14" x14ac:dyDescent="0.25">
      <c r="A380" s="10" t="s">
        <v>507</v>
      </c>
      <c r="B380" s="10" t="s">
        <v>224</v>
      </c>
      <c r="C380" s="11">
        <v>45470</v>
      </c>
      <c r="D380" s="11">
        <v>45500</v>
      </c>
      <c r="E380" s="11">
        <v>45505</v>
      </c>
      <c r="F380" s="12">
        <v>60594.38</v>
      </c>
      <c r="G380" s="12">
        <v>60594.38</v>
      </c>
      <c r="H380" s="12">
        <f t="shared" si="25"/>
        <v>0</v>
      </c>
      <c r="I380" s="10">
        <f t="shared" si="26"/>
        <v>5</v>
      </c>
      <c r="J380" s="10" t="str">
        <f t="shared" ca="1" si="27"/>
        <v>Paid</v>
      </c>
      <c r="K380" s="10">
        <f t="shared" ca="1" si="28"/>
        <v>0</v>
      </c>
      <c r="L380" s="10" t="str">
        <f t="shared" si="29"/>
        <v>Paid</v>
      </c>
      <c r="M380" s="11">
        <v>45444</v>
      </c>
      <c r="N380" s="11">
        <v>45505</v>
      </c>
    </row>
    <row r="381" spans="1:14" x14ac:dyDescent="0.25">
      <c r="A381" s="13" t="s">
        <v>508</v>
      </c>
      <c r="B381" s="13" t="s">
        <v>101</v>
      </c>
      <c r="C381" s="14">
        <v>45466</v>
      </c>
      <c r="D381" s="14">
        <v>45496</v>
      </c>
      <c r="E381" s="14">
        <v>45511</v>
      </c>
      <c r="F381" s="15">
        <v>33517.99</v>
      </c>
      <c r="G381" s="15">
        <v>33517.99</v>
      </c>
      <c r="H381" s="15">
        <f t="shared" si="25"/>
        <v>0</v>
      </c>
      <c r="I381" s="13">
        <f t="shared" si="26"/>
        <v>15</v>
      </c>
      <c r="J381" s="13" t="str">
        <f t="shared" ca="1" si="27"/>
        <v>Paid</v>
      </c>
      <c r="K381" s="13">
        <f t="shared" ca="1" si="28"/>
        <v>0</v>
      </c>
      <c r="L381" s="13" t="str">
        <f t="shared" si="29"/>
        <v>Paid</v>
      </c>
      <c r="M381" s="14">
        <v>45444</v>
      </c>
      <c r="N381" s="14">
        <v>45505</v>
      </c>
    </row>
    <row r="382" spans="1:14" x14ac:dyDescent="0.25">
      <c r="A382" s="10" t="s">
        <v>509</v>
      </c>
      <c r="B382" s="10" t="s">
        <v>70</v>
      </c>
      <c r="C382" s="11">
        <v>45460</v>
      </c>
      <c r="D382" s="11">
        <v>45490</v>
      </c>
      <c r="E382" s="11">
        <v>45490</v>
      </c>
      <c r="F382" s="12">
        <v>51697.02</v>
      </c>
      <c r="G382" s="12">
        <v>51697.02</v>
      </c>
      <c r="H382" s="12">
        <f t="shared" si="25"/>
        <v>0</v>
      </c>
      <c r="I382" s="10">
        <f t="shared" si="26"/>
        <v>0</v>
      </c>
      <c r="J382" s="10" t="str">
        <f t="shared" ca="1" si="27"/>
        <v>Paid</v>
      </c>
      <c r="K382" s="10">
        <f t="shared" ca="1" si="28"/>
        <v>0</v>
      </c>
      <c r="L382" s="10" t="str">
        <f t="shared" si="29"/>
        <v>Paid</v>
      </c>
      <c r="M382" s="11">
        <v>45444</v>
      </c>
      <c r="N382" s="11">
        <v>45474</v>
      </c>
    </row>
    <row r="383" spans="1:14" x14ac:dyDescent="0.25">
      <c r="A383" s="13" t="s">
        <v>510</v>
      </c>
      <c r="B383" s="13" t="s">
        <v>89</v>
      </c>
      <c r="C383" s="14">
        <v>45464</v>
      </c>
      <c r="D383" s="14">
        <v>45494</v>
      </c>
      <c r="E383" s="14">
        <v>45501</v>
      </c>
      <c r="F383" s="15">
        <v>27723.99</v>
      </c>
      <c r="G383" s="15">
        <v>27723.99</v>
      </c>
      <c r="H383" s="15">
        <f t="shared" si="25"/>
        <v>0</v>
      </c>
      <c r="I383" s="13">
        <f t="shared" si="26"/>
        <v>7</v>
      </c>
      <c r="J383" s="13" t="str">
        <f t="shared" ca="1" si="27"/>
        <v>Paid</v>
      </c>
      <c r="K383" s="13">
        <f t="shared" ca="1" si="28"/>
        <v>0</v>
      </c>
      <c r="L383" s="13" t="str">
        <f t="shared" si="29"/>
        <v>Paid</v>
      </c>
      <c r="M383" s="14">
        <v>45444</v>
      </c>
      <c r="N383" s="14">
        <v>45474</v>
      </c>
    </row>
    <row r="384" spans="1:14" x14ac:dyDescent="0.25">
      <c r="A384" s="10" t="s">
        <v>511</v>
      </c>
      <c r="B384" s="10" t="s">
        <v>159</v>
      </c>
      <c r="C384" s="11">
        <v>45445</v>
      </c>
      <c r="D384" s="11">
        <v>45475</v>
      </c>
      <c r="E384" s="11">
        <v>45551</v>
      </c>
      <c r="F384" s="12">
        <v>27021.71</v>
      </c>
      <c r="G384" s="12">
        <v>27021.71</v>
      </c>
      <c r="H384" s="12">
        <f t="shared" si="25"/>
        <v>0</v>
      </c>
      <c r="I384" s="10">
        <f t="shared" si="26"/>
        <v>76</v>
      </c>
      <c r="J384" s="10" t="str">
        <f t="shared" ca="1" si="27"/>
        <v>Paid</v>
      </c>
      <c r="K384" s="10">
        <f t="shared" ca="1" si="28"/>
        <v>0</v>
      </c>
      <c r="L384" s="10" t="str">
        <f t="shared" si="29"/>
        <v>Paid</v>
      </c>
      <c r="M384" s="11">
        <v>45444</v>
      </c>
      <c r="N384" s="11">
        <v>45536</v>
      </c>
    </row>
    <row r="385" spans="1:14" x14ac:dyDescent="0.25">
      <c r="A385" s="13" t="s">
        <v>512</v>
      </c>
      <c r="B385" s="13" t="s">
        <v>159</v>
      </c>
      <c r="C385" s="14">
        <v>45450</v>
      </c>
      <c r="D385" s="14">
        <v>45480</v>
      </c>
      <c r="E385" s="14"/>
      <c r="F385" s="15">
        <v>35235.32</v>
      </c>
      <c r="G385" s="15">
        <v>0</v>
      </c>
      <c r="H385" s="15">
        <f t="shared" si="25"/>
        <v>35235.32</v>
      </c>
      <c r="I385" s="13" t="str">
        <f t="shared" si="26"/>
        <v/>
      </c>
      <c r="J385" s="13" t="str">
        <f t="shared" ca="1" si="27"/>
        <v>Overdue</v>
      </c>
      <c r="K385" s="13">
        <f t="shared" ca="1" si="28"/>
        <v>776</v>
      </c>
      <c r="L385" s="13" t="str">
        <f t="shared" ca="1" si="29"/>
        <v>120+ Days</v>
      </c>
      <c r="M385" s="14">
        <v>45444</v>
      </c>
      <c r="N385" s="14"/>
    </row>
    <row r="386" spans="1:14" x14ac:dyDescent="0.25">
      <c r="A386" s="10" t="s">
        <v>513</v>
      </c>
      <c r="B386" s="10" t="s">
        <v>123</v>
      </c>
      <c r="C386" s="11">
        <v>45465</v>
      </c>
      <c r="D386" s="11">
        <v>45495</v>
      </c>
      <c r="E386" s="11">
        <v>45495</v>
      </c>
      <c r="F386" s="12">
        <v>41231.519999999997</v>
      </c>
      <c r="G386" s="12">
        <v>41231.519999999997</v>
      </c>
      <c r="H386" s="12">
        <f t="shared" ref="H386:H449" si="30">MAX(0,F386-G386)</f>
        <v>0</v>
      </c>
      <c r="I386" s="10">
        <f t="shared" ref="I386:I449" si="31">IF(E386="","",MAX(0,E386-D386))</f>
        <v>0</v>
      </c>
      <c r="J386" s="10" t="str">
        <f t="shared" ref="J386:J449" ca="1" si="32">IF(H386=0,"Paid",IF(D386&lt;TODAY(),"Overdue","Open"))</f>
        <v>Paid</v>
      </c>
      <c r="K386" s="10">
        <f t="shared" ref="K386:K449" ca="1" si="33">IF(H386=0,0,MAX(0,TODAY()-D386))</f>
        <v>0</v>
      </c>
      <c r="L386" s="10" t="str">
        <f t="shared" ref="L386:L449" si="34">IF(H386=0,"Paid",IF(K386&lt;=30,"0-30 Days",IF(K386&lt;=60,"31-60 Days",IF(K386&lt;=90,"61-90 Days",IF(K386&lt;=120,"91-120 Days","120+ Days")))))</f>
        <v>Paid</v>
      </c>
      <c r="M386" s="11">
        <v>45444</v>
      </c>
      <c r="N386" s="11">
        <v>45474</v>
      </c>
    </row>
    <row r="387" spans="1:14" x14ac:dyDescent="0.25">
      <c r="A387" s="13" t="s">
        <v>514</v>
      </c>
      <c r="B387" s="13" t="s">
        <v>340</v>
      </c>
      <c r="C387" s="14">
        <v>45455</v>
      </c>
      <c r="D387" s="14">
        <v>45485</v>
      </c>
      <c r="E387" s="14"/>
      <c r="F387" s="15">
        <v>26926.14</v>
      </c>
      <c r="G387" s="15">
        <v>0</v>
      </c>
      <c r="H387" s="15">
        <f t="shared" si="30"/>
        <v>26926.14</v>
      </c>
      <c r="I387" s="13" t="str">
        <f t="shared" si="31"/>
        <v/>
      </c>
      <c r="J387" s="13" t="str">
        <f t="shared" ca="1" si="32"/>
        <v>Overdue</v>
      </c>
      <c r="K387" s="13">
        <f t="shared" ca="1" si="33"/>
        <v>771</v>
      </c>
      <c r="L387" s="13" t="str">
        <f t="shared" ca="1" si="34"/>
        <v>120+ Days</v>
      </c>
      <c r="M387" s="14">
        <v>45444</v>
      </c>
      <c r="N387" s="14"/>
    </row>
    <row r="388" spans="1:14" x14ac:dyDescent="0.25">
      <c r="A388" s="10" t="s">
        <v>515</v>
      </c>
      <c r="B388" s="10" t="s">
        <v>146</v>
      </c>
      <c r="C388" s="11">
        <v>45450</v>
      </c>
      <c r="D388" s="11">
        <v>45480</v>
      </c>
      <c r="E388" s="11">
        <v>45480</v>
      </c>
      <c r="F388" s="12">
        <v>41736.559999999998</v>
      </c>
      <c r="G388" s="12">
        <v>41736.559999999998</v>
      </c>
      <c r="H388" s="12">
        <f t="shared" si="30"/>
        <v>0</v>
      </c>
      <c r="I388" s="10">
        <f t="shared" si="31"/>
        <v>0</v>
      </c>
      <c r="J388" s="10" t="str">
        <f t="shared" ca="1" si="32"/>
        <v>Paid</v>
      </c>
      <c r="K388" s="10">
        <f t="shared" ca="1" si="33"/>
        <v>0</v>
      </c>
      <c r="L388" s="10" t="str">
        <f t="shared" si="34"/>
        <v>Paid</v>
      </c>
      <c r="M388" s="11">
        <v>45444</v>
      </c>
      <c r="N388" s="11">
        <v>45474</v>
      </c>
    </row>
    <row r="389" spans="1:14" x14ac:dyDescent="0.25">
      <c r="A389" s="13" t="s">
        <v>516</v>
      </c>
      <c r="B389" s="13" t="s">
        <v>115</v>
      </c>
      <c r="C389" s="14">
        <v>45462</v>
      </c>
      <c r="D389" s="14">
        <v>45492</v>
      </c>
      <c r="E389" s="14">
        <v>45498</v>
      </c>
      <c r="F389" s="15">
        <v>33827.699999999997</v>
      </c>
      <c r="G389" s="15">
        <v>33827.699999999997</v>
      </c>
      <c r="H389" s="15">
        <f t="shared" si="30"/>
        <v>0</v>
      </c>
      <c r="I389" s="13">
        <f t="shared" si="31"/>
        <v>6</v>
      </c>
      <c r="J389" s="13" t="str">
        <f t="shared" ca="1" si="32"/>
        <v>Paid</v>
      </c>
      <c r="K389" s="13">
        <f t="shared" ca="1" si="33"/>
        <v>0</v>
      </c>
      <c r="L389" s="13" t="str">
        <f t="shared" si="34"/>
        <v>Paid</v>
      </c>
      <c r="M389" s="14">
        <v>45444</v>
      </c>
      <c r="N389" s="14">
        <v>45474</v>
      </c>
    </row>
    <row r="390" spans="1:14" x14ac:dyDescent="0.25">
      <c r="A390" s="10" t="s">
        <v>517</v>
      </c>
      <c r="B390" s="10" t="s">
        <v>140</v>
      </c>
      <c r="C390" s="11">
        <v>45450</v>
      </c>
      <c r="D390" s="11">
        <v>45480</v>
      </c>
      <c r="E390" s="11">
        <v>45487</v>
      </c>
      <c r="F390" s="12">
        <v>17163.16</v>
      </c>
      <c r="G390" s="12">
        <v>17163.16</v>
      </c>
      <c r="H390" s="12">
        <f t="shared" si="30"/>
        <v>0</v>
      </c>
      <c r="I390" s="10">
        <f t="shared" si="31"/>
        <v>7</v>
      </c>
      <c r="J390" s="10" t="str">
        <f t="shared" ca="1" si="32"/>
        <v>Paid</v>
      </c>
      <c r="K390" s="10">
        <f t="shared" ca="1" si="33"/>
        <v>0</v>
      </c>
      <c r="L390" s="10" t="str">
        <f t="shared" si="34"/>
        <v>Paid</v>
      </c>
      <c r="M390" s="11">
        <v>45444</v>
      </c>
      <c r="N390" s="11">
        <v>45474</v>
      </c>
    </row>
    <row r="391" spans="1:14" x14ac:dyDescent="0.25">
      <c r="A391" s="13" t="s">
        <v>518</v>
      </c>
      <c r="B391" s="13" t="s">
        <v>111</v>
      </c>
      <c r="C391" s="14">
        <v>45459</v>
      </c>
      <c r="D391" s="14">
        <v>45489</v>
      </c>
      <c r="E391" s="14">
        <v>45513</v>
      </c>
      <c r="F391" s="15">
        <v>11295.92</v>
      </c>
      <c r="G391" s="15">
        <v>11295.92</v>
      </c>
      <c r="H391" s="15">
        <f t="shared" si="30"/>
        <v>0</v>
      </c>
      <c r="I391" s="13">
        <f t="shared" si="31"/>
        <v>24</v>
      </c>
      <c r="J391" s="13" t="str">
        <f t="shared" ca="1" si="32"/>
        <v>Paid</v>
      </c>
      <c r="K391" s="13">
        <f t="shared" ca="1" si="33"/>
        <v>0</v>
      </c>
      <c r="L391" s="13" t="str">
        <f t="shared" si="34"/>
        <v>Paid</v>
      </c>
      <c r="M391" s="14">
        <v>45444</v>
      </c>
      <c r="N391" s="14">
        <v>45505</v>
      </c>
    </row>
    <row r="392" spans="1:14" x14ac:dyDescent="0.25">
      <c r="A392" s="10" t="s">
        <v>519</v>
      </c>
      <c r="B392" s="10" t="s">
        <v>72</v>
      </c>
      <c r="C392" s="11">
        <v>45459</v>
      </c>
      <c r="D392" s="11">
        <v>45489</v>
      </c>
      <c r="E392" s="11"/>
      <c r="F392" s="12">
        <v>35095.769999999997</v>
      </c>
      <c r="G392" s="12">
        <v>0</v>
      </c>
      <c r="H392" s="12">
        <f t="shared" si="30"/>
        <v>35095.769999999997</v>
      </c>
      <c r="I392" s="10" t="str">
        <f t="shared" si="31"/>
        <v/>
      </c>
      <c r="J392" s="10" t="str">
        <f t="shared" ca="1" si="32"/>
        <v>Overdue</v>
      </c>
      <c r="K392" s="10">
        <f t="shared" ca="1" si="33"/>
        <v>767</v>
      </c>
      <c r="L392" s="10" t="str">
        <f t="shared" ca="1" si="34"/>
        <v>120+ Days</v>
      </c>
      <c r="M392" s="11">
        <v>45444</v>
      </c>
      <c r="N392" s="11"/>
    </row>
    <row r="393" spans="1:14" x14ac:dyDescent="0.25">
      <c r="A393" s="13" t="s">
        <v>520</v>
      </c>
      <c r="B393" s="13" t="s">
        <v>89</v>
      </c>
      <c r="C393" s="14">
        <v>45464</v>
      </c>
      <c r="D393" s="14">
        <v>45494</v>
      </c>
      <c r="E393" s="14"/>
      <c r="F393" s="15">
        <v>35751.54</v>
      </c>
      <c r="G393" s="15">
        <v>0</v>
      </c>
      <c r="H393" s="15">
        <f t="shared" si="30"/>
        <v>35751.54</v>
      </c>
      <c r="I393" s="13" t="str">
        <f t="shared" si="31"/>
        <v/>
      </c>
      <c r="J393" s="13" t="str">
        <f t="shared" ca="1" si="32"/>
        <v>Overdue</v>
      </c>
      <c r="K393" s="13">
        <f t="shared" ca="1" si="33"/>
        <v>762</v>
      </c>
      <c r="L393" s="13" t="str">
        <f t="shared" ca="1" si="34"/>
        <v>120+ Days</v>
      </c>
      <c r="M393" s="14">
        <v>45444</v>
      </c>
      <c r="N393" s="14"/>
    </row>
    <row r="394" spans="1:14" x14ac:dyDescent="0.25">
      <c r="A394" s="10" t="s">
        <v>521</v>
      </c>
      <c r="B394" s="10" t="s">
        <v>340</v>
      </c>
      <c r="C394" s="11">
        <v>45446</v>
      </c>
      <c r="D394" s="11">
        <v>45476</v>
      </c>
      <c r="E394" s="11">
        <v>45489</v>
      </c>
      <c r="F394" s="12">
        <v>10515.56</v>
      </c>
      <c r="G394" s="12">
        <v>10515.56</v>
      </c>
      <c r="H394" s="12">
        <f t="shared" si="30"/>
        <v>0</v>
      </c>
      <c r="I394" s="10">
        <f t="shared" si="31"/>
        <v>13</v>
      </c>
      <c r="J394" s="10" t="str">
        <f t="shared" ca="1" si="32"/>
        <v>Paid</v>
      </c>
      <c r="K394" s="10">
        <f t="shared" ca="1" si="33"/>
        <v>0</v>
      </c>
      <c r="L394" s="10" t="str">
        <f t="shared" si="34"/>
        <v>Paid</v>
      </c>
      <c r="M394" s="11">
        <v>45444</v>
      </c>
      <c r="N394" s="11">
        <v>45474</v>
      </c>
    </row>
    <row r="395" spans="1:14" x14ac:dyDescent="0.25">
      <c r="A395" s="13" t="s">
        <v>522</v>
      </c>
      <c r="B395" s="13" t="s">
        <v>131</v>
      </c>
      <c r="C395" s="14">
        <v>45459</v>
      </c>
      <c r="D395" s="14">
        <v>45489</v>
      </c>
      <c r="E395" s="14">
        <v>45493</v>
      </c>
      <c r="F395" s="15">
        <v>17808.96</v>
      </c>
      <c r="G395" s="15">
        <v>17808.96</v>
      </c>
      <c r="H395" s="15">
        <f t="shared" si="30"/>
        <v>0</v>
      </c>
      <c r="I395" s="13">
        <f t="shared" si="31"/>
        <v>4</v>
      </c>
      <c r="J395" s="13" t="str">
        <f t="shared" ca="1" si="32"/>
        <v>Paid</v>
      </c>
      <c r="K395" s="13">
        <f t="shared" ca="1" si="33"/>
        <v>0</v>
      </c>
      <c r="L395" s="13" t="str">
        <f t="shared" si="34"/>
        <v>Paid</v>
      </c>
      <c r="M395" s="14">
        <v>45444</v>
      </c>
      <c r="N395" s="14">
        <v>45474</v>
      </c>
    </row>
    <row r="396" spans="1:14" x14ac:dyDescent="0.25">
      <c r="A396" s="10" t="s">
        <v>523</v>
      </c>
      <c r="B396" s="10" t="s">
        <v>109</v>
      </c>
      <c r="C396" s="11">
        <v>45455</v>
      </c>
      <c r="D396" s="11">
        <v>45485</v>
      </c>
      <c r="E396" s="11"/>
      <c r="F396" s="12">
        <v>25558.69</v>
      </c>
      <c r="G396" s="12">
        <v>0</v>
      </c>
      <c r="H396" s="12">
        <f t="shared" si="30"/>
        <v>25558.69</v>
      </c>
      <c r="I396" s="10" t="str">
        <f t="shared" si="31"/>
        <v/>
      </c>
      <c r="J396" s="10" t="str">
        <f t="shared" ca="1" si="32"/>
        <v>Overdue</v>
      </c>
      <c r="K396" s="10">
        <f t="shared" ca="1" si="33"/>
        <v>771</v>
      </c>
      <c r="L396" s="10" t="str">
        <f t="shared" ca="1" si="34"/>
        <v>120+ Days</v>
      </c>
      <c r="M396" s="11">
        <v>45444</v>
      </c>
      <c r="N396" s="11"/>
    </row>
    <row r="397" spans="1:14" x14ac:dyDescent="0.25">
      <c r="A397" s="13" t="s">
        <v>524</v>
      </c>
      <c r="B397" s="13" t="s">
        <v>129</v>
      </c>
      <c r="C397" s="14">
        <v>45448</v>
      </c>
      <c r="D397" s="14">
        <v>45478</v>
      </c>
      <c r="E397" s="14"/>
      <c r="F397" s="15">
        <v>45545.51</v>
      </c>
      <c r="G397" s="15">
        <v>0</v>
      </c>
      <c r="H397" s="15">
        <f t="shared" si="30"/>
        <v>45545.51</v>
      </c>
      <c r="I397" s="13" t="str">
        <f t="shared" si="31"/>
        <v/>
      </c>
      <c r="J397" s="13" t="str">
        <f t="shared" ca="1" si="32"/>
        <v>Overdue</v>
      </c>
      <c r="K397" s="13">
        <f t="shared" ca="1" si="33"/>
        <v>778</v>
      </c>
      <c r="L397" s="13" t="str">
        <f t="shared" ca="1" si="34"/>
        <v>120+ Days</v>
      </c>
      <c r="M397" s="14">
        <v>45444</v>
      </c>
      <c r="N397" s="14"/>
    </row>
    <row r="398" spans="1:14" x14ac:dyDescent="0.25">
      <c r="A398" s="10" t="s">
        <v>525</v>
      </c>
      <c r="B398" s="10" t="s">
        <v>463</v>
      </c>
      <c r="C398" s="11">
        <v>45455</v>
      </c>
      <c r="D398" s="11">
        <v>45485</v>
      </c>
      <c r="E398" s="11">
        <v>45491</v>
      </c>
      <c r="F398" s="12">
        <v>90923.39</v>
      </c>
      <c r="G398" s="12">
        <v>90923.39</v>
      </c>
      <c r="H398" s="12">
        <f t="shared" si="30"/>
        <v>0</v>
      </c>
      <c r="I398" s="10">
        <f t="shared" si="31"/>
        <v>6</v>
      </c>
      <c r="J398" s="10" t="str">
        <f t="shared" ca="1" si="32"/>
        <v>Paid</v>
      </c>
      <c r="K398" s="10">
        <f t="shared" ca="1" si="33"/>
        <v>0</v>
      </c>
      <c r="L398" s="10" t="str">
        <f t="shared" si="34"/>
        <v>Paid</v>
      </c>
      <c r="M398" s="11">
        <v>45444</v>
      </c>
      <c r="N398" s="11">
        <v>45474</v>
      </c>
    </row>
    <row r="399" spans="1:14" x14ac:dyDescent="0.25">
      <c r="A399" s="13" t="s">
        <v>526</v>
      </c>
      <c r="B399" s="13" t="s">
        <v>138</v>
      </c>
      <c r="C399" s="14">
        <v>45470</v>
      </c>
      <c r="D399" s="14">
        <v>45500</v>
      </c>
      <c r="E399" s="14">
        <v>45502</v>
      </c>
      <c r="F399" s="15">
        <v>76534.5</v>
      </c>
      <c r="G399" s="15">
        <v>76534.5</v>
      </c>
      <c r="H399" s="15">
        <f t="shared" si="30"/>
        <v>0</v>
      </c>
      <c r="I399" s="13">
        <f t="shared" si="31"/>
        <v>2</v>
      </c>
      <c r="J399" s="13" t="str">
        <f t="shared" ca="1" si="32"/>
        <v>Paid</v>
      </c>
      <c r="K399" s="13">
        <f t="shared" ca="1" si="33"/>
        <v>0</v>
      </c>
      <c r="L399" s="13" t="str">
        <f t="shared" si="34"/>
        <v>Paid</v>
      </c>
      <c r="M399" s="14">
        <v>45444</v>
      </c>
      <c r="N399" s="14">
        <v>45474</v>
      </c>
    </row>
    <row r="400" spans="1:14" x14ac:dyDescent="0.25">
      <c r="A400" s="10" t="s">
        <v>527</v>
      </c>
      <c r="B400" s="10" t="s">
        <v>220</v>
      </c>
      <c r="C400" s="11">
        <v>45446</v>
      </c>
      <c r="D400" s="11">
        <v>45476</v>
      </c>
      <c r="E400" s="11">
        <v>45506</v>
      </c>
      <c r="F400" s="12">
        <v>80576.84</v>
      </c>
      <c r="G400" s="12">
        <v>80576.84</v>
      </c>
      <c r="H400" s="12">
        <f t="shared" si="30"/>
        <v>0</v>
      </c>
      <c r="I400" s="10">
        <f t="shared" si="31"/>
        <v>30</v>
      </c>
      <c r="J400" s="10" t="str">
        <f t="shared" ca="1" si="32"/>
        <v>Paid</v>
      </c>
      <c r="K400" s="10">
        <f t="shared" ca="1" si="33"/>
        <v>0</v>
      </c>
      <c r="L400" s="10" t="str">
        <f t="shared" si="34"/>
        <v>Paid</v>
      </c>
      <c r="M400" s="11">
        <v>45444</v>
      </c>
      <c r="N400" s="11">
        <v>45505</v>
      </c>
    </row>
    <row r="401" spans="1:14" x14ac:dyDescent="0.25">
      <c r="A401" s="13" t="s">
        <v>528</v>
      </c>
      <c r="B401" s="13" t="s">
        <v>70</v>
      </c>
      <c r="C401" s="14">
        <v>45449</v>
      </c>
      <c r="D401" s="14">
        <v>45479</v>
      </c>
      <c r="E401" s="14">
        <v>45482</v>
      </c>
      <c r="F401" s="15">
        <v>30912.3</v>
      </c>
      <c r="G401" s="15">
        <v>25391.22</v>
      </c>
      <c r="H401" s="15">
        <f t="shared" si="30"/>
        <v>5521.0799999999981</v>
      </c>
      <c r="I401" s="13">
        <f t="shared" si="31"/>
        <v>3</v>
      </c>
      <c r="J401" s="13" t="str">
        <f t="shared" ca="1" si="32"/>
        <v>Overdue</v>
      </c>
      <c r="K401" s="13">
        <f t="shared" ca="1" si="33"/>
        <v>777</v>
      </c>
      <c r="L401" s="13" t="str">
        <f t="shared" ca="1" si="34"/>
        <v>120+ Days</v>
      </c>
      <c r="M401" s="14">
        <v>45444</v>
      </c>
      <c r="N401" s="14">
        <v>45474</v>
      </c>
    </row>
    <row r="402" spans="1:14" x14ac:dyDescent="0.25">
      <c r="A402" s="10" t="s">
        <v>529</v>
      </c>
      <c r="B402" s="10" t="s">
        <v>198</v>
      </c>
      <c r="C402" s="11">
        <v>45468</v>
      </c>
      <c r="D402" s="11">
        <v>45498</v>
      </c>
      <c r="E402" s="11">
        <v>45498</v>
      </c>
      <c r="F402" s="12">
        <v>37293.78</v>
      </c>
      <c r="G402" s="12">
        <v>37293.78</v>
      </c>
      <c r="H402" s="12">
        <f t="shared" si="30"/>
        <v>0</v>
      </c>
      <c r="I402" s="10">
        <f t="shared" si="31"/>
        <v>0</v>
      </c>
      <c r="J402" s="10" t="str">
        <f t="shared" ca="1" si="32"/>
        <v>Paid</v>
      </c>
      <c r="K402" s="10">
        <f t="shared" ca="1" si="33"/>
        <v>0</v>
      </c>
      <c r="L402" s="10" t="str">
        <f t="shared" si="34"/>
        <v>Paid</v>
      </c>
      <c r="M402" s="11">
        <v>45444</v>
      </c>
      <c r="N402" s="11">
        <v>45474</v>
      </c>
    </row>
    <row r="403" spans="1:14" x14ac:dyDescent="0.25">
      <c r="A403" s="13" t="s">
        <v>530</v>
      </c>
      <c r="B403" s="13" t="s">
        <v>314</v>
      </c>
      <c r="C403" s="14">
        <v>45457</v>
      </c>
      <c r="D403" s="14">
        <v>45487</v>
      </c>
      <c r="E403" s="14"/>
      <c r="F403" s="15">
        <v>180000</v>
      </c>
      <c r="G403" s="15">
        <v>0</v>
      </c>
      <c r="H403" s="15">
        <f t="shared" si="30"/>
        <v>180000</v>
      </c>
      <c r="I403" s="13" t="str">
        <f t="shared" si="31"/>
        <v/>
      </c>
      <c r="J403" s="13" t="str">
        <f t="shared" ca="1" si="32"/>
        <v>Overdue</v>
      </c>
      <c r="K403" s="13">
        <f t="shared" ca="1" si="33"/>
        <v>769</v>
      </c>
      <c r="L403" s="13" t="str">
        <f t="shared" ca="1" si="34"/>
        <v>120+ Days</v>
      </c>
      <c r="M403" s="14">
        <v>45444</v>
      </c>
      <c r="N403" s="14"/>
    </row>
    <row r="404" spans="1:14" x14ac:dyDescent="0.25">
      <c r="A404" s="10" t="s">
        <v>531</v>
      </c>
      <c r="B404" s="10" t="s">
        <v>171</v>
      </c>
      <c r="C404" s="11">
        <v>45454</v>
      </c>
      <c r="D404" s="11">
        <v>45484</v>
      </c>
      <c r="E404" s="11">
        <v>45499</v>
      </c>
      <c r="F404" s="12">
        <v>45624.81</v>
      </c>
      <c r="G404" s="12">
        <v>45624.81</v>
      </c>
      <c r="H404" s="12">
        <f t="shared" si="30"/>
        <v>0</v>
      </c>
      <c r="I404" s="10">
        <f t="shared" si="31"/>
        <v>15</v>
      </c>
      <c r="J404" s="10" t="str">
        <f t="shared" ca="1" si="32"/>
        <v>Paid</v>
      </c>
      <c r="K404" s="10">
        <f t="shared" ca="1" si="33"/>
        <v>0</v>
      </c>
      <c r="L404" s="10" t="str">
        <f t="shared" si="34"/>
        <v>Paid</v>
      </c>
      <c r="M404" s="11">
        <v>45444</v>
      </c>
      <c r="N404" s="11">
        <v>45474</v>
      </c>
    </row>
    <row r="405" spans="1:14" x14ac:dyDescent="0.25">
      <c r="A405" s="13" t="s">
        <v>532</v>
      </c>
      <c r="B405" s="13" t="s">
        <v>74</v>
      </c>
      <c r="C405" s="14">
        <v>45465</v>
      </c>
      <c r="D405" s="14">
        <v>45495</v>
      </c>
      <c r="E405" s="14">
        <v>45504</v>
      </c>
      <c r="F405" s="15">
        <v>58047.69</v>
      </c>
      <c r="G405" s="15">
        <v>58047.69</v>
      </c>
      <c r="H405" s="15">
        <f t="shared" si="30"/>
        <v>0</v>
      </c>
      <c r="I405" s="13">
        <f t="shared" si="31"/>
        <v>9</v>
      </c>
      <c r="J405" s="13" t="str">
        <f t="shared" ca="1" si="32"/>
        <v>Paid</v>
      </c>
      <c r="K405" s="13">
        <f t="shared" ca="1" si="33"/>
        <v>0</v>
      </c>
      <c r="L405" s="13" t="str">
        <f t="shared" si="34"/>
        <v>Paid</v>
      </c>
      <c r="M405" s="14">
        <v>45444</v>
      </c>
      <c r="N405" s="14">
        <v>45474</v>
      </c>
    </row>
    <row r="406" spans="1:14" x14ac:dyDescent="0.25">
      <c r="A406" s="10" t="s">
        <v>533</v>
      </c>
      <c r="B406" s="10" t="s">
        <v>119</v>
      </c>
      <c r="C406" s="11">
        <v>45461</v>
      </c>
      <c r="D406" s="11">
        <v>45491</v>
      </c>
      <c r="E406" s="11">
        <v>45521</v>
      </c>
      <c r="F406" s="12">
        <v>71155.92</v>
      </c>
      <c r="G406" s="12">
        <v>71155.92</v>
      </c>
      <c r="H406" s="12">
        <f t="shared" si="30"/>
        <v>0</v>
      </c>
      <c r="I406" s="10">
        <f t="shared" si="31"/>
        <v>30</v>
      </c>
      <c r="J406" s="10" t="str">
        <f t="shared" ca="1" si="32"/>
        <v>Paid</v>
      </c>
      <c r="K406" s="10">
        <f t="shared" ca="1" si="33"/>
        <v>0</v>
      </c>
      <c r="L406" s="10" t="str">
        <f t="shared" si="34"/>
        <v>Paid</v>
      </c>
      <c r="M406" s="11">
        <v>45444</v>
      </c>
      <c r="N406" s="11">
        <v>45505</v>
      </c>
    </row>
    <row r="407" spans="1:14" x14ac:dyDescent="0.25">
      <c r="A407" s="13" t="s">
        <v>534</v>
      </c>
      <c r="B407" s="13" t="s">
        <v>136</v>
      </c>
      <c r="C407" s="14">
        <v>45458</v>
      </c>
      <c r="D407" s="14">
        <v>45488</v>
      </c>
      <c r="E407" s="14">
        <v>45503</v>
      </c>
      <c r="F407" s="15">
        <v>69065.72</v>
      </c>
      <c r="G407" s="15">
        <v>69065.72</v>
      </c>
      <c r="H407" s="15">
        <f t="shared" si="30"/>
        <v>0</v>
      </c>
      <c r="I407" s="13">
        <f t="shared" si="31"/>
        <v>15</v>
      </c>
      <c r="J407" s="13" t="str">
        <f t="shared" ca="1" si="32"/>
        <v>Paid</v>
      </c>
      <c r="K407" s="13">
        <f t="shared" ca="1" si="33"/>
        <v>0</v>
      </c>
      <c r="L407" s="13" t="str">
        <f t="shared" si="34"/>
        <v>Paid</v>
      </c>
      <c r="M407" s="14">
        <v>45444</v>
      </c>
      <c r="N407" s="14">
        <v>45474</v>
      </c>
    </row>
    <row r="408" spans="1:14" x14ac:dyDescent="0.25">
      <c r="A408" s="10" t="s">
        <v>535</v>
      </c>
      <c r="B408" s="10" t="s">
        <v>70</v>
      </c>
      <c r="C408" s="11">
        <v>45445</v>
      </c>
      <c r="D408" s="11">
        <v>45475</v>
      </c>
      <c r="E408" s="11">
        <v>45486</v>
      </c>
      <c r="F408" s="12">
        <v>41368.129999999997</v>
      </c>
      <c r="G408" s="12">
        <v>41368.129999999997</v>
      </c>
      <c r="H408" s="12">
        <f t="shared" si="30"/>
        <v>0</v>
      </c>
      <c r="I408" s="10">
        <f t="shared" si="31"/>
        <v>11</v>
      </c>
      <c r="J408" s="10" t="str">
        <f t="shared" ca="1" si="32"/>
        <v>Paid</v>
      </c>
      <c r="K408" s="10">
        <f t="shared" ca="1" si="33"/>
        <v>0</v>
      </c>
      <c r="L408" s="10" t="str">
        <f t="shared" si="34"/>
        <v>Paid</v>
      </c>
      <c r="M408" s="11">
        <v>45444</v>
      </c>
      <c r="N408" s="11">
        <v>45474</v>
      </c>
    </row>
    <row r="409" spans="1:14" x14ac:dyDescent="0.25">
      <c r="A409" s="13" t="s">
        <v>536</v>
      </c>
      <c r="B409" s="13" t="s">
        <v>463</v>
      </c>
      <c r="C409" s="14">
        <v>45448</v>
      </c>
      <c r="D409" s="14">
        <v>45478</v>
      </c>
      <c r="E409" s="14">
        <v>45485</v>
      </c>
      <c r="F409" s="15">
        <v>14459.82</v>
      </c>
      <c r="G409" s="15">
        <v>14459.82</v>
      </c>
      <c r="H409" s="15">
        <f t="shared" si="30"/>
        <v>0</v>
      </c>
      <c r="I409" s="13">
        <f t="shared" si="31"/>
        <v>7</v>
      </c>
      <c r="J409" s="13" t="str">
        <f t="shared" ca="1" si="32"/>
        <v>Paid</v>
      </c>
      <c r="K409" s="13">
        <f t="shared" ca="1" si="33"/>
        <v>0</v>
      </c>
      <c r="L409" s="13" t="str">
        <f t="shared" si="34"/>
        <v>Paid</v>
      </c>
      <c r="M409" s="14">
        <v>45444</v>
      </c>
      <c r="N409" s="14">
        <v>45474</v>
      </c>
    </row>
    <row r="410" spans="1:14" x14ac:dyDescent="0.25">
      <c r="A410" s="10" t="s">
        <v>537</v>
      </c>
      <c r="B410" s="10" t="s">
        <v>123</v>
      </c>
      <c r="C410" s="11">
        <v>45469</v>
      </c>
      <c r="D410" s="11">
        <v>45499</v>
      </c>
      <c r="E410" s="11">
        <v>45513</v>
      </c>
      <c r="F410" s="12">
        <v>34129.589999999997</v>
      </c>
      <c r="G410" s="12">
        <v>34129.589999999997</v>
      </c>
      <c r="H410" s="12">
        <f t="shared" si="30"/>
        <v>0</v>
      </c>
      <c r="I410" s="10">
        <f t="shared" si="31"/>
        <v>14</v>
      </c>
      <c r="J410" s="10" t="str">
        <f t="shared" ca="1" si="32"/>
        <v>Paid</v>
      </c>
      <c r="K410" s="10">
        <f t="shared" ca="1" si="33"/>
        <v>0</v>
      </c>
      <c r="L410" s="10" t="str">
        <f t="shared" si="34"/>
        <v>Paid</v>
      </c>
      <c r="M410" s="11">
        <v>45444</v>
      </c>
      <c r="N410" s="11">
        <v>45505</v>
      </c>
    </row>
    <row r="411" spans="1:14" x14ac:dyDescent="0.25">
      <c r="A411" s="13" t="s">
        <v>538</v>
      </c>
      <c r="B411" s="13" t="s">
        <v>131</v>
      </c>
      <c r="C411" s="14">
        <v>45448</v>
      </c>
      <c r="D411" s="14">
        <v>45478</v>
      </c>
      <c r="E411" s="14">
        <v>45478</v>
      </c>
      <c r="F411" s="15">
        <v>29629.52</v>
      </c>
      <c r="G411" s="15">
        <v>29629.52</v>
      </c>
      <c r="H411" s="15">
        <f t="shared" si="30"/>
        <v>0</v>
      </c>
      <c r="I411" s="13">
        <f t="shared" si="31"/>
        <v>0</v>
      </c>
      <c r="J411" s="13" t="str">
        <f t="shared" ca="1" si="32"/>
        <v>Paid</v>
      </c>
      <c r="K411" s="13">
        <f t="shared" ca="1" si="33"/>
        <v>0</v>
      </c>
      <c r="L411" s="13" t="str">
        <f t="shared" si="34"/>
        <v>Paid</v>
      </c>
      <c r="M411" s="14">
        <v>45444</v>
      </c>
      <c r="N411" s="14">
        <v>45474</v>
      </c>
    </row>
    <row r="412" spans="1:14" x14ac:dyDescent="0.25">
      <c r="A412" s="10" t="s">
        <v>539</v>
      </c>
      <c r="B412" s="10" t="s">
        <v>89</v>
      </c>
      <c r="C412" s="11">
        <v>45464</v>
      </c>
      <c r="D412" s="11">
        <v>45494</v>
      </c>
      <c r="E412" s="11">
        <v>45539</v>
      </c>
      <c r="F412" s="12">
        <v>39316.589999999997</v>
      </c>
      <c r="G412" s="12">
        <v>39316.589999999997</v>
      </c>
      <c r="H412" s="12">
        <f t="shared" si="30"/>
        <v>0</v>
      </c>
      <c r="I412" s="10">
        <f t="shared" si="31"/>
        <v>45</v>
      </c>
      <c r="J412" s="10" t="str">
        <f t="shared" ca="1" si="32"/>
        <v>Paid</v>
      </c>
      <c r="K412" s="10">
        <f t="shared" ca="1" si="33"/>
        <v>0</v>
      </c>
      <c r="L412" s="10" t="str">
        <f t="shared" si="34"/>
        <v>Paid</v>
      </c>
      <c r="M412" s="11">
        <v>45444</v>
      </c>
      <c r="N412" s="11">
        <v>45536</v>
      </c>
    </row>
    <row r="413" spans="1:14" x14ac:dyDescent="0.25">
      <c r="A413" s="13" t="s">
        <v>540</v>
      </c>
      <c r="B413" s="13" t="s">
        <v>222</v>
      </c>
      <c r="C413" s="14">
        <v>45467</v>
      </c>
      <c r="D413" s="14">
        <v>45497</v>
      </c>
      <c r="E413" s="14"/>
      <c r="F413" s="15">
        <v>26061.74</v>
      </c>
      <c r="G413" s="15">
        <v>0</v>
      </c>
      <c r="H413" s="15">
        <f t="shared" si="30"/>
        <v>26061.74</v>
      </c>
      <c r="I413" s="13" t="str">
        <f t="shared" si="31"/>
        <v/>
      </c>
      <c r="J413" s="13" t="str">
        <f t="shared" ca="1" si="32"/>
        <v>Overdue</v>
      </c>
      <c r="K413" s="13">
        <f t="shared" ca="1" si="33"/>
        <v>759</v>
      </c>
      <c r="L413" s="13" t="str">
        <f t="shared" ca="1" si="34"/>
        <v>120+ Days</v>
      </c>
      <c r="M413" s="14">
        <v>45444</v>
      </c>
      <c r="N413" s="14"/>
    </row>
    <row r="414" spans="1:14" x14ac:dyDescent="0.25">
      <c r="A414" s="10" t="s">
        <v>541</v>
      </c>
      <c r="B414" s="10" t="s">
        <v>140</v>
      </c>
      <c r="C414" s="11">
        <v>45454</v>
      </c>
      <c r="D414" s="11">
        <v>45484</v>
      </c>
      <c r="E414" s="11">
        <v>45485</v>
      </c>
      <c r="F414" s="12">
        <v>76886.5</v>
      </c>
      <c r="G414" s="12">
        <v>76886.5</v>
      </c>
      <c r="H414" s="12">
        <f t="shared" si="30"/>
        <v>0</v>
      </c>
      <c r="I414" s="10">
        <f t="shared" si="31"/>
        <v>1</v>
      </c>
      <c r="J414" s="10" t="str">
        <f t="shared" ca="1" si="32"/>
        <v>Paid</v>
      </c>
      <c r="K414" s="10">
        <f t="shared" ca="1" si="33"/>
        <v>0</v>
      </c>
      <c r="L414" s="10" t="str">
        <f t="shared" si="34"/>
        <v>Paid</v>
      </c>
      <c r="M414" s="11">
        <v>45444</v>
      </c>
      <c r="N414" s="11">
        <v>45474</v>
      </c>
    </row>
    <row r="415" spans="1:14" x14ac:dyDescent="0.25">
      <c r="A415" s="13" t="s">
        <v>542</v>
      </c>
      <c r="B415" s="13" t="s">
        <v>131</v>
      </c>
      <c r="C415" s="14">
        <v>45450</v>
      </c>
      <c r="D415" s="14">
        <v>45480</v>
      </c>
      <c r="E415" s="14">
        <v>45480</v>
      </c>
      <c r="F415" s="15">
        <v>16123.81</v>
      </c>
      <c r="G415" s="15">
        <v>16123.81</v>
      </c>
      <c r="H415" s="15">
        <f t="shared" si="30"/>
        <v>0</v>
      </c>
      <c r="I415" s="13">
        <f t="shared" si="31"/>
        <v>0</v>
      </c>
      <c r="J415" s="13" t="str">
        <f t="shared" ca="1" si="32"/>
        <v>Paid</v>
      </c>
      <c r="K415" s="13">
        <f t="shared" ca="1" si="33"/>
        <v>0</v>
      </c>
      <c r="L415" s="13" t="str">
        <f t="shared" si="34"/>
        <v>Paid</v>
      </c>
      <c r="M415" s="14">
        <v>45444</v>
      </c>
      <c r="N415" s="14">
        <v>45474</v>
      </c>
    </row>
    <row r="416" spans="1:14" x14ac:dyDescent="0.25">
      <c r="A416" s="10" t="s">
        <v>543</v>
      </c>
      <c r="B416" s="10" t="s">
        <v>171</v>
      </c>
      <c r="C416" s="11">
        <v>45458</v>
      </c>
      <c r="D416" s="11">
        <v>45488</v>
      </c>
      <c r="E416" s="11"/>
      <c r="F416" s="12">
        <v>57727.45</v>
      </c>
      <c r="G416" s="12">
        <v>0</v>
      </c>
      <c r="H416" s="12">
        <f t="shared" si="30"/>
        <v>57727.45</v>
      </c>
      <c r="I416" s="10" t="str">
        <f t="shared" si="31"/>
        <v/>
      </c>
      <c r="J416" s="10" t="str">
        <f t="shared" ca="1" si="32"/>
        <v>Overdue</v>
      </c>
      <c r="K416" s="10">
        <f t="shared" ca="1" si="33"/>
        <v>768</v>
      </c>
      <c r="L416" s="10" t="str">
        <f t="shared" ca="1" si="34"/>
        <v>120+ Days</v>
      </c>
      <c r="M416" s="11">
        <v>45444</v>
      </c>
      <c r="N416" s="11"/>
    </row>
    <row r="417" spans="1:14" x14ac:dyDescent="0.25">
      <c r="A417" s="13" t="s">
        <v>544</v>
      </c>
      <c r="B417" s="13" t="s">
        <v>111</v>
      </c>
      <c r="C417" s="14">
        <v>45497</v>
      </c>
      <c r="D417" s="14">
        <v>45527</v>
      </c>
      <c r="E417" s="14">
        <v>45568</v>
      </c>
      <c r="F417" s="15">
        <v>16076.43</v>
      </c>
      <c r="G417" s="15">
        <v>7669.68</v>
      </c>
      <c r="H417" s="15">
        <f t="shared" si="30"/>
        <v>8406.75</v>
      </c>
      <c r="I417" s="13">
        <f t="shared" si="31"/>
        <v>41</v>
      </c>
      <c r="J417" s="13" t="str">
        <f t="shared" ca="1" si="32"/>
        <v>Overdue</v>
      </c>
      <c r="K417" s="13">
        <f t="shared" ca="1" si="33"/>
        <v>729</v>
      </c>
      <c r="L417" s="13" t="str">
        <f t="shared" ca="1" si="34"/>
        <v>120+ Days</v>
      </c>
      <c r="M417" s="14">
        <v>45474</v>
      </c>
      <c r="N417" s="14">
        <v>45566</v>
      </c>
    </row>
    <row r="418" spans="1:14" x14ac:dyDescent="0.25">
      <c r="A418" s="10" t="s">
        <v>545</v>
      </c>
      <c r="B418" s="10" t="s">
        <v>278</v>
      </c>
      <c r="C418" s="11">
        <v>45475</v>
      </c>
      <c r="D418" s="11">
        <v>45505</v>
      </c>
      <c r="E418" s="11"/>
      <c r="F418" s="12">
        <v>19206.75</v>
      </c>
      <c r="G418" s="12">
        <v>0</v>
      </c>
      <c r="H418" s="12">
        <f t="shared" si="30"/>
        <v>19206.75</v>
      </c>
      <c r="I418" s="10" t="str">
        <f t="shared" si="31"/>
        <v/>
      </c>
      <c r="J418" s="10" t="str">
        <f t="shared" ca="1" si="32"/>
        <v>Overdue</v>
      </c>
      <c r="K418" s="10">
        <f t="shared" ca="1" si="33"/>
        <v>751</v>
      </c>
      <c r="L418" s="10" t="str">
        <f t="shared" ca="1" si="34"/>
        <v>120+ Days</v>
      </c>
      <c r="M418" s="11">
        <v>45474</v>
      </c>
      <c r="N418" s="11"/>
    </row>
    <row r="419" spans="1:14" x14ac:dyDescent="0.25">
      <c r="A419" s="13" t="s">
        <v>546</v>
      </c>
      <c r="B419" s="13" t="s">
        <v>230</v>
      </c>
      <c r="C419" s="14">
        <v>45485</v>
      </c>
      <c r="D419" s="14">
        <v>45515</v>
      </c>
      <c r="E419" s="14">
        <v>45525</v>
      </c>
      <c r="F419" s="15">
        <v>140932.12</v>
      </c>
      <c r="G419" s="15">
        <v>140932.12</v>
      </c>
      <c r="H419" s="15">
        <f t="shared" si="30"/>
        <v>0</v>
      </c>
      <c r="I419" s="13">
        <f t="shared" si="31"/>
        <v>10</v>
      </c>
      <c r="J419" s="13" t="str">
        <f t="shared" ca="1" si="32"/>
        <v>Paid</v>
      </c>
      <c r="K419" s="13">
        <f t="shared" ca="1" si="33"/>
        <v>0</v>
      </c>
      <c r="L419" s="13" t="str">
        <f t="shared" si="34"/>
        <v>Paid</v>
      </c>
      <c r="M419" s="14">
        <v>45474</v>
      </c>
      <c r="N419" s="14">
        <v>45505</v>
      </c>
    </row>
    <row r="420" spans="1:14" x14ac:dyDescent="0.25">
      <c r="A420" s="10" t="s">
        <v>547</v>
      </c>
      <c r="B420" s="10" t="s">
        <v>230</v>
      </c>
      <c r="C420" s="11">
        <v>45495</v>
      </c>
      <c r="D420" s="11">
        <v>45525</v>
      </c>
      <c r="E420" s="11">
        <v>45534</v>
      </c>
      <c r="F420" s="12">
        <v>20529.66</v>
      </c>
      <c r="G420" s="12">
        <v>20529.66</v>
      </c>
      <c r="H420" s="12">
        <f t="shared" si="30"/>
        <v>0</v>
      </c>
      <c r="I420" s="10">
        <f t="shared" si="31"/>
        <v>9</v>
      </c>
      <c r="J420" s="10" t="str">
        <f t="shared" ca="1" si="32"/>
        <v>Paid</v>
      </c>
      <c r="K420" s="10">
        <f t="shared" ca="1" si="33"/>
        <v>0</v>
      </c>
      <c r="L420" s="10" t="str">
        <f t="shared" si="34"/>
        <v>Paid</v>
      </c>
      <c r="M420" s="11">
        <v>45474</v>
      </c>
      <c r="N420" s="11">
        <v>45505</v>
      </c>
    </row>
    <row r="421" spans="1:14" x14ac:dyDescent="0.25">
      <c r="A421" s="13" t="s">
        <v>548</v>
      </c>
      <c r="B421" s="13" t="s">
        <v>74</v>
      </c>
      <c r="C421" s="14">
        <v>45484</v>
      </c>
      <c r="D421" s="14">
        <v>45514</v>
      </c>
      <c r="E421" s="14">
        <v>45514</v>
      </c>
      <c r="F421" s="15">
        <v>43488.61</v>
      </c>
      <c r="G421" s="15">
        <v>43488.61</v>
      </c>
      <c r="H421" s="15">
        <f t="shared" si="30"/>
        <v>0</v>
      </c>
      <c r="I421" s="13">
        <f t="shared" si="31"/>
        <v>0</v>
      </c>
      <c r="J421" s="13" t="str">
        <f t="shared" ca="1" si="32"/>
        <v>Paid</v>
      </c>
      <c r="K421" s="13">
        <f t="shared" ca="1" si="33"/>
        <v>0</v>
      </c>
      <c r="L421" s="13" t="str">
        <f t="shared" si="34"/>
        <v>Paid</v>
      </c>
      <c r="M421" s="14">
        <v>45474</v>
      </c>
      <c r="N421" s="14">
        <v>45505</v>
      </c>
    </row>
    <row r="422" spans="1:14" x14ac:dyDescent="0.25">
      <c r="A422" s="10" t="s">
        <v>549</v>
      </c>
      <c r="B422" s="10" t="s">
        <v>95</v>
      </c>
      <c r="C422" s="11">
        <v>45494</v>
      </c>
      <c r="D422" s="11">
        <v>45524</v>
      </c>
      <c r="E422" s="11">
        <v>45549</v>
      </c>
      <c r="F422" s="12">
        <v>44041.79</v>
      </c>
      <c r="G422" s="12">
        <v>44041.79</v>
      </c>
      <c r="H422" s="12">
        <f t="shared" si="30"/>
        <v>0</v>
      </c>
      <c r="I422" s="10">
        <f t="shared" si="31"/>
        <v>25</v>
      </c>
      <c r="J422" s="10" t="str">
        <f t="shared" ca="1" si="32"/>
        <v>Paid</v>
      </c>
      <c r="K422" s="10">
        <f t="shared" ca="1" si="33"/>
        <v>0</v>
      </c>
      <c r="L422" s="10" t="str">
        <f t="shared" si="34"/>
        <v>Paid</v>
      </c>
      <c r="M422" s="11">
        <v>45474</v>
      </c>
      <c r="N422" s="11">
        <v>45536</v>
      </c>
    </row>
    <row r="423" spans="1:14" x14ac:dyDescent="0.25">
      <c r="A423" s="13" t="s">
        <v>550</v>
      </c>
      <c r="B423" s="13" t="s">
        <v>131</v>
      </c>
      <c r="C423" s="14">
        <v>45496</v>
      </c>
      <c r="D423" s="14">
        <v>45526</v>
      </c>
      <c r="E423" s="14">
        <v>45531</v>
      </c>
      <c r="F423" s="15">
        <v>10919.93</v>
      </c>
      <c r="G423" s="15">
        <v>10919.93</v>
      </c>
      <c r="H423" s="15">
        <f t="shared" si="30"/>
        <v>0</v>
      </c>
      <c r="I423" s="13">
        <f t="shared" si="31"/>
        <v>5</v>
      </c>
      <c r="J423" s="13" t="str">
        <f t="shared" ca="1" si="32"/>
        <v>Paid</v>
      </c>
      <c r="K423" s="13">
        <f t="shared" ca="1" si="33"/>
        <v>0</v>
      </c>
      <c r="L423" s="13" t="str">
        <f t="shared" si="34"/>
        <v>Paid</v>
      </c>
      <c r="M423" s="14">
        <v>45474</v>
      </c>
      <c r="N423" s="14">
        <v>45505</v>
      </c>
    </row>
    <row r="424" spans="1:14" x14ac:dyDescent="0.25">
      <c r="A424" s="10" t="s">
        <v>551</v>
      </c>
      <c r="B424" s="10" t="s">
        <v>138</v>
      </c>
      <c r="C424" s="11">
        <v>45495</v>
      </c>
      <c r="D424" s="11">
        <v>45525</v>
      </c>
      <c r="E424" s="11"/>
      <c r="F424" s="12">
        <v>21873.34</v>
      </c>
      <c r="G424" s="12">
        <v>0</v>
      </c>
      <c r="H424" s="12">
        <f t="shared" si="30"/>
        <v>21873.34</v>
      </c>
      <c r="I424" s="10" t="str">
        <f t="shared" si="31"/>
        <v/>
      </c>
      <c r="J424" s="10" t="str">
        <f t="shared" ca="1" si="32"/>
        <v>Overdue</v>
      </c>
      <c r="K424" s="10">
        <f t="shared" ca="1" si="33"/>
        <v>731</v>
      </c>
      <c r="L424" s="10" t="str">
        <f t="shared" ca="1" si="34"/>
        <v>120+ Days</v>
      </c>
      <c r="M424" s="11">
        <v>45474</v>
      </c>
      <c r="N424" s="11"/>
    </row>
    <row r="425" spans="1:14" x14ac:dyDescent="0.25">
      <c r="A425" s="13" t="s">
        <v>552</v>
      </c>
      <c r="B425" s="13" t="s">
        <v>111</v>
      </c>
      <c r="C425" s="14">
        <v>45492</v>
      </c>
      <c r="D425" s="14">
        <v>45522</v>
      </c>
      <c r="E425" s="14">
        <v>45522</v>
      </c>
      <c r="F425" s="15">
        <v>28548.67</v>
      </c>
      <c r="G425" s="15">
        <v>28548.67</v>
      </c>
      <c r="H425" s="15">
        <f t="shared" si="30"/>
        <v>0</v>
      </c>
      <c r="I425" s="13">
        <f t="shared" si="31"/>
        <v>0</v>
      </c>
      <c r="J425" s="13" t="str">
        <f t="shared" ca="1" si="32"/>
        <v>Paid</v>
      </c>
      <c r="K425" s="13">
        <f t="shared" ca="1" si="33"/>
        <v>0</v>
      </c>
      <c r="L425" s="13" t="str">
        <f t="shared" si="34"/>
        <v>Paid</v>
      </c>
      <c r="M425" s="14">
        <v>45474</v>
      </c>
      <c r="N425" s="14">
        <v>45505</v>
      </c>
    </row>
    <row r="426" spans="1:14" x14ac:dyDescent="0.25">
      <c r="A426" s="10" t="s">
        <v>553</v>
      </c>
      <c r="B426" s="10" t="s">
        <v>314</v>
      </c>
      <c r="C426" s="11">
        <v>45498</v>
      </c>
      <c r="D426" s="11">
        <v>45528</v>
      </c>
      <c r="E426" s="11">
        <v>45546</v>
      </c>
      <c r="F426" s="12">
        <v>67915.759999999995</v>
      </c>
      <c r="G426" s="12">
        <v>67915.759999999995</v>
      </c>
      <c r="H426" s="12">
        <f t="shared" si="30"/>
        <v>0</v>
      </c>
      <c r="I426" s="10">
        <f t="shared" si="31"/>
        <v>18</v>
      </c>
      <c r="J426" s="10" t="str">
        <f t="shared" ca="1" si="32"/>
        <v>Paid</v>
      </c>
      <c r="K426" s="10">
        <f t="shared" ca="1" si="33"/>
        <v>0</v>
      </c>
      <c r="L426" s="10" t="str">
        <f t="shared" si="34"/>
        <v>Paid</v>
      </c>
      <c r="M426" s="11">
        <v>45474</v>
      </c>
      <c r="N426" s="11">
        <v>45536</v>
      </c>
    </row>
    <row r="427" spans="1:14" x14ac:dyDescent="0.25">
      <c r="A427" s="13" t="s">
        <v>554</v>
      </c>
      <c r="B427" s="13" t="s">
        <v>72</v>
      </c>
      <c r="C427" s="14">
        <v>45475</v>
      </c>
      <c r="D427" s="14">
        <v>45505</v>
      </c>
      <c r="E427" s="14">
        <v>45555</v>
      </c>
      <c r="F427" s="15">
        <v>70972.31</v>
      </c>
      <c r="G427" s="15">
        <v>70972.31</v>
      </c>
      <c r="H427" s="15">
        <f t="shared" si="30"/>
        <v>0</v>
      </c>
      <c r="I427" s="13">
        <f t="shared" si="31"/>
        <v>50</v>
      </c>
      <c r="J427" s="13" t="str">
        <f t="shared" ca="1" si="32"/>
        <v>Paid</v>
      </c>
      <c r="K427" s="13">
        <f t="shared" ca="1" si="33"/>
        <v>0</v>
      </c>
      <c r="L427" s="13" t="str">
        <f t="shared" si="34"/>
        <v>Paid</v>
      </c>
      <c r="M427" s="14">
        <v>45474</v>
      </c>
      <c r="N427" s="14">
        <v>45536</v>
      </c>
    </row>
    <row r="428" spans="1:14" x14ac:dyDescent="0.25">
      <c r="A428" s="10" t="s">
        <v>555</v>
      </c>
      <c r="B428" s="10" t="s">
        <v>70</v>
      </c>
      <c r="C428" s="11">
        <v>45500</v>
      </c>
      <c r="D428" s="11">
        <v>45530</v>
      </c>
      <c r="E428" s="11">
        <v>45537</v>
      </c>
      <c r="F428" s="12">
        <v>28535.39</v>
      </c>
      <c r="G428" s="12">
        <v>28535.39</v>
      </c>
      <c r="H428" s="12">
        <f t="shared" si="30"/>
        <v>0</v>
      </c>
      <c r="I428" s="10">
        <f t="shared" si="31"/>
        <v>7</v>
      </c>
      <c r="J428" s="10" t="str">
        <f t="shared" ca="1" si="32"/>
        <v>Paid</v>
      </c>
      <c r="K428" s="10">
        <f t="shared" ca="1" si="33"/>
        <v>0</v>
      </c>
      <c r="L428" s="10" t="str">
        <f t="shared" si="34"/>
        <v>Paid</v>
      </c>
      <c r="M428" s="11">
        <v>45474</v>
      </c>
      <c r="N428" s="11">
        <v>45536</v>
      </c>
    </row>
    <row r="429" spans="1:14" x14ac:dyDescent="0.25">
      <c r="A429" s="13" t="s">
        <v>556</v>
      </c>
      <c r="B429" s="13" t="s">
        <v>81</v>
      </c>
      <c r="C429" s="14">
        <v>45485</v>
      </c>
      <c r="D429" s="14">
        <v>45515</v>
      </c>
      <c r="E429" s="14">
        <v>45521</v>
      </c>
      <c r="F429" s="15">
        <v>37535.49</v>
      </c>
      <c r="G429" s="15">
        <v>37535.49</v>
      </c>
      <c r="H429" s="15">
        <f t="shared" si="30"/>
        <v>0</v>
      </c>
      <c r="I429" s="13">
        <f t="shared" si="31"/>
        <v>6</v>
      </c>
      <c r="J429" s="13" t="str">
        <f t="shared" ca="1" si="32"/>
        <v>Paid</v>
      </c>
      <c r="K429" s="13">
        <f t="shared" ca="1" si="33"/>
        <v>0</v>
      </c>
      <c r="L429" s="13" t="str">
        <f t="shared" si="34"/>
        <v>Paid</v>
      </c>
      <c r="M429" s="14">
        <v>45474</v>
      </c>
      <c r="N429" s="14">
        <v>45505</v>
      </c>
    </row>
    <row r="430" spans="1:14" x14ac:dyDescent="0.25">
      <c r="A430" s="10" t="s">
        <v>557</v>
      </c>
      <c r="B430" s="10" t="s">
        <v>119</v>
      </c>
      <c r="C430" s="11">
        <v>45497</v>
      </c>
      <c r="D430" s="11">
        <v>45527</v>
      </c>
      <c r="E430" s="11">
        <v>45527</v>
      </c>
      <c r="F430" s="12">
        <v>28736.38</v>
      </c>
      <c r="G430" s="12">
        <v>28736.38</v>
      </c>
      <c r="H430" s="12">
        <f t="shared" si="30"/>
        <v>0</v>
      </c>
      <c r="I430" s="10">
        <f t="shared" si="31"/>
        <v>0</v>
      </c>
      <c r="J430" s="10" t="str">
        <f t="shared" ca="1" si="32"/>
        <v>Paid</v>
      </c>
      <c r="K430" s="10">
        <f t="shared" ca="1" si="33"/>
        <v>0</v>
      </c>
      <c r="L430" s="10" t="str">
        <f t="shared" si="34"/>
        <v>Paid</v>
      </c>
      <c r="M430" s="11">
        <v>45474</v>
      </c>
      <c r="N430" s="11">
        <v>45505</v>
      </c>
    </row>
    <row r="431" spans="1:14" x14ac:dyDescent="0.25">
      <c r="A431" s="13" t="s">
        <v>558</v>
      </c>
      <c r="B431" s="13" t="s">
        <v>331</v>
      </c>
      <c r="C431" s="14">
        <v>45475</v>
      </c>
      <c r="D431" s="14">
        <v>45505</v>
      </c>
      <c r="E431" s="14">
        <v>45527</v>
      </c>
      <c r="F431" s="15">
        <v>24321.97</v>
      </c>
      <c r="G431" s="15">
        <v>24321.97</v>
      </c>
      <c r="H431" s="15">
        <f t="shared" si="30"/>
        <v>0</v>
      </c>
      <c r="I431" s="13">
        <f t="shared" si="31"/>
        <v>22</v>
      </c>
      <c r="J431" s="13" t="str">
        <f t="shared" ca="1" si="32"/>
        <v>Paid</v>
      </c>
      <c r="K431" s="13">
        <f t="shared" ca="1" si="33"/>
        <v>0</v>
      </c>
      <c r="L431" s="13" t="str">
        <f t="shared" si="34"/>
        <v>Paid</v>
      </c>
      <c r="M431" s="14">
        <v>45474</v>
      </c>
      <c r="N431" s="14">
        <v>45505</v>
      </c>
    </row>
    <row r="432" spans="1:14" x14ac:dyDescent="0.25">
      <c r="A432" s="10" t="s">
        <v>559</v>
      </c>
      <c r="B432" s="10" t="s">
        <v>72</v>
      </c>
      <c r="C432" s="11">
        <v>45478</v>
      </c>
      <c r="D432" s="11">
        <v>45508</v>
      </c>
      <c r="E432" s="11"/>
      <c r="F432" s="12">
        <v>86039.91</v>
      </c>
      <c r="G432" s="12">
        <v>0</v>
      </c>
      <c r="H432" s="12">
        <f t="shared" si="30"/>
        <v>86039.91</v>
      </c>
      <c r="I432" s="10" t="str">
        <f t="shared" si="31"/>
        <v/>
      </c>
      <c r="J432" s="10" t="str">
        <f t="shared" ca="1" si="32"/>
        <v>Overdue</v>
      </c>
      <c r="K432" s="10">
        <f t="shared" ca="1" si="33"/>
        <v>748</v>
      </c>
      <c r="L432" s="10" t="str">
        <f t="shared" ca="1" si="34"/>
        <v>120+ Days</v>
      </c>
      <c r="M432" s="11">
        <v>45474</v>
      </c>
      <c r="N432" s="11"/>
    </row>
    <row r="433" spans="1:14" x14ac:dyDescent="0.25">
      <c r="A433" s="13" t="s">
        <v>560</v>
      </c>
      <c r="B433" s="13" t="s">
        <v>107</v>
      </c>
      <c r="C433" s="14">
        <v>45492</v>
      </c>
      <c r="D433" s="14">
        <v>45522</v>
      </c>
      <c r="E433" s="14">
        <v>45522</v>
      </c>
      <c r="F433" s="15">
        <v>55225.24</v>
      </c>
      <c r="G433" s="15">
        <v>55225.24</v>
      </c>
      <c r="H433" s="15">
        <f t="shared" si="30"/>
        <v>0</v>
      </c>
      <c r="I433" s="13">
        <f t="shared" si="31"/>
        <v>0</v>
      </c>
      <c r="J433" s="13" t="str">
        <f t="shared" ca="1" si="32"/>
        <v>Paid</v>
      </c>
      <c r="K433" s="13">
        <f t="shared" ca="1" si="33"/>
        <v>0</v>
      </c>
      <c r="L433" s="13" t="str">
        <f t="shared" si="34"/>
        <v>Paid</v>
      </c>
      <c r="M433" s="14">
        <v>45474</v>
      </c>
      <c r="N433" s="14">
        <v>45505</v>
      </c>
    </row>
    <row r="434" spans="1:14" x14ac:dyDescent="0.25">
      <c r="A434" s="10" t="s">
        <v>561</v>
      </c>
      <c r="B434" s="10" t="s">
        <v>340</v>
      </c>
      <c r="C434" s="11">
        <v>45482</v>
      </c>
      <c r="D434" s="11">
        <v>45512</v>
      </c>
      <c r="E434" s="11">
        <v>45553</v>
      </c>
      <c r="F434" s="12">
        <v>45369.73</v>
      </c>
      <c r="G434" s="12">
        <v>45369.73</v>
      </c>
      <c r="H434" s="12">
        <f t="shared" si="30"/>
        <v>0</v>
      </c>
      <c r="I434" s="10">
        <f t="shared" si="31"/>
        <v>41</v>
      </c>
      <c r="J434" s="10" t="str">
        <f t="shared" ca="1" si="32"/>
        <v>Paid</v>
      </c>
      <c r="K434" s="10">
        <f t="shared" ca="1" si="33"/>
        <v>0</v>
      </c>
      <c r="L434" s="10" t="str">
        <f t="shared" si="34"/>
        <v>Paid</v>
      </c>
      <c r="M434" s="11">
        <v>45474</v>
      </c>
      <c r="N434" s="11">
        <v>45536</v>
      </c>
    </row>
    <row r="435" spans="1:14" x14ac:dyDescent="0.25">
      <c r="A435" s="13" t="s">
        <v>562</v>
      </c>
      <c r="B435" s="13" t="s">
        <v>83</v>
      </c>
      <c r="C435" s="14">
        <v>45486</v>
      </c>
      <c r="D435" s="14">
        <v>45516</v>
      </c>
      <c r="E435" s="14">
        <v>45516</v>
      </c>
      <c r="F435" s="15">
        <v>27162.14</v>
      </c>
      <c r="G435" s="15">
        <v>27162.14</v>
      </c>
      <c r="H435" s="15">
        <f t="shared" si="30"/>
        <v>0</v>
      </c>
      <c r="I435" s="13">
        <f t="shared" si="31"/>
        <v>0</v>
      </c>
      <c r="J435" s="13" t="str">
        <f t="shared" ca="1" si="32"/>
        <v>Paid</v>
      </c>
      <c r="K435" s="13">
        <f t="shared" ca="1" si="33"/>
        <v>0</v>
      </c>
      <c r="L435" s="13" t="str">
        <f t="shared" si="34"/>
        <v>Paid</v>
      </c>
      <c r="M435" s="14">
        <v>45474</v>
      </c>
      <c r="N435" s="14">
        <v>45505</v>
      </c>
    </row>
    <row r="436" spans="1:14" x14ac:dyDescent="0.25">
      <c r="A436" s="10" t="s">
        <v>563</v>
      </c>
      <c r="B436" s="10" t="s">
        <v>119</v>
      </c>
      <c r="C436" s="11">
        <v>45492</v>
      </c>
      <c r="D436" s="11">
        <v>45522</v>
      </c>
      <c r="E436" s="11">
        <v>45554</v>
      </c>
      <c r="F436" s="12">
        <v>69881.440000000002</v>
      </c>
      <c r="G436" s="12">
        <v>69881.440000000002</v>
      </c>
      <c r="H436" s="12">
        <f t="shared" si="30"/>
        <v>0</v>
      </c>
      <c r="I436" s="10">
        <f t="shared" si="31"/>
        <v>32</v>
      </c>
      <c r="J436" s="10" t="str">
        <f t="shared" ca="1" si="32"/>
        <v>Paid</v>
      </c>
      <c r="K436" s="10">
        <f t="shared" ca="1" si="33"/>
        <v>0</v>
      </c>
      <c r="L436" s="10" t="str">
        <f t="shared" si="34"/>
        <v>Paid</v>
      </c>
      <c r="M436" s="11">
        <v>45474</v>
      </c>
      <c r="N436" s="11">
        <v>45536</v>
      </c>
    </row>
    <row r="437" spans="1:14" x14ac:dyDescent="0.25">
      <c r="A437" s="13" t="s">
        <v>564</v>
      </c>
      <c r="B437" s="13" t="s">
        <v>244</v>
      </c>
      <c r="C437" s="14">
        <v>45486</v>
      </c>
      <c r="D437" s="14">
        <v>45516</v>
      </c>
      <c r="E437" s="14">
        <v>45563</v>
      </c>
      <c r="F437" s="15">
        <v>21657.47</v>
      </c>
      <c r="G437" s="15">
        <v>21657.47</v>
      </c>
      <c r="H437" s="15">
        <f t="shared" si="30"/>
        <v>0</v>
      </c>
      <c r="I437" s="13">
        <f t="shared" si="31"/>
        <v>47</v>
      </c>
      <c r="J437" s="13" t="str">
        <f t="shared" ca="1" si="32"/>
        <v>Paid</v>
      </c>
      <c r="K437" s="13">
        <f t="shared" ca="1" si="33"/>
        <v>0</v>
      </c>
      <c r="L437" s="13" t="str">
        <f t="shared" si="34"/>
        <v>Paid</v>
      </c>
      <c r="M437" s="14">
        <v>45474</v>
      </c>
      <c r="N437" s="14">
        <v>45536</v>
      </c>
    </row>
    <row r="438" spans="1:14" x14ac:dyDescent="0.25">
      <c r="A438" s="10" t="s">
        <v>565</v>
      </c>
      <c r="B438" s="10" t="s">
        <v>119</v>
      </c>
      <c r="C438" s="11">
        <v>45490</v>
      </c>
      <c r="D438" s="11">
        <v>45520</v>
      </c>
      <c r="E438" s="11">
        <v>45520</v>
      </c>
      <c r="F438" s="12">
        <v>24892.37</v>
      </c>
      <c r="G438" s="12">
        <v>24892.37</v>
      </c>
      <c r="H438" s="12">
        <f t="shared" si="30"/>
        <v>0</v>
      </c>
      <c r="I438" s="10">
        <f t="shared" si="31"/>
        <v>0</v>
      </c>
      <c r="J438" s="10" t="str">
        <f t="shared" ca="1" si="32"/>
        <v>Paid</v>
      </c>
      <c r="K438" s="10">
        <f t="shared" ca="1" si="33"/>
        <v>0</v>
      </c>
      <c r="L438" s="10" t="str">
        <f t="shared" si="34"/>
        <v>Paid</v>
      </c>
      <c r="M438" s="11">
        <v>45474</v>
      </c>
      <c r="N438" s="11">
        <v>45505</v>
      </c>
    </row>
    <row r="439" spans="1:14" x14ac:dyDescent="0.25">
      <c r="A439" s="13" t="s">
        <v>566</v>
      </c>
      <c r="B439" s="13" t="s">
        <v>463</v>
      </c>
      <c r="C439" s="14">
        <v>45494</v>
      </c>
      <c r="D439" s="14">
        <v>45524</v>
      </c>
      <c r="E439" s="14">
        <v>45543</v>
      </c>
      <c r="F439" s="15">
        <v>35264.910000000003</v>
      </c>
      <c r="G439" s="15">
        <v>35264.910000000003</v>
      </c>
      <c r="H439" s="15">
        <f t="shared" si="30"/>
        <v>0</v>
      </c>
      <c r="I439" s="13">
        <f t="shared" si="31"/>
        <v>19</v>
      </c>
      <c r="J439" s="13" t="str">
        <f t="shared" ca="1" si="32"/>
        <v>Paid</v>
      </c>
      <c r="K439" s="13">
        <f t="shared" ca="1" si="33"/>
        <v>0</v>
      </c>
      <c r="L439" s="13" t="str">
        <f t="shared" si="34"/>
        <v>Paid</v>
      </c>
      <c r="M439" s="14">
        <v>45474</v>
      </c>
      <c r="N439" s="14">
        <v>45536</v>
      </c>
    </row>
    <row r="440" spans="1:14" x14ac:dyDescent="0.25">
      <c r="A440" s="10" t="s">
        <v>567</v>
      </c>
      <c r="B440" s="10" t="s">
        <v>131</v>
      </c>
      <c r="C440" s="11">
        <v>45486</v>
      </c>
      <c r="D440" s="11">
        <v>45516</v>
      </c>
      <c r="E440" s="11">
        <v>45516</v>
      </c>
      <c r="F440" s="12">
        <v>23045.72</v>
      </c>
      <c r="G440" s="12">
        <v>23045.72</v>
      </c>
      <c r="H440" s="12">
        <f t="shared" si="30"/>
        <v>0</v>
      </c>
      <c r="I440" s="10">
        <f t="shared" si="31"/>
        <v>0</v>
      </c>
      <c r="J440" s="10" t="str">
        <f t="shared" ca="1" si="32"/>
        <v>Paid</v>
      </c>
      <c r="K440" s="10">
        <f t="shared" ca="1" si="33"/>
        <v>0</v>
      </c>
      <c r="L440" s="10" t="str">
        <f t="shared" si="34"/>
        <v>Paid</v>
      </c>
      <c r="M440" s="11">
        <v>45474</v>
      </c>
      <c r="N440" s="11">
        <v>45505</v>
      </c>
    </row>
    <row r="441" spans="1:14" x14ac:dyDescent="0.25">
      <c r="A441" s="13" t="s">
        <v>568</v>
      </c>
      <c r="B441" s="13" t="s">
        <v>222</v>
      </c>
      <c r="C441" s="14">
        <v>45475</v>
      </c>
      <c r="D441" s="14">
        <v>45505</v>
      </c>
      <c r="E441" s="14">
        <v>45549</v>
      </c>
      <c r="F441" s="15">
        <v>18724.02</v>
      </c>
      <c r="G441" s="15">
        <v>18724.02</v>
      </c>
      <c r="H441" s="15">
        <f t="shared" si="30"/>
        <v>0</v>
      </c>
      <c r="I441" s="13">
        <f t="shared" si="31"/>
        <v>44</v>
      </c>
      <c r="J441" s="13" t="str">
        <f t="shared" ca="1" si="32"/>
        <v>Paid</v>
      </c>
      <c r="K441" s="13">
        <f t="shared" ca="1" si="33"/>
        <v>0</v>
      </c>
      <c r="L441" s="13" t="str">
        <f t="shared" si="34"/>
        <v>Paid</v>
      </c>
      <c r="M441" s="14">
        <v>45474</v>
      </c>
      <c r="N441" s="14">
        <v>45536</v>
      </c>
    </row>
    <row r="442" spans="1:14" x14ac:dyDescent="0.25">
      <c r="A442" s="10" t="s">
        <v>569</v>
      </c>
      <c r="B442" s="10" t="s">
        <v>134</v>
      </c>
      <c r="C442" s="11">
        <v>45494</v>
      </c>
      <c r="D442" s="11">
        <v>45524</v>
      </c>
      <c r="E442" s="11">
        <v>45534</v>
      </c>
      <c r="F442" s="12">
        <v>44949.9</v>
      </c>
      <c r="G442" s="12">
        <v>44949.9</v>
      </c>
      <c r="H442" s="12">
        <f t="shared" si="30"/>
        <v>0</v>
      </c>
      <c r="I442" s="10">
        <f t="shared" si="31"/>
        <v>10</v>
      </c>
      <c r="J442" s="10" t="str">
        <f t="shared" ca="1" si="32"/>
        <v>Paid</v>
      </c>
      <c r="K442" s="10">
        <f t="shared" ca="1" si="33"/>
        <v>0</v>
      </c>
      <c r="L442" s="10" t="str">
        <f t="shared" si="34"/>
        <v>Paid</v>
      </c>
      <c r="M442" s="11">
        <v>45474</v>
      </c>
      <c r="N442" s="11">
        <v>45505</v>
      </c>
    </row>
    <row r="443" spans="1:14" x14ac:dyDescent="0.25">
      <c r="A443" s="13" t="s">
        <v>570</v>
      </c>
      <c r="B443" s="13" t="s">
        <v>233</v>
      </c>
      <c r="C443" s="14">
        <v>45491</v>
      </c>
      <c r="D443" s="14">
        <v>45521</v>
      </c>
      <c r="E443" s="14">
        <v>45550</v>
      </c>
      <c r="F443" s="15">
        <v>85331.199999999997</v>
      </c>
      <c r="G443" s="15">
        <v>85331.199999999997</v>
      </c>
      <c r="H443" s="15">
        <f t="shared" si="30"/>
        <v>0</v>
      </c>
      <c r="I443" s="13">
        <f t="shared" si="31"/>
        <v>29</v>
      </c>
      <c r="J443" s="13" t="str">
        <f t="shared" ca="1" si="32"/>
        <v>Paid</v>
      </c>
      <c r="K443" s="13">
        <f t="shared" ca="1" si="33"/>
        <v>0</v>
      </c>
      <c r="L443" s="13" t="str">
        <f t="shared" si="34"/>
        <v>Paid</v>
      </c>
      <c r="M443" s="14">
        <v>45474</v>
      </c>
      <c r="N443" s="14">
        <v>45536</v>
      </c>
    </row>
    <row r="444" spans="1:14" x14ac:dyDescent="0.25">
      <c r="A444" s="10" t="s">
        <v>571</v>
      </c>
      <c r="B444" s="10" t="s">
        <v>198</v>
      </c>
      <c r="C444" s="11">
        <v>45490</v>
      </c>
      <c r="D444" s="11">
        <v>45520</v>
      </c>
      <c r="E444" s="11"/>
      <c r="F444" s="12">
        <v>9996.5300000000007</v>
      </c>
      <c r="G444" s="12">
        <v>0</v>
      </c>
      <c r="H444" s="12">
        <f t="shared" si="30"/>
        <v>9996.5300000000007</v>
      </c>
      <c r="I444" s="10" t="str">
        <f t="shared" si="31"/>
        <v/>
      </c>
      <c r="J444" s="10" t="str">
        <f t="shared" ca="1" si="32"/>
        <v>Overdue</v>
      </c>
      <c r="K444" s="10">
        <f t="shared" ca="1" si="33"/>
        <v>736</v>
      </c>
      <c r="L444" s="10" t="str">
        <f t="shared" ca="1" si="34"/>
        <v>120+ Days</v>
      </c>
      <c r="M444" s="11">
        <v>45474</v>
      </c>
      <c r="N444" s="11"/>
    </row>
    <row r="445" spans="1:14" x14ac:dyDescent="0.25">
      <c r="A445" s="13" t="s">
        <v>572</v>
      </c>
      <c r="B445" s="13" t="s">
        <v>134</v>
      </c>
      <c r="C445" s="14">
        <v>45483</v>
      </c>
      <c r="D445" s="14">
        <v>45513</v>
      </c>
      <c r="E445" s="14"/>
      <c r="F445" s="15">
        <v>74390.69</v>
      </c>
      <c r="G445" s="15">
        <v>0</v>
      </c>
      <c r="H445" s="15">
        <f t="shared" si="30"/>
        <v>74390.69</v>
      </c>
      <c r="I445" s="13" t="str">
        <f t="shared" si="31"/>
        <v/>
      </c>
      <c r="J445" s="13" t="str">
        <f t="shared" ca="1" si="32"/>
        <v>Overdue</v>
      </c>
      <c r="K445" s="13">
        <f t="shared" ca="1" si="33"/>
        <v>743</v>
      </c>
      <c r="L445" s="13" t="str">
        <f t="shared" ca="1" si="34"/>
        <v>120+ Days</v>
      </c>
      <c r="M445" s="14">
        <v>45474</v>
      </c>
      <c r="N445" s="14"/>
    </row>
    <row r="446" spans="1:14" x14ac:dyDescent="0.25">
      <c r="A446" s="10" t="s">
        <v>573</v>
      </c>
      <c r="B446" s="10" t="s">
        <v>215</v>
      </c>
      <c r="C446" s="11">
        <v>45487</v>
      </c>
      <c r="D446" s="11">
        <v>45517</v>
      </c>
      <c r="E446" s="11">
        <v>45560</v>
      </c>
      <c r="F446" s="12">
        <v>15905.06</v>
      </c>
      <c r="G446" s="12">
        <v>15905.06</v>
      </c>
      <c r="H446" s="12">
        <f t="shared" si="30"/>
        <v>0</v>
      </c>
      <c r="I446" s="10">
        <f t="shared" si="31"/>
        <v>43</v>
      </c>
      <c r="J446" s="10" t="str">
        <f t="shared" ca="1" si="32"/>
        <v>Paid</v>
      </c>
      <c r="K446" s="10">
        <f t="shared" ca="1" si="33"/>
        <v>0</v>
      </c>
      <c r="L446" s="10" t="str">
        <f t="shared" si="34"/>
        <v>Paid</v>
      </c>
      <c r="M446" s="11">
        <v>45474</v>
      </c>
      <c r="N446" s="11">
        <v>45536</v>
      </c>
    </row>
    <row r="447" spans="1:14" x14ac:dyDescent="0.25">
      <c r="A447" s="13" t="s">
        <v>574</v>
      </c>
      <c r="B447" s="13" t="s">
        <v>117</v>
      </c>
      <c r="C447" s="14">
        <v>45477</v>
      </c>
      <c r="D447" s="14">
        <v>45507</v>
      </c>
      <c r="E447" s="14">
        <v>45530</v>
      </c>
      <c r="F447" s="15">
        <v>38011.82</v>
      </c>
      <c r="G447" s="15">
        <v>38011.82</v>
      </c>
      <c r="H447" s="15">
        <f t="shared" si="30"/>
        <v>0</v>
      </c>
      <c r="I447" s="13">
        <f t="shared" si="31"/>
        <v>23</v>
      </c>
      <c r="J447" s="13" t="str">
        <f t="shared" ca="1" si="32"/>
        <v>Paid</v>
      </c>
      <c r="K447" s="13">
        <f t="shared" ca="1" si="33"/>
        <v>0</v>
      </c>
      <c r="L447" s="13" t="str">
        <f t="shared" si="34"/>
        <v>Paid</v>
      </c>
      <c r="M447" s="14">
        <v>45474</v>
      </c>
      <c r="N447" s="14">
        <v>45505</v>
      </c>
    </row>
    <row r="448" spans="1:14" x14ac:dyDescent="0.25">
      <c r="A448" s="10" t="s">
        <v>575</v>
      </c>
      <c r="B448" s="10" t="s">
        <v>198</v>
      </c>
      <c r="C448" s="11">
        <v>45476</v>
      </c>
      <c r="D448" s="11">
        <v>45506</v>
      </c>
      <c r="E448" s="11">
        <v>45508</v>
      </c>
      <c r="F448" s="12">
        <v>13784.65</v>
      </c>
      <c r="G448" s="12">
        <v>13784.65</v>
      </c>
      <c r="H448" s="12">
        <f t="shared" si="30"/>
        <v>0</v>
      </c>
      <c r="I448" s="10">
        <f t="shared" si="31"/>
        <v>2</v>
      </c>
      <c r="J448" s="10" t="str">
        <f t="shared" ca="1" si="32"/>
        <v>Paid</v>
      </c>
      <c r="K448" s="10">
        <f t="shared" ca="1" si="33"/>
        <v>0</v>
      </c>
      <c r="L448" s="10" t="str">
        <f t="shared" si="34"/>
        <v>Paid</v>
      </c>
      <c r="M448" s="11">
        <v>45474</v>
      </c>
      <c r="N448" s="11">
        <v>45505</v>
      </c>
    </row>
    <row r="449" spans="1:14" x14ac:dyDescent="0.25">
      <c r="A449" s="13" t="s">
        <v>576</v>
      </c>
      <c r="B449" s="13" t="s">
        <v>119</v>
      </c>
      <c r="C449" s="14">
        <v>45500</v>
      </c>
      <c r="D449" s="14">
        <v>45530</v>
      </c>
      <c r="E449" s="14">
        <v>45536</v>
      </c>
      <c r="F449" s="15">
        <v>28003.67</v>
      </c>
      <c r="G449" s="15">
        <v>28003.67</v>
      </c>
      <c r="H449" s="15">
        <f t="shared" si="30"/>
        <v>0</v>
      </c>
      <c r="I449" s="13">
        <f t="shared" si="31"/>
        <v>6</v>
      </c>
      <c r="J449" s="13" t="str">
        <f t="shared" ca="1" si="32"/>
        <v>Paid</v>
      </c>
      <c r="K449" s="13">
        <f t="shared" ca="1" si="33"/>
        <v>0</v>
      </c>
      <c r="L449" s="13" t="str">
        <f t="shared" si="34"/>
        <v>Paid</v>
      </c>
      <c r="M449" s="14">
        <v>45474</v>
      </c>
      <c r="N449" s="14">
        <v>45536</v>
      </c>
    </row>
    <row r="450" spans="1:14" x14ac:dyDescent="0.25">
      <c r="A450" s="10" t="s">
        <v>577</v>
      </c>
      <c r="B450" s="10" t="s">
        <v>107</v>
      </c>
      <c r="C450" s="11">
        <v>45478</v>
      </c>
      <c r="D450" s="11">
        <v>45508</v>
      </c>
      <c r="E450" s="11">
        <v>45508</v>
      </c>
      <c r="F450" s="12">
        <v>48695.9</v>
      </c>
      <c r="G450" s="12">
        <v>48695.9</v>
      </c>
      <c r="H450" s="12">
        <f t="shared" ref="H450:H513" si="35">MAX(0,F450-G450)</f>
        <v>0</v>
      </c>
      <c r="I450" s="10">
        <f t="shared" ref="I450:I513" si="36">IF(E450="","",MAX(0,E450-D450))</f>
        <v>0</v>
      </c>
      <c r="J450" s="10" t="str">
        <f t="shared" ref="J450:J513" ca="1" si="37">IF(H450=0,"Paid",IF(D450&lt;TODAY(),"Overdue","Open"))</f>
        <v>Paid</v>
      </c>
      <c r="K450" s="10">
        <f t="shared" ref="K450:K513" ca="1" si="38">IF(H450=0,0,MAX(0,TODAY()-D450))</f>
        <v>0</v>
      </c>
      <c r="L450" s="10" t="str">
        <f t="shared" ref="L450:L513" si="39">IF(H450=0,"Paid",IF(K450&lt;=30,"0-30 Days",IF(K450&lt;=60,"31-60 Days",IF(K450&lt;=90,"61-90 Days",IF(K450&lt;=120,"91-120 Days","120+ Days")))))</f>
        <v>Paid</v>
      </c>
      <c r="M450" s="11">
        <v>45474</v>
      </c>
      <c r="N450" s="11">
        <v>45505</v>
      </c>
    </row>
    <row r="451" spans="1:14" x14ac:dyDescent="0.25">
      <c r="A451" s="13" t="s">
        <v>578</v>
      </c>
      <c r="B451" s="13" t="s">
        <v>95</v>
      </c>
      <c r="C451" s="14">
        <v>45481</v>
      </c>
      <c r="D451" s="14">
        <v>45511</v>
      </c>
      <c r="E451" s="14"/>
      <c r="F451" s="15">
        <v>13273.12</v>
      </c>
      <c r="G451" s="15">
        <v>0</v>
      </c>
      <c r="H451" s="15">
        <f t="shared" si="35"/>
        <v>13273.12</v>
      </c>
      <c r="I451" s="13" t="str">
        <f t="shared" si="36"/>
        <v/>
      </c>
      <c r="J451" s="13" t="str">
        <f t="shared" ca="1" si="37"/>
        <v>Overdue</v>
      </c>
      <c r="K451" s="13">
        <f t="shared" ca="1" si="38"/>
        <v>745</v>
      </c>
      <c r="L451" s="13" t="str">
        <f t="shared" ca="1" si="39"/>
        <v>120+ Days</v>
      </c>
      <c r="M451" s="14">
        <v>45474</v>
      </c>
      <c r="N451" s="14"/>
    </row>
    <row r="452" spans="1:14" x14ac:dyDescent="0.25">
      <c r="A452" s="10" t="s">
        <v>579</v>
      </c>
      <c r="B452" s="10" t="s">
        <v>146</v>
      </c>
      <c r="C452" s="11">
        <v>45494</v>
      </c>
      <c r="D452" s="11">
        <v>45524</v>
      </c>
      <c r="E452" s="11">
        <v>45545</v>
      </c>
      <c r="F452" s="12">
        <v>38165.620000000003</v>
      </c>
      <c r="G452" s="12">
        <v>38165.620000000003</v>
      </c>
      <c r="H452" s="12">
        <f t="shared" si="35"/>
        <v>0</v>
      </c>
      <c r="I452" s="10">
        <f t="shared" si="36"/>
        <v>21</v>
      </c>
      <c r="J452" s="10" t="str">
        <f t="shared" ca="1" si="37"/>
        <v>Paid</v>
      </c>
      <c r="K452" s="10">
        <f t="shared" ca="1" si="38"/>
        <v>0</v>
      </c>
      <c r="L452" s="10" t="str">
        <f t="shared" si="39"/>
        <v>Paid</v>
      </c>
      <c r="M452" s="11">
        <v>45474</v>
      </c>
      <c r="N452" s="11">
        <v>45536</v>
      </c>
    </row>
    <row r="453" spans="1:14" x14ac:dyDescent="0.25">
      <c r="A453" s="13" t="s">
        <v>580</v>
      </c>
      <c r="B453" s="13" t="s">
        <v>224</v>
      </c>
      <c r="C453" s="14">
        <v>45483</v>
      </c>
      <c r="D453" s="14">
        <v>45513</v>
      </c>
      <c r="E453" s="14">
        <v>45519</v>
      </c>
      <c r="F453" s="15">
        <v>12892.38</v>
      </c>
      <c r="G453" s="15">
        <v>12892.38</v>
      </c>
      <c r="H453" s="15">
        <f t="shared" si="35"/>
        <v>0</v>
      </c>
      <c r="I453" s="13">
        <f t="shared" si="36"/>
        <v>6</v>
      </c>
      <c r="J453" s="13" t="str">
        <f t="shared" ca="1" si="37"/>
        <v>Paid</v>
      </c>
      <c r="K453" s="13">
        <f t="shared" ca="1" si="38"/>
        <v>0</v>
      </c>
      <c r="L453" s="13" t="str">
        <f t="shared" si="39"/>
        <v>Paid</v>
      </c>
      <c r="M453" s="14">
        <v>45474</v>
      </c>
      <c r="N453" s="14">
        <v>45505</v>
      </c>
    </row>
    <row r="454" spans="1:14" x14ac:dyDescent="0.25">
      <c r="A454" s="10" t="s">
        <v>581</v>
      </c>
      <c r="B454" s="10" t="s">
        <v>146</v>
      </c>
      <c r="C454" s="11">
        <v>45500</v>
      </c>
      <c r="D454" s="11">
        <v>45530</v>
      </c>
      <c r="E454" s="11">
        <v>45546</v>
      </c>
      <c r="F454" s="12">
        <v>41923.31</v>
      </c>
      <c r="G454" s="12">
        <v>41923.31</v>
      </c>
      <c r="H454" s="12">
        <f t="shared" si="35"/>
        <v>0</v>
      </c>
      <c r="I454" s="10">
        <f t="shared" si="36"/>
        <v>16</v>
      </c>
      <c r="J454" s="10" t="str">
        <f t="shared" ca="1" si="37"/>
        <v>Paid</v>
      </c>
      <c r="K454" s="10">
        <f t="shared" ca="1" si="38"/>
        <v>0</v>
      </c>
      <c r="L454" s="10" t="str">
        <f t="shared" si="39"/>
        <v>Paid</v>
      </c>
      <c r="M454" s="11">
        <v>45474</v>
      </c>
      <c r="N454" s="11">
        <v>45536</v>
      </c>
    </row>
    <row r="455" spans="1:14" x14ac:dyDescent="0.25">
      <c r="A455" s="13" t="s">
        <v>582</v>
      </c>
      <c r="B455" s="13" t="s">
        <v>123</v>
      </c>
      <c r="C455" s="14">
        <v>45474</v>
      </c>
      <c r="D455" s="14">
        <v>45504</v>
      </c>
      <c r="E455" s="14">
        <v>45504</v>
      </c>
      <c r="F455" s="15">
        <v>49820.92</v>
      </c>
      <c r="G455" s="15">
        <v>49820.92</v>
      </c>
      <c r="H455" s="15">
        <f t="shared" si="35"/>
        <v>0</v>
      </c>
      <c r="I455" s="13">
        <f t="shared" si="36"/>
        <v>0</v>
      </c>
      <c r="J455" s="13" t="str">
        <f t="shared" ca="1" si="37"/>
        <v>Paid</v>
      </c>
      <c r="K455" s="13">
        <f t="shared" ca="1" si="38"/>
        <v>0</v>
      </c>
      <c r="L455" s="13" t="str">
        <f t="shared" si="39"/>
        <v>Paid</v>
      </c>
      <c r="M455" s="14">
        <v>45474</v>
      </c>
      <c r="N455" s="14">
        <v>45474</v>
      </c>
    </row>
    <row r="456" spans="1:14" x14ac:dyDescent="0.25">
      <c r="A456" s="10" t="s">
        <v>583</v>
      </c>
      <c r="B456" s="10" t="s">
        <v>188</v>
      </c>
      <c r="C456" s="11">
        <v>45500</v>
      </c>
      <c r="D456" s="11">
        <v>45530</v>
      </c>
      <c r="E456" s="11">
        <v>45546</v>
      </c>
      <c r="F456" s="12">
        <v>58283.83</v>
      </c>
      <c r="G456" s="12">
        <v>58283.83</v>
      </c>
      <c r="H456" s="12">
        <f t="shared" si="35"/>
        <v>0</v>
      </c>
      <c r="I456" s="10">
        <f t="shared" si="36"/>
        <v>16</v>
      </c>
      <c r="J456" s="10" t="str">
        <f t="shared" ca="1" si="37"/>
        <v>Paid</v>
      </c>
      <c r="K456" s="10">
        <f t="shared" ca="1" si="38"/>
        <v>0</v>
      </c>
      <c r="L456" s="10" t="str">
        <f t="shared" si="39"/>
        <v>Paid</v>
      </c>
      <c r="M456" s="11">
        <v>45474</v>
      </c>
      <c r="N456" s="11">
        <v>45536</v>
      </c>
    </row>
    <row r="457" spans="1:14" x14ac:dyDescent="0.25">
      <c r="A457" s="13" t="s">
        <v>584</v>
      </c>
      <c r="B457" s="13" t="s">
        <v>314</v>
      </c>
      <c r="C457" s="14">
        <v>45492</v>
      </c>
      <c r="D457" s="14">
        <v>45522</v>
      </c>
      <c r="E457" s="14">
        <v>45543</v>
      </c>
      <c r="F457" s="15">
        <v>55303.25</v>
      </c>
      <c r="G457" s="15">
        <v>28397.919999999998</v>
      </c>
      <c r="H457" s="15">
        <f t="shared" si="35"/>
        <v>26905.33</v>
      </c>
      <c r="I457" s="13">
        <f t="shared" si="36"/>
        <v>21</v>
      </c>
      <c r="J457" s="13" t="str">
        <f t="shared" ca="1" si="37"/>
        <v>Overdue</v>
      </c>
      <c r="K457" s="13">
        <f t="shared" ca="1" si="38"/>
        <v>734</v>
      </c>
      <c r="L457" s="13" t="str">
        <f t="shared" ca="1" si="39"/>
        <v>120+ Days</v>
      </c>
      <c r="M457" s="14">
        <v>45474</v>
      </c>
      <c r="N457" s="14">
        <v>45536</v>
      </c>
    </row>
    <row r="458" spans="1:14" x14ac:dyDescent="0.25">
      <c r="A458" s="10" t="s">
        <v>585</v>
      </c>
      <c r="B458" s="10" t="s">
        <v>109</v>
      </c>
      <c r="C458" s="11">
        <v>45496</v>
      </c>
      <c r="D458" s="11">
        <v>45526</v>
      </c>
      <c r="E458" s="11"/>
      <c r="F458" s="12">
        <v>23579.65</v>
      </c>
      <c r="G458" s="12">
        <v>0</v>
      </c>
      <c r="H458" s="12">
        <f t="shared" si="35"/>
        <v>23579.65</v>
      </c>
      <c r="I458" s="10" t="str">
        <f t="shared" si="36"/>
        <v/>
      </c>
      <c r="J458" s="10" t="str">
        <f t="shared" ca="1" si="37"/>
        <v>Overdue</v>
      </c>
      <c r="K458" s="10">
        <f t="shared" ca="1" si="38"/>
        <v>730</v>
      </c>
      <c r="L458" s="10" t="str">
        <f t="shared" ca="1" si="39"/>
        <v>120+ Days</v>
      </c>
      <c r="M458" s="11">
        <v>45474</v>
      </c>
      <c r="N458" s="11"/>
    </row>
    <row r="459" spans="1:14" x14ac:dyDescent="0.25">
      <c r="A459" s="13" t="s">
        <v>586</v>
      </c>
      <c r="B459" s="13" t="s">
        <v>274</v>
      </c>
      <c r="C459" s="14">
        <v>45489</v>
      </c>
      <c r="D459" s="14">
        <v>45519</v>
      </c>
      <c r="E459" s="14">
        <v>45553</v>
      </c>
      <c r="F459" s="15">
        <v>39402.15</v>
      </c>
      <c r="G459" s="15">
        <v>39402.15</v>
      </c>
      <c r="H459" s="15">
        <f t="shared" si="35"/>
        <v>0</v>
      </c>
      <c r="I459" s="13">
        <f t="shared" si="36"/>
        <v>34</v>
      </c>
      <c r="J459" s="13" t="str">
        <f t="shared" ca="1" si="37"/>
        <v>Paid</v>
      </c>
      <c r="K459" s="13">
        <f t="shared" ca="1" si="38"/>
        <v>0</v>
      </c>
      <c r="L459" s="13" t="str">
        <f t="shared" si="39"/>
        <v>Paid</v>
      </c>
      <c r="M459" s="14">
        <v>45474</v>
      </c>
      <c r="N459" s="14">
        <v>45536</v>
      </c>
    </row>
    <row r="460" spans="1:14" x14ac:dyDescent="0.25">
      <c r="A460" s="10" t="s">
        <v>587</v>
      </c>
      <c r="B460" s="10" t="s">
        <v>93</v>
      </c>
      <c r="C460" s="11">
        <v>45495</v>
      </c>
      <c r="D460" s="11">
        <v>45525</v>
      </c>
      <c r="E460" s="11">
        <v>45556</v>
      </c>
      <c r="F460" s="12">
        <v>52484.01</v>
      </c>
      <c r="G460" s="12">
        <v>52484.01</v>
      </c>
      <c r="H460" s="12">
        <f t="shared" si="35"/>
        <v>0</v>
      </c>
      <c r="I460" s="10">
        <f t="shared" si="36"/>
        <v>31</v>
      </c>
      <c r="J460" s="10" t="str">
        <f t="shared" ca="1" si="37"/>
        <v>Paid</v>
      </c>
      <c r="K460" s="10">
        <f t="shared" ca="1" si="38"/>
        <v>0</v>
      </c>
      <c r="L460" s="10" t="str">
        <f t="shared" si="39"/>
        <v>Paid</v>
      </c>
      <c r="M460" s="11">
        <v>45474</v>
      </c>
      <c r="N460" s="11">
        <v>45536</v>
      </c>
    </row>
    <row r="461" spans="1:14" x14ac:dyDescent="0.25">
      <c r="A461" s="13" t="s">
        <v>588</v>
      </c>
      <c r="B461" s="13" t="s">
        <v>182</v>
      </c>
      <c r="C461" s="14">
        <v>45485</v>
      </c>
      <c r="D461" s="14">
        <v>45515</v>
      </c>
      <c r="E461" s="14">
        <v>45515</v>
      </c>
      <c r="F461" s="15">
        <v>86081.81</v>
      </c>
      <c r="G461" s="15">
        <v>86081.81</v>
      </c>
      <c r="H461" s="15">
        <f t="shared" si="35"/>
        <v>0</v>
      </c>
      <c r="I461" s="13">
        <f t="shared" si="36"/>
        <v>0</v>
      </c>
      <c r="J461" s="13" t="str">
        <f t="shared" ca="1" si="37"/>
        <v>Paid</v>
      </c>
      <c r="K461" s="13">
        <f t="shared" ca="1" si="38"/>
        <v>0</v>
      </c>
      <c r="L461" s="13" t="str">
        <f t="shared" si="39"/>
        <v>Paid</v>
      </c>
      <c r="M461" s="14">
        <v>45474</v>
      </c>
      <c r="N461" s="14">
        <v>45505</v>
      </c>
    </row>
    <row r="462" spans="1:14" x14ac:dyDescent="0.25">
      <c r="A462" s="10" t="s">
        <v>589</v>
      </c>
      <c r="B462" s="10" t="s">
        <v>119</v>
      </c>
      <c r="C462" s="11">
        <v>45485</v>
      </c>
      <c r="D462" s="11">
        <v>45515</v>
      </c>
      <c r="E462" s="11">
        <v>45515</v>
      </c>
      <c r="F462" s="12">
        <v>38408.81</v>
      </c>
      <c r="G462" s="12">
        <v>38408.81</v>
      </c>
      <c r="H462" s="12">
        <f t="shared" si="35"/>
        <v>0</v>
      </c>
      <c r="I462" s="10">
        <f t="shared" si="36"/>
        <v>0</v>
      </c>
      <c r="J462" s="10" t="str">
        <f t="shared" ca="1" si="37"/>
        <v>Paid</v>
      </c>
      <c r="K462" s="10">
        <f t="shared" ca="1" si="38"/>
        <v>0</v>
      </c>
      <c r="L462" s="10" t="str">
        <f t="shared" si="39"/>
        <v>Paid</v>
      </c>
      <c r="M462" s="11">
        <v>45474</v>
      </c>
      <c r="N462" s="11">
        <v>45505</v>
      </c>
    </row>
    <row r="463" spans="1:14" x14ac:dyDescent="0.25">
      <c r="A463" s="13" t="s">
        <v>590</v>
      </c>
      <c r="B463" s="13" t="s">
        <v>89</v>
      </c>
      <c r="C463" s="14">
        <v>45500</v>
      </c>
      <c r="D463" s="14">
        <v>45530</v>
      </c>
      <c r="E463" s="14"/>
      <c r="F463" s="15">
        <v>12447.18</v>
      </c>
      <c r="G463" s="15">
        <v>0</v>
      </c>
      <c r="H463" s="15">
        <f t="shared" si="35"/>
        <v>12447.18</v>
      </c>
      <c r="I463" s="13" t="str">
        <f t="shared" si="36"/>
        <v/>
      </c>
      <c r="J463" s="13" t="str">
        <f t="shared" ca="1" si="37"/>
        <v>Overdue</v>
      </c>
      <c r="K463" s="13">
        <f t="shared" ca="1" si="38"/>
        <v>726</v>
      </c>
      <c r="L463" s="13" t="str">
        <f t="shared" ca="1" si="39"/>
        <v>120+ Days</v>
      </c>
      <c r="M463" s="14">
        <v>45474</v>
      </c>
      <c r="N463" s="14"/>
    </row>
    <row r="464" spans="1:14" x14ac:dyDescent="0.25">
      <c r="A464" s="10" t="s">
        <v>591</v>
      </c>
      <c r="B464" s="10" t="s">
        <v>131</v>
      </c>
      <c r="C464" s="11">
        <v>45486</v>
      </c>
      <c r="D464" s="11">
        <v>45516</v>
      </c>
      <c r="E464" s="11">
        <v>45532</v>
      </c>
      <c r="F464" s="12">
        <v>20638.88</v>
      </c>
      <c r="G464" s="12">
        <v>20638.88</v>
      </c>
      <c r="H464" s="12">
        <f t="shared" si="35"/>
        <v>0</v>
      </c>
      <c r="I464" s="10">
        <f t="shared" si="36"/>
        <v>16</v>
      </c>
      <c r="J464" s="10" t="str">
        <f t="shared" ca="1" si="37"/>
        <v>Paid</v>
      </c>
      <c r="K464" s="10">
        <f t="shared" ca="1" si="38"/>
        <v>0</v>
      </c>
      <c r="L464" s="10" t="str">
        <f t="shared" si="39"/>
        <v>Paid</v>
      </c>
      <c r="M464" s="11">
        <v>45474</v>
      </c>
      <c r="N464" s="11">
        <v>45505</v>
      </c>
    </row>
    <row r="465" spans="1:14" x14ac:dyDescent="0.25">
      <c r="A465" s="13" t="s">
        <v>592</v>
      </c>
      <c r="B465" s="13" t="s">
        <v>136</v>
      </c>
      <c r="C465" s="14">
        <v>45477</v>
      </c>
      <c r="D465" s="14">
        <v>45507</v>
      </c>
      <c r="E465" s="14">
        <v>45545</v>
      </c>
      <c r="F465" s="15">
        <v>43356.21</v>
      </c>
      <c r="G465" s="15">
        <v>43356.21</v>
      </c>
      <c r="H465" s="15">
        <f t="shared" si="35"/>
        <v>0</v>
      </c>
      <c r="I465" s="13">
        <f t="shared" si="36"/>
        <v>38</v>
      </c>
      <c r="J465" s="13" t="str">
        <f t="shared" ca="1" si="37"/>
        <v>Paid</v>
      </c>
      <c r="K465" s="13">
        <f t="shared" ca="1" si="38"/>
        <v>0</v>
      </c>
      <c r="L465" s="13" t="str">
        <f t="shared" si="39"/>
        <v>Paid</v>
      </c>
      <c r="M465" s="14">
        <v>45474</v>
      </c>
      <c r="N465" s="14">
        <v>45536</v>
      </c>
    </row>
    <row r="466" spans="1:14" x14ac:dyDescent="0.25">
      <c r="A466" s="10" t="s">
        <v>593</v>
      </c>
      <c r="B466" s="10" t="s">
        <v>188</v>
      </c>
      <c r="C466" s="11">
        <v>45478</v>
      </c>
      <c r="D466" s="11">
        <v>45508</v>
      </c>
      <c r="E466" s="11">
        <v>45512</v>
      </c>
      <c r="F466" s="12">
        <v>49578.89</v>
      </c>
      <c r="G466" s="12">
        <v>49578.89</v>
      </c>
      <c r="H466" s="12">
        <f t="shared" si="35"/>
        <v>0</v>
      </c>
      <c r="I466" s="10">
        <f t="shared" si="36"/>
        <v>4</v>
      </c>
      <c r="J466" s="10" t="str">
        <f t="shared" ca="1" si="37"/>
        <v>Paid</v>
      </c>
      <c r="K466" s="10">
        <f t="shared" ca="1" si="38"/>
        <v>0</v>
      </c>
      <c r="L466" s="10" t="str">
        <f t="shared" si="39"/>
        <v>Paid</v>
      </c>
      <c r="M466" s="11">
        <v>45474</v>
      </c>
      <c r="N466" s="11">
        <v>45505</v>
      </c>
    </row>
    <row r="467" spans="1:14" x14ac:dyDescent="0.25">
      <c r="A467" s="13" t="s">
        <v>594</v>
      </c>
      <c r="B467" s="13" t="s">
        <v>117</v>
      </c>
      <c r="C467" s="14">
        <v>45474</v>
      </c>
      <c r="D467" s="14">
        <v>45504</v>
      </c>
      <c r="E467" s="14">
        <v>45541</v>
      </c>
      <c r="F467" s="15">
        <v>47399.040000000001</v>
      </c>
      <c r="G467" s="15">
        <v>47399.040000000001</v>
      </c>
      <c r="H467" s="15">
        <f t="shared" si="35"/>
        <v>0</v>
      </c>
      <c r="I467" s="13">
        <f t="shared" si="36"/>
        <v>37</v>
      </c>
      <c r="J467" s="13" t="str">
        <f t="shared" ca="1" si="37"/>
        <v>Paid</v>
      </c>
      <c r="K467" s="13">
        <f t="shared" ca="1" si="38"/>
        <v>0</v>
      </c>
      <c r="L467" s="13" t="str">
        <f t="shared" si="39"/>
        <v>Paid</v>
      </c>
      <c r="M467" s="14">
        <v>45474</v>
      </c>
      <c r="N467" s="14">
        <v>45536</v>
      </c>
    </row>
    <row r="468" spans="1:14" x14ac:dyDescent="0.25">
      <c r="A468" s="10" t="s">
        <v>595</v>
      </c>
      <c r="B468" s="10" t="s">
        <v>224</v>
      </c>
      <c r="C468" s="11">
        <v>45496</v>
      </c>
      <c r="D468" s="11">
        <v>45526</v>
      </c>
      <c r="E468" s="11">
        <v>45548</v>
      </c>
      <c r="F468" s="12">
        <v>21024.93</v>
      </c>
      <c r="G468" s="12">
        <v>21024.93</v>
      </c>
      <c r="H468" s="12">
        <f t="shared" si="35"/>
        <v>0</v>
      </c>
      <c r="I468" s="10">
        <f t="shared" si="36"/>
        <v>22</v>
      </c>
      <c r="J468" s="10" t="str">
        <f t="shared" ca="1" si="37"/>
        <v>Paid</v>
      </c>
      <c r="K468" s="10">
        <f t="shared" ca="1" si="38"/>
        <v>0</v>
      </c>
      <c r="L468" s="10" t="str">
        <f t="shared" si="39"/>
        <v>Paid</v>
      </c>
      <c r="M468" s="11">
        <v>45474</v>
      </c>
      <c r="N468" s="11">
        <v>45536</v>
      </c>
    </row>
    <row r="469" spans="1:14" x14ac:dyDescent="0.25">
      <c r="A469" s="13" t="s">
        <v>596</v>
      </c>
      <c r="B469" s="13" t="s">
        <v>265</v>
      </c>
      <c r="C469" s="14">
        <v>45490</v>
      </c>
      <c r="D469" s="14">
        <v>45520</v>
      </c>
      <c r="E469" s="14">
        <v>45537</v>
      </c>
      <c r="F469" s="15">
        <v>41625.910000000003</v>
      </c>
      <c r="G469" s="15">
        <v>41625.910000000003</v>
      </c>
      <c r="H469" s="15">
        <f t="shared" si="35"/>
        <v>0</v>
      </c>
      <c r="I469" s="13">
        <f t="shared" si="36"/>
        <v>17</v>
      </c>
      <c r="J469" s="13" t="str">
        <f t="shared" ca="1" si="37"/>
        <v>Paid</v>
      </c>
      <c r="K469" s="13">
        <f t="shared" ca="1" si="38"/>
        <v>0</v>
      </c>
      <c r="L469" s="13" t="str">
        <f t="shared" si="39"/>
        <v>Paid</v>
      </c>
      <c r="M469" s="14">
        <v>45474</v>
      </c>
      <c r="N469" s="14">
        <v>45536</v>
      </c>
    </row>
    <row r="470" spans="1:14" x14ac:dyDescent="0.25">
      <c r="A470" s="10" t="s">
        <v>597</v>
      </c>
      <c r="B470" s="10" t="s">
        <v>79</v>
      </c>
      <c r="C470" s="11">
        <v>45498</v>
      </c>
      <c r="D470" s="11">
        <v>45528</v>
      </c>
      <c r="E470" s="11">
        <v>45569</v>
      </c>
      <c r="F470" s="12">
        <v>31134.51</v>
      </c>
      <c r="G470" s="12">
        <v>31134.51</v>
      </c>
      <c r="H470" s="12">
        <f t="shared" si="35"/>
        <v>0</v>
      </c>
      <c r="I470" s="10">
        <f t="shared" si="36"/>
        <v>41</v>
      </c>
      <c r="J470" s="10" t="str">
        <f t="shared" ca="1" si="37"/>
        <v>Paid</v>
      </c>
      <c r="K470" s="10">
        <f t="shared" ca="1" si="38"/>
        <v>0</v>
      </c>
      <c r="L470" s="10" t="str">
        <f t="shared" si="39"/>
        <v>Paid</v>
      </c>
      <c r="M470" s="11">
        <v>45474</v>
      </c>
      <c r="N470" s="11">
        <v>45566</v>
      </c>
    </row>
    <row r="471" spans="1:14" x14ac:dyDescent="0.25">
      <c r="A471" s="13" t="s">
        <v>598</v>
      </c>
      <c r="B471" s="13" t="s">
        <v>123</v>
      </c>
      <c r="C471" s="14">
        <v>45495</v>
      </c>
      <c r="D471" s="14">
        <v>45525</v>
      </c>
      <c r="E471" s="14">
        <v>45525</v>
      </c>
      <c r="F471" s="15">
        <v>27203.31</v>
      </c>
      <c r="G471" s="15">
        <v>27203.31</v>
      </c>
      <c r="H471" s="15">
        <f t="shared" si="35"/>
        <v>0</v>
      </c>
      <c r="I471" s="13">
        <f t="shared" si="36"/>
        <v>0</v>
      </c>
      <c r="J471" s="13" t="str">
        <f t="shared" ca="1" si="37"/>
        <v>Paid</v>
      </c>
      <c r="K471" s="13">
        <f t="shared" ca="1" si="38"/>
        <v>0</v>
      </c>
      <c r="L471" s="13" t="str">
        <f t="shared" si="39"/>
        <v>Paid</v>
      </c>
      <c r="M471" s="14">
        <v>45474</v>
      </c>
      <c r="N471" s="14">
        <v>45505</v>
      </c>
    </row>
    <row r="472" spans="1:14" x14ac:dyDescent="0.25">
      <c r="A472" s="10" t="s">
        <v>599</v>
      </c>
      <c r="B472" s="10" t="s">
        <v>161</v>
      </c>
      <c r="C472" s="11">
        <v>45491</v>
      </c>
      <c r="D472" s="11">
        <v>45521</v>
      </c>
      <c r="E472" s="11">
        <v>45555</v>
      </c>
      <c r="F472" s="12">
        <v>13966.02</v>
      </c>
      <c r="G472" s="12">
        <v>13966.02</v>
      </c>
      <c r="H472" s="12">
        <f t="shared" si="35"/>
        <v>0</v>
      </c>
      <c r="I472" s="10">
        <f t="shared" si="36"/>
        <v>34</v>
      </c>
      <c r="J472" s="10" t="str">
        <f t="shared" ca="1" si="37"/>
        <v>Paid</v>
      </c>
      <c r="K472" s="10">
        <f t="shared" ca="1" si="38"/>
        <v>0</v>
      </c>
      <c r="L472" s="10" t="str">
        <f t="shared" si="39"/>
        <v>Paid</v>
      </c>
      <c r="M472" s="11">
        <v>45474</v>
      </c>
      <c r="N472" s="11">
        <v>45536</v>
      </c>
    </row>
    <row r="473" spans="1:14" x14ac:dyDescent="0.25">
      <c r="A473" s="13" t="s">
        <v>600</v>
      </c>
      <c r="B473" s="13" t="s">
        <v>278</v>
      </c>
      <c r="C473" s="14">
        <v>45494</v>
      </c>
      <c r="D473" s="14">
        <v>45524</v>
      </c>
      <c r="E473" s="14">
        <v>45610</v>
      </c>
      <c r="F473" s="15">
        <v>15609.79</v>
      </c>
      <c r="G473" s="15">
        <v>15609.79</v>
      </c>
      <c r="H473" s="15">
        <f t="shared" si="35"/>
        <v>0</v>
      </c>
      <c r="I473" s="13">
        <f t="shared" si="36"/>
        <v>86</v>
      </c>
      <c r="J473" s="13" t="str">
        <f t="shared" ca="1" si="37"/>
        <v>Paid</v>
      </c>
      <c r="K473" s="13">
        <f t="shared" ca="1" si="38"/>
        <v>0</v>
      </c>
      <c r="L473" s="13" t="str">
        <f t="shared" si="39"/>
        <v>Paid</v>
      </c>
      <c r="M473" s="14">
        <v>45474</v>
      </c>
      <c r="N473" s="14">
        <v>45597</v>
      </c>
    </row>
    <row r="474" spans="1:14" x14ac:dyDescent="0.25">
      <c r="A474" s="10" t="s">
        <v>601</v>
      </c>
      <c r="B474" s="10" t="s">
        <v>81</v>
      </c>
      <c r="C474" s="11">
        <v>45483</v>
      </c>
      <c r="D474" s="11">
        <v>45513</v>
      </c>
      <c r="E474" s="11">
        <v>45513</v>
      </c>
      <c r="F474" s="12">
        <v>29695.61</v>
      </c>
      <c r="G474" s="12">
        <v>29695.61</v>
      </c>
      <c r="H474" s="12">
        <f t="shared" si="35"/>
        <v>0</v>
      </c>
      <c r="I474" s="10">
        <f t="shared" si="36"/>
        <v>0</v>
      </c>
      <c r="J474" s="10" t="str">
        <f t="shared" ca="1" si="37"/>
        <v>Paid</v>
      </c>
      <c r="K474" s="10">
        <f t="shared" ca="1" si="38"/>
        <v>0</v>
      </c>
      <c r="L474" s="10" t="str">
        <f t="shared" si="39"/>
        <v>Paid</v>
      </c>
      <c r="M474" s="11">
        <v>45474</v>
      </c>
      <c r="N474" s="11">
        <v>45505</v>
      </c>
    </row>
    <row r="475" spans="1:14" x14ac:dyDescent="0.25">
      <c r="A475" s="13" t="s">
        <v>602</v>
      </c>
      <c r="B475" s="13" t="s">
        <v>146</v>
      </c>
      <c r="C475" s="14">
        <v>45488</v>
      </c>
      <c r="D475" s="14">
        <v>45518</v>
      </c>
      <c r="E475" s="14">
        <v>45518</v>
      </c>
      <c r="F475" s="15">
        <v>21269.77</v>
      </c>
      <c r="G475" s="15">
        <v>21269.77</v>
      </c>
      <c r="H475" s="15">
        <f t="shared" si="35"/>
        <v>0</v>
      </c>
      <c r="I475" s="13">
        <f t="shared" si="36"/>
        <v>0</v>
      </c>
      <c r="J475" s="13" t="str">
        <f t="shared" ca="1" si="37"/>
        <v>Paid</v>
      </c>
      <c r="K475" s="13">
        <f t="shared" ca="1" si="38"/>
        <v>0</v>
      </c>
      <c r="L475" s="13" t="str">
        <f t="shared" si="39"/>
        <v>Paid</v>
      </c>
      <c r="M475" s="14">
        <v>45474</v>
      </c>
      <c r="N475" s="14">
        <v>45505</v>
      </c>
    </row>
    <row r="476" spans="1:14" x14ac:dyDescent="0.25">
      <c r="A476" s="10" t="s">
        <v>603</v>
      </c>
      <c r="B476" s="10" t="s">
        <v>314</v>
      </c>
      <c r="C476" s="11">
        <v>45530</v>
      </c>
      <c r="D476" s="11">
        <v>45560</v>
      </c>
      <c r="E476" s="11">
        <v>45598</v>
      </c>
      <c r="F476" s="12">
        <v>21818.79</v>
      </c>
      <c r="G476" s="12">
        <v>21818.79</v>
      </c>
      <c r="H476" s="12">
        <f t="shared" si="35"/>
        <v>0</v>
      </c>
      <c r="I476" s="10">
        <f t="shared" si="36"/>
        <v>38</v>
      </c>
      <c r="J476" s="10" t="str">
        <f t="shared" ca="1" si="37"/>
        <v>Paid</v>
      </c>
      <c r="K476" s="10">
        <f t="shared" ca="1" si="38"/>
        <v>0</v>
      </c>
      <c r="L476" s="10" t="str">
        <f t="shared" si="39"/>
        <v>Paid</v>
      </c>
      <c r="M476" s="11">
        <v>45505</v>
      </c>
      <c r="N476" s="11">
        <v>45597</v>
      </c>
    </row>
    <row r="477" spans="1:14" x14ac:dyDescent="0.25">
      <c r="A477" s="13" t="s">
        <v>604</v>
      </c>
      <c r="B477" s="13" t="s">
        <v>274</v>
      </c>
      <c r="C477" s="14">
        <v>45531</v>
      </c>
      <c r="D477" s="14">
        <v>45561</v>
      </c>
      <c r="E477" s="14">
        <v>45576</v>
      </c>
      <c r="F477" s="15">
        <v>14830.8</v>
      </c>
      <c r="G477" s="15">
        <v>14830.8</v>
      </c>
      <c r="H477" s="15">
        <f t="shared" si="35"/>
        <v>0</v>
      </c>
      <c r="I477" s="13">
        <f t="shared" si="36"/>
        <v>15</v>
      </c>
      <c r="J477" s="13" t="str">
        <f t="shared" ca="1" si="37"/>
        <v>Paid</v>
      </c>
      <c r="K477" s="13">
        <f t="shared" ca="1" si="38"/>
        <v>0</v>
      </c>
      <c r="L477" s="13" t="str">
        <f t="shared" si="39"/>
        <v>Paid</v>
      </c>
      <c r="M477" s="14">
        <v>45505</v>
      </c>
      <c r="N477" s="14">
        <v>45566</v>
      </c>
    </row>
    <row r="478" spans="1:14" x14ac:dyDescent="0.25">
      <c r="A478" s="10" t="s">
        <v>605</v>
      </c>
      <c r="B478" s="10" t="s">
        <v>85</v>
      </c>
      <c r="C478" s="11">
        <v>45519</v>
      </c>
      <c r="D478" s="11">
        <v>45549</v>
      </c>
      <c r="E478" s="11"/>
      <c r="F478" s="12">
        <v>18168.52</v>
      </c>
      <c r="G478" s="12">
        <v>0</v>
      </c>
      <c r="H478" s="12">
        <f t="shared" si="35"/>
        <v>18168.52</v>
      </c>
      <c r="I478" s="10" t="str">
        <f t="shared" si="36"/>
        <v/>
      </c>
      <c r="J478" s="10" t="str">
        <f t="shared" ca="1" si="37"/>
        <v>Overdue</v>
      </c>
      <c r="K478" s="10">
        <f t="shared" ca="1" si="38"/>
        <v>707</v>
      </c>
      <c r="L478" s="10" t="str">
        <f t="shared" ca="1" si="39"/>
        <v>120+ Days</v>
      </c>
      <c r="M478" s="11">
        <v>45505</v>
      </c>
      <c r="N478" s="11"/>
    </row>
    <row r="479" spans="1:14" x14ac:dyDescent="0.25">
      <c r="A479" s="13" t="s">
        <v>606</v>
      </c>
      <c r="B479" s="13" t="s">
        <v>101</v>
      </c>
      <c r="C479" s="14">
        <v>45524</v>
      </c>
      <c r="D479" s="14">
        <v>45554</v>
      </c>
      <c r="E479" s="14"/>
      <c r="F479" s="15">
        <v>37484.69</v>
      </c>
      <c r="G479" s="15">
        <v>0</v>
      </c>
      <c r="H479" s="15">
        <f t="shared" si="35"/>
        <v>37484.69</v>
      </c>
      <c r="I479" s="13" t="str">
        <f t="shared" si="36"/>
        <v/>
      </c>
      <c r="J479" s="13" t="str">
        <f t="shared" ca="1" si="37"/>
        <v>Overdue</v>
      </c>
      <c r="K479" s="13">
        <f t="shared" ca="1" si="38"/>
        <v>702</v>
      </c>
      <c r="L479" s="13" t="str">
        <f t="shared" ca="1" si="39"/>
        <v>120+ Days</v>
      </c>
      <c r="M479" s="14">
        <v>45505</v>
      </c>
      <c r="N479" s="14"/>
    </row>
    <row r="480" spans="1:14" x14ac:dyDescent="0.25">
      <c r="A480" s="10" t="s">
        <v>607</v>
      </c>
      <c r="B480" s="10" t="s">
        <v>265</v>
      </c>
      <c r="C480" s="11">
        <v>45526</v>
      </c>
      <c r="D480" s="11">
        <v>45556</v>
      </c>
      <c r="E480" s="11"/>
      <c r="F480" s="12">
        <v>24565.78</v>
      </c>
      <c r="G480" s="12">
        <v>0</v>
      </c>
      <c r="H480" s="12">
        <f t="shared" si="35"/>
        <v>24565.78</v>
      </c>
      <c r="I480" s="10" t="str">
        <f t="shared" si="36"/>
        <v/>
      </c>
      <c r="J480" s="10" t="str">
        <f t="shared" ca="1" si="37"/>
        <v>Overdue</v>
      </c>
      <c r="K480" s="10">
        <f t="shared" ca="1" si="38"/>
        <v>700</v>
      </c>
      <c r="L480" s="10" t="str">
        <f t="shared" ca="1" si="39"/>
        <v>120+ Days</v>
      </c>
      <c r="M480" s="11">
        <v>45505</v>
      </c>
      <c r="N480" s="11"/>
    </row>
    <row r="481" spans="1:14" x14ac:dyDescent="0.25">
      <c r="A481" s="13" t="s">
        <v>608</v>
      </c>
      <c r="B481" s="13" t="s">
        <v>131</v>
      </c>
      <c r="C481" s="14">
        <v>45511</v>
      </c>
      <c r="D481" s="14">
        <v>45541</v>
      </c>
      <c r="E481" s="14">
        <v>45541</v>
      </c>
      <c r="F481" s="15">
        <v>40221.410000000003</v>
      </c>
      <c r="G481" s="15">
        <v>40221.410000000003</v>
      </c>
      <c r="H481" s="15">
        <f t="shared" si="35"/>
        <v>0</v>
      </c>
      <c r="I481" s="13">
        <f t="shared" si="36"/>
        <v>0</v>
      </c>
      <c r="J481" s="13" t="str">
        <f t="shared" ca="1" si="37"/>
        <v>Paid</v>
      </c>
      <c r="K481" s="13">
        <f t="shared" ca="1" si="38"/>
        <v>0</v>
      </c>
      <c r="L481" s="13" t="str">
        <f t="shared" si="39"/>
        <v>Paid</v>
      </c>
      <c r="M481" s="14">
        <v>45505</v>
      </c>
      <c r="N481" s="14">
        <v>45536</v>
      </c>
    </row>
    <row r="482" spans="1:14" x14ac:dyDescent="0.25">
      <c r="A482" s="10" t="s">
        <v>609</v>
      </c>
      <c r="B482" s="10" t="s">
        <v>76</v>
      </c>
      <c r="C482" s="11">
        <v>45519</v>
      </c>
      <c r="D482" s="11">
        <v>45549</v>
      </c>
      <c r="E482" s="11">
        <v>45549</v>
      </c>
      <c r="F482" s="12">
        <v>14163.58</v>
      </c>
      <c r="G482" s="12">
        <v>14163.58</v>
      </c>
      <c r="H482" s="12">
        <f t="shared" si="35"/>
        <v>0</v>
      </c>
      <c r="I482" s="10">
        <f t="shared" si="36"/>
        <v>0</v>
      </c>
      <c r="J482" s="10" t="str">
        <f t="shared" ca="1" si="37"/>
        <v>Paid</v>
      </c>
      <c r="K482" s="10">
        <f t="shared" ca="1" si="38"/>
        <v>0</v>
      </c>
      <c r="L482" s="10" t="str">
        <f t="shared" si="39"/>
        <v>Paid</v>
      </c>
      <c r="M482" s="11">
        <v>45505</v>
      </c>
      <c r="N482" s="11">
        <v>45536</v>
      </c>
    </row>
    <row r="483" spans="1:14" x14ac:dyDescent="0.25">
      <c r="A483" s="13" t="s">
        <v>610</v>
      </c>
      <c r="B483" s="13" t="s">
        <v>119</v>
      </c>
      <c r="C483" s="14">
        <v>45509</v>
      </c>
      <c r="D483" s="14">
        <v>45539</v>
      </c>
      <c r="E483" s="14">
        <v>45546</v>
      </c>
      <c r="F483" s="15">
        <v>23643.21</v>
      </c>
      <c r="G483" s="15">
        <v>23643.21</v>
      </c>
      <c r="H483" s="15">
        <f t="shared" si="35"/>
        <v>0</v>
      </c>
      <c r="I483" s="13">
        <f t="shared" si="36"/>
        <v>7</v>
      </c>
      <c r="J483" s="13" t="str">
        <f t="shared" ca="1" si="37"/>
        <v>Paid</v>
      </c>
      <c r="K483" s="13">
        <f t="shared" ca="1" si="38"/>
        <v>0</v>
      </c>
      <c r="L483" s="13" t="str">
        <f t="shared" si="39"/>
        <v>Paid</v>
      </c>
      <c r="M483" s="14">
        <v>45505</v>
      </c>
      <c r="N483" s="14">
        <v>45536</v>
      </c>
    </row>
    <row r="484" spans="1:14" x14ac:dyDescent="0.25">
      <c r="A484" s="10" t="s">
        <v>611</v>
      </c>
      <c r="B484" s="10" t="s">
        <v>449</v>
      </c>
      <c r="C484" s="11">
        <v>45508</v>
      </c>
      <c r="D484" s="11">
        <v>45538</v>
      </c>
      <c r="E484" s="11"/>
      <c r="F484" s="12">
        <v>14371.19</v>
      </c>
      <c r="G484" s="12">
        <v>0</v>
      </c>
      <c r="H484" s="12">
        <f t="shared" si="35"/>
        <v>14371.19</v>
      </c>
      <c r="I484" s="10" t="str">
        <f t="shared" si="36"/>
        <v/>
      </c>
      <c r="J484" s="10" t="str">
        <f t="shared" ca="1" si="37"/>
        <v>Overdue</v>
      </c>
      <c r="K484" s="10">
        <f t="shared" ca="1" si="38"/>
        <v>718</v>
      </c>
      <c r="L484" s="10" t="str">
        <f t="shared" ca="1" si="39"/>
        <v>120+ Days</v>
      </c>
      <c r="M484" s="11">
        <v>45505</v>
      </c>
      <c r="N484" s="11"/>
    </row>
    <row r="485" spans="1:14" x14ac:dyDescent="0.25">
      <c r="A485" s="13" t="s">
        <v>612</v>
      </c>
      <c r="B485" s="13" t="s">
        <v>198</v>
      </c>
      <c r="C485" s="14">
        <v>45512</v>
      </c>
      <c r="D485" s="14">
        <v>45542</v>
      </c>
      <c r="E485" s="14">
        <v>45562</v>
      </c>
      <c r="F485" s="15">
        <v>42976.83</v>
      </c>
      <c r="G485" s="15">
        <v>42976.83</v>
      </c>
      <c r="H485" s="15">
        <f t="shared" si="35"/>
        <v>0</v>
      </c>
      <c r="I485" s="13">
        <f t="shared" si="36"/>
        <v>20</v>
      </c>
      <c r="J485" s="13" t="str">
        <f t="shared" ca="1" si="37"/>
        <v>Paid</v>
      </c>
      <c r="K485" s="13">
        <f t="shared" ca="1" si="38"/>
        <v>0</v>
      </c>
      <c r="L485" s="13" t="str">
        <f t="shared" si="39"/>
        <v>Paid</v>
      </c>
      <c r="M485" s="14">
        <v>45505</v>
      </c>
      <c r="N485" s="14">
        <v>45536</v>
      </c>
    </row>
    <row r="486" spans="1:14" x14ac:dyDescent="0.25">
      <c r="A486" s="10" t="s">
        <v>613</v>
      </c>
      <c r="B486" s="10" t="s">
        <v>87</v>
      </c>
      <c r="C486" s="11">
        <v>45526</v>
      </c>
      <c r="D486" s="11">
        <v>45556</v>
      </c>
      <c r="E486" s="11">
        <v>45565</v>
      </c>
      <c r="F486" s="12">
        <v>32614.06</v>
      </c>
      <c r="G486" s="12">
        <v>32614.06</v>
      </c>
      <c r="H486" s="12">
        <f t="shared" si="35"/>
        <v>0</v>
      </c>
      <c r="I486" s="10">
        <f t="shared" si="36"/>
        <v>9</v>
      </c>
      <c r="J486" s="10" t="str">
        <f t="shared" ca="1" si="37"/>
        <v>Paid</v>
      </c>
      <c r="K486" s="10">
        <f t="shared" ca="1" si="38"/>
        <v>0</v>
      </c>
      <c r="L486" s="10" t="str">
        <f t="shared" si="39"/>
        <v>Paid</v>
      </c>
      <c r="M486" s="11">
        <v>45505</v>
      </c>
      <c r="N486" s="11">
        <v>45536</v>
      </c>
    </row>
    <row r="487" spans="1:14" x14ac:dyDescent="0.25">
      <c r="A487" s="13" t="s">
        <v>614</v>
      </c>
      <c r="B487" s="13" t="s">
        <v>85</v>
      </c>
      <c r="C487" s="14">
        <v>45530</v>
      </c>
      <c r="D487" s="14">
        <v>45560</v>
      </c>
      <c r="E487" s="14">
        <v>45584</v>
      </c>
      <c r="F487" s="15">
        <v>26842.2</v>
      </c>
      <c r="G487" s="15">
        <v>26842.2</v>
      </c>
      <c r="H487" s="15">
        <f t="shared" si="35"/>
        <v>0</v>
      </c>
      <c r="I487" s="13">
        <f t="shared" si="36"/>
        <v>24</v>
      </c>
      <c r="J487" s="13" t="str">
        <f t="shared" ca="1" si="37"/>
        <v>Paid</v>
      </c>
      <c r="K487" s="13">
        <f t="shared" ca="1" si="38"/>
        <v>0</v>
      </c>
      <c r="L487" s="13" t="str">
        <f t="shared" si="39"/>
        <v>Paid</v>
      </c>
      <c r="M487" s="14">
        <v>45505</v>
      </c>
      <c r="N487" s="14">
        <v>45566</v>
      </c>
    </row>
    <row r="488" spans="1:14" x14ac:dyDescent="0.25">
      <c r="A488" s="10" t="s">
        <v>615</v>
      </c>
      <c r="B488" s="10" t="s">
        <v>265</v>
      </c>
      <c r="C488" s="11">
        <v>45510</v>
      </c>
      <c r="D488" s="11">
        <v>45540</v>
      </c>
      <c r="E488" s="11">
        <v>45545</v>
      </c>
      <c r="F488" s="12">
        <v>49851.39</v>
      </c>
      <c r="G488" s="12">
        <v>49851.39</v>
      </c>
      <c r="H488" s="12">
        <f t="shared" si="35"/>
        <v>0</v>
      </c>
      <c r="I488" s="10">
        <f t="shared" si="36"/>
        <v>5</v>
      </c>
      <c r="J488" s="10" t="str">
        <f t="shared" ca="1" si="37"/>
        <v>Paid</v>
      </c>
      <c r="K488" s="10">
        <f t="shared" ca="1" si="38"/>
        <v>0</v>
      </c>
      <c r="L488" s="10" t="str">
        <f t="shared" si="39"/>
        <v>Paid</v>
      </c>
      <c r="M488" s="11">
        <v>45505</v>
      </c>
      <c r="N488" s="11">
        <v>45536</v>
      </c>
    </row>
    <row r="489" spans="1:14" x14ac:dyDescent="0.25">
      <c r="A489" s="13" t="s">
        <v>616</v>
      </c>
      <c r="B489" s="13" t="s">
        <v>314</v>
      </c>
      <c r="C489" s="14">
        <v>45523</v>
      </c>
      <c r="D489" s="14">
        <v>45553</v>
      </c>
      <c r="E489" s="14">
        <v>45577</v>
      </c>
      <c r="F489" s="15">
        <v>30129.13</v>
      </c>
      <c r="G489" s="15">
        <v>30129.13</v>
      </c>
      <c r="H489" s="15">
        <f t="shared" si="35"/>
        <v>0</v>
      </c>
      <c r="I489" s="13">
        <f t="shared" si="36"/>
        <v>24</v>
      </c>
      <c r="J489" s="13" t="str">
        <f t="shared" ca="1" si="37"/>
        <v>Paid</v>
      </c>
      <c r="K489" s="13">
        <f t="shared" ca="1" si="38"/>
        <v>0</v>
      </c>
      <c r="L489" s="13" t="str">
        <f t="shared" si="39"/>
        <v>Paid</v>
      </c>
      <c r="M489" s="14">
        <v>45505</v>
      </c>
      <c r="N489" s="14">
        <v>45566</v>
      </c>
    </row>
    <row r="490" spans="1:14" x14ac:dyDescent="0.25">
      <c r="A490" s="10" t="s">
        <v>617</v>
      </c>
      <c r="B490" s="10" t="s">
        <v>113</v>
      </c>
      <c r="C490" s="11">
        <v>45512</v>
      </c>
      <c r="D490" s="11">
        <v>45542</v>
      </c>
      <c r="E490" s="11">
        <v>45542</v>
      </c>
      <c r="F490" s="12">
        <v>40440.199999999997</v>
      </c>
      <c r="G490" s="12">
        <v>40440.199999999997</v>
      </c>
      <c r="H490" s="12">
        <f t="shared" si="35"/>
        <v>0</v>
      </c>
      <c r="I490" s="10">
        <f t="shared" si="36"/>
        <v>0</v>
      </c>
      <c r="J490" s="10" t="str">
        <f t="shared" ca="1" si="37"/>
        <v>Paid</v>
      </c>
      <c r="K490" s="10">
        <f t="shared" ca="1" si="38"/>
        <v>0</v>
      </c>
      <c r="L490" s="10" t="str">
        <f t="shared" si="39"/>
        <v>Paid</v>
      </c>
      <c r="M490" s="11">
        <v>45505</v>
      </c>
      <c r="N490" s="11">
        <v>45536</v>
      </c>
    </row>
    <row r="491" spans="1:14" x14ac:dyDescent="0.25">
      <c r="A491" s="13" t="s">
        <v>618</v>
      </c>
      <c r="B491" s="13" t="s">
        <v>188</v>
      </c>
      <c r="C491" s="14">
        <v>45512</v>
      </c>
      <c r="D491" s="14">
        <v>45542</v>
      </c>
      <c r="E491" s="14">
        <v>45617</v>
      </c>
      <c r="F491" s="15">
        <v>58303.73</v>
      </c>
      <c r="G491" s="15">
        <v>33337.19</v>
      </c>
      <c r="H491" s="15">
        <f t="shared" si="35"/>
        <v>24966.54</v>
      </c>
      <c r="I491" s="13">
        <f t="shared" si="36"/>
        <v>75</v>
      </c>
      <c r="J491" s="13" t="str">
        <f t="shared" ca="1" si="37"/>
        <v>Overdue</v>
      </c>
      <c r="K491" s="13">
        <f t="shared" ca="1" si="38"/>
        <v>714</v>
      </c>
      <c r="L491" s="13" t="str">
        <f t="shared" ca="1" si="39"/>
        <v>120+ Days</v>
      </c>
      <c r="M491" s="14">
        <v>45505</v>
      </c>
      <c r="N491" s="14">
        <v>45597</v>
      </c>
    </row>
    <row r="492" spans="1:14" x14ac:dyDescent="0.25">
      <c r="A492" s="10" t="s">
        <v>619</v>
      </c>
      <c r="B492" s="10" t="s">
        <v>125</v>
      </c>
      <c r="C492" s="11">
        <v>45517</v>
      </c>
      <c r="D492" s="11">
        <v>45547</v>
      </c>
      <c r="E492" s="11">
        <v>45547</v>
      </c>
      <c r="F492" s="12">
        <v>49949.5</v>
      </c>
      <c r="G492" s="12">
        <v>49949.5</v>
      </c>
      <c r="H492" s="12">
        <f t="shared" si="35"/>
        <v>0</v>
      </c>
      <c r="I492" s="10">
        <f t="shared" si="36"/>
        <v>0</v>
      </c>
      <c r="J492" s="10" t="str">
        <f t="shared" ca="1" si="37"/>
        <v>Paid</v>
      </c>
      <c r="K492" s="10">
        <f t="shared" ca="1" si="38"/>
        <v>0</v>
      </c>
      <c r="L492" s="10" t="str">
        <f t="shared" si="39"/>
        <v>Paid</v>
      </c>
      <c r="M492" s="11">
        <v>45505</v>
      </c>
      <c r="N492" s="11">
        <v>45536</v>
      </c>
    </row>
    <row r="493" spans="1:14" x14ac:dyDescent="0.25">
      <c r="A493" s="13" t="s">
        <v>620</v>
      </c>
      <c r="B493" s="13" t="s">
        <v>81</v>
      </c>
      <c r="C493" s="14">
        <v>45511</v>
      </c>
      <c r="D493" s="14">
        <v>45541</v>
      </c>
      <c r="E493" s="14">
        <v>45557</v>
      </c>
      <c r="F493" s="15">
        <v>38834.949999999997</v>
      </c>
      <c r="G493" s="15">
        <v>38834.949999999997</v>
      </c>
      <c r="H493" s="15">
        <f t="shared" si="35"/>
        <v>0</v>
      </c>
      <c r="I493" s="13">
        <f t="shared" si="36"/>
        <v>16</v>
      </c>
      <c r="J493" s="13" t="str">
        <f t="shared" ca="1" si="37"/>
        <v>Paid</v>
      </c>
      <c r="K493" s="13">
        <f t="shared" ca="1" si="38"/>
        <v>0</v>
      </c>
      <c r="L493" s="13" t="str">
        <f t="shared" si="39"/>
        <v>Paid</v>
      </c>
      <c r="M493" s="14">
        <v>45505</v>
      </c>
      <c r="N493" s="14">
        <v>45536</v>
      </c>
    </row>
    <row r="494" spans="1:14" x14ac:dyDescent="0.25">
      <c r="A494" s="10" t="s">
        <v>621</v>
      </c>
      <c r="B494" s="10" t="s">
        <v>138</v>
      </c>
      <c r="C494" s="11">
        <v>45508</v>
      </c>
      <c r="D494" s="11">
        <v>45538</v>
      </c>
      <c r="E494" s="11">
        <v>45538</v>
      </c>
      <c r="F494" s="12">
        <v>42578.71</v>
      </c>
      <c r="G494" s="12">
        <v>42578.71</v>
      </c>
      <c r="H494" s="12">
        <f t="shared" si="35"/>
        <v>0</v>
      </c>
      <c r="I494" s="10">
        <f t="shared" si="36"/>
        <v>0</v>
      </c>
      <c r="J494" s="10" t="str">
        <f t="shared" ca="1" si="37"/>
        <v>Paid</v>
      </c>
      <c r="K494" s="10">
        <f t="shared" ca="1" si="38"/>
        <v>0</v>
      </c>
      <c r="L494" s="10" t="str">
        <f t="shared" si="39"/>
        <v>Paid</v>
      </c>
      <c r="M494" s="11">
        <v>45505</v>
      </c>
      <c r="N494" s="11">
        <v>45536</v>
      </c>
    </row>
    <row r="495" spans="1:14" x14ac:dyDescent="0.25">
      <c r="A495" s="13" t="s">
        <v>622</v>
      </c>
      <c r="B495" s="13" t="s">
        <v>87</v>
      </c>
      <c r="C495" s="14">
        <v>45505</v>
      </c>
      <c r="D495" s="14">
        <v>45535</v>
      </c>
      <c r="E495" s="14">
        <v>45550</v>
      </c>
      <c r="F495" s="15">
        <v>18067.43</v>
      </c>
      <c r="G495" s="15">
        <v>18067.43</v>
      </c>
      <c r="H495" s="15">
        <f t="shared" si="35"/>
        <v>0</v>
      </c>
      <c r="I495" s="13">
        <f t="shared" si="36"/>
        <v>15</v>
      </c>
      <c r="J495" s="13" t="str">
        <f t="shared" ca="1" si="37"/>
        <v>Paid</v>
      </c>
      <c r="K495" s="13">
        <f t="shared" ca="1" si="38"/>
        <v>0</v>
      </c>
      <c r="L495" s="13" t="str">
        <f t="shared" si="39"/>
        <v>Paid</v>
      </c>
      <c r="M495" s="14">
        <v>45505</v>
      </c>
      <c r="N495" s="14">
        <v>45536</v>
      </c>
    </row>
    <row r="496" spans="1:14" x14ac:dyDescent="0.25">
      <c r="A496" s="10" t="s">
        <v>623</v>
      </c>
      <c r="B496" s="10" t="s">
        <v>97</v>
      </c>
      <c r="C496" s="11">
        <v>45513</v>
      </c>
      <c r="D496" s="11">
        <v>45543</v>
      </c>
      <c r="E496" s="11">
        <v>45555</v>
      </c>
      <c r="F496" s="12">
        <v>64915.63</v>
      </c>
      <c r="G496" s="12">
        <v>64915.63</v>
      </c>
      <c r="H496" s="12">
        <f t="shared" si="35"/>
        <v>0</v>
      </c>
      <c r="I496" s="10">
        <f t="shared" si="36"/>
        <v>12</v>
      </c>
      <c r="J496" s="10" t="str">
        <f t="shared" ca="1" si="37"/>
        <v>Paid</v>
      </c>
      <c r="K496" s="10">
        <f t="shared" ca="1" si="38"/>
        <v>0</v>
      </c>
      <c r="L496" s="10" t="str">
        <f t="shared" si="39"/>
        <v>Paid</v>
      </c>
      <c r="M496" s="11">
        <v>45505</v>
      </c>
      <c r="N496" s="11">
        <v>45536</v>
      </c>
    </row>
    <row r="497" spans="1:14" x14ac:dyDescent="0.25">
      <c r="A497" s="13" t="s">
        <v>624</v>
      </c>
      <c r="B497" s="13" t="s">
        <v>224</v>
      </c>
      <c r="C497" s="14">
        <v>45505</v>
      </c>
      <c r="D497" s="14">
        <v>45535</v>
      </c>
      <c r="E497" s="14">
        <v>45535</v>
      </c>
      <c r="F497" s="15">
        <v>45121.34</v>
      </c>
      <c r="G497" s="15">
        <v>45121.34</v>
      </c>
      <c r="H497" s="15">
        <f t="shared" si="35"/>
        <v>0</v>
      </c>
      <c r="I497" s="13">
        <f t="shared" si="36"/>
        <v>0</v>
      </c>
      <c r="J497" s="13" t="str">
        <f t="shared" ca="1" si="37"/>
        <v>Paid</v>
      </c>
      <c r="K497" s="13">
        <f t="shared" ca="1" si="38"/>
        <v>0</v>
      </c>
      <c r="L497" s="13" t="str">
        <f t="shared" si="39"/>
        <v>Paid</v>
      </c>
      <c r="M497" s="14">
        <v>45505</v>
      </c>
      <c r="N497" s="14">
        <v>45505</v>
      </c>
    </row>
    <row r="498" spans="1:14" x14ac:dyDescent="0.25">
      <c r="A498" s="10" t="s">
        <v>625</v>
      </c>
      <c r="B498" s="10" t="s">
        <v>113</v>
      </c>
      <c r="C498" s="11">
        <v>45531</v>
      </c>
      <c r="D498" s="11">
        <v>45561</v>
      </c>
      <c r="E498" s="11">
        <v>45574</v>
      </c>
      <c r="F498" s="12">
        <v>29775.08</v>
      </c>
      <c r="G498" s="12">
        <v>29775.08</v>
      </c>
      <c r="H498" s="12">
        <f t="shared" si="35"/>
        <v>0</v>
      </c>
      <c r="I498" s="10">
        <f t="shared" si="36"/>
        <v>13</v>
      </c>
      <c r="J498" s="10" t="str">
        <f t="shared" ca="1" si="37"/>
        <v>Paid</v>
      </c>
      <c r="K498" s="10">
        <f t="shared" ca="1" si="38"/>
        <v>0</v>
      </c>
      <c r="L498" s="10" t="str">
        <f t="shared" si="39"/>
        <v>Paid</v>
      </c>
      <c r="M498" s="11">
        <v>45505</v>
      </c>
      <c r="N498" s="11">
        <v>45566</v>
      </c>
    </row>
    <row r="499" spans="1:14" x14ac:dyDescent="0.25">
      <c r="A499" s="13" t="s">
        <v>626</v>
      </c>
      <c r="B499" s="13" t="s">
        <v>109</v>
      </c>
      <c r="C499" s="14">
        <v>45531</v>
      </c>
      <c r="D499" s="14">
        <v>45561</v>
      </c>
      <c r="E499" s="14">
        <v>45605</v>
      </c>
      <c r="F499" s="15">
        <v>43849.56</v>
      </c>
      <c r="G499" s="15">
        <v>43849.56</v>
      </c>
      <c r="H499" s="15">
        <f t="shared" si="35"/>
        <v>0</v>
      </c>
      <c r="I499" s="13">
        <f t="shared" si="36"/>
        <v>44</v>
      </c>
      <c r="J499" s="13" t="str">
        <f t="shared" ca="1" si="37"/>
        <v>Paid</v>
      </c>
      <c r="K499" s="13">
        <f t="shared" ca="1" si="38"/>
        <v>0</v>
      </c>
      <c r="L499" s="13" t="str">
        <f t="shared" si="39"/>
        <v>Paid</v>
      </c>
      <c r="M499" s="14">
        <v>45505</v>
      </c>
      <c r="N499" s="14">
        <v>45597</v>
      </c>
    </row>
    <row r="500" spans="1:14" x14ac:dyDescent="0.25">
      <c r="A500" s="10" t="s">
        <v>627</v>
      </c>
      <c r="B500" s="10" t="s">
        <v>115</v>
      </c>
      <c r="C500" s="11">
        <v>45510</v>
      </c>
      <c r="D500" s="11">
        <v>45540</v>
      </c>
      <c r="E500" s="11">
        <v>45556</v>
      </c>
      <c r="F500" s="12">
        <v>20722.759999999998</v>
      </c>
      <c r="G500" s="12">
        <v>20722.759999999998</v>
      </c>
      <c r="H500" s="12">
        <f t="shared" si="35"/>
        <v>0</v>
      </c>
      <c r="I500" s="10">
        <f t="shared" si="36"/>
        <v>16</v>
      </c>
      <c r="J500" s="10" t="str">
        <f t="shared" ca="1" si="37"/>
        <v>Paid</v>
      </c>
      <c r="K500" s="10">
        <f t="shared" ca="1" si="38"/>
        <v>0</v>
      </c>
      <c r="L500" s="10" t="str">
        <f t="shared" si="39"/>
        <v>Paid</v>
      </c>
      <c r="M500" s="11">
        <v>45505</v>
      </c>
      <c r="N500" s="11">
        <v>45536</v>
      </c>
    </row>
    <row r="501" spans="1:14" x14ac:dyDescent="0.25">
      <c r="A501" s="13" t="s">
        <v>628</v>
      </c>
      <c r="B501" s="13" t="s">
        <v>215</v>
      </c>
      <c r="C501" s="14">
        <v>45505</v>
      </c>
      <c r="D501" s="14">
        <v>45535</v>
      </c>
      <c r="E501" s="14"/>
      <c r="F501" s="15">
        <v>19043.900000000001</v>
      </c>
      <c r="G501" s="15">
        <v>0</v>
      </c>
      <c r="H501" s="15">
        <f t="shared" si="35"/>
        <v>19043.900000000001</v>
      </c>
      <c r="I501" s="13" t="str">
        <f t="shared" si="36"/>
        <v/>
      </c>
      <c r="J501" s="13" t="str">
        <f t="shared" ca="1" si="37"/>
        <v>Overdue</v>
      </c>
      <c r="K501" s="13">
        <f t="shared" ca="1" si="38"/>
        <v>721</v>
      </c>
      <c r="L501" s="13" t="str">
        <f t="shared" ca="1" si="39"/>
        <v>120+ Days</v>
      </c>
      <c r="M501" s="14">
        <v>45505</v>
      </c>
      <c r="N501" s="14"/>
    </row>
    <row r="502" spans="1:14" x14ac:dyDescent="0.25">
      <c r="A502" s="10" t="s">
        <v>629</v>
      </c>
      <c r="B502" s="10" t="s">
        <v>119</v>
      </c>
      <c r="C502" s="11">
        <v>45512</v>
      </c>
      <c r="D502" s="11">
        <v>45542</v>
      </c>
      <c r="E502" s="11"/>
      <c r="F502" s="12">
        <v>37963.94</v>
      </c>
      <c r="G502" s="12">
        <v>0</v>
      </c>
      <c r="H502" s="12">
        <f t="shared" si="35"/>
        <v>37963.94</v>
      </c>
      <c r="I502" s="10" t="str">
        <f t="shared" si="36"/>
        <v/>
      </c>
      <c r="J502" s="10" t="str">
        <f t="shared" ca="1" si="37"/>
        <v>Overdue</v>
      </c>
      <c r="K502" s="10">
        <f t="shared" ca="1" si="38"/>
        <v>714</v>
      </c>
      <c r="L502" s="10" t="str">
        <f t="shared" ca="1" si="39"/>
        <v>120+ Days</v>
      </c>
      <c r="M502" s="11">
        <v>45505</v>
      </c>
      <c r="N502" s="11"/>
    </row>
    <row r="503" spans="1:14" x14ac:dyDescent="0.25">
      <c r="A503" s="13" t="s">
        <v>630</v>
      </c>
      <c r="B503" s="13" t="s">
        <v>109</v>
      </c>
      <c r="C503" s="14">
        <v>45517</v>
      </c>
      <c r="D503" s="14">
        <v>45547</v>
      </c>
      <c r="E503" s="14">
        <v>45565</v>
      </c>
      <c r="F503" s="15">
        <v>41673.21</v>
      </c>
      <c r="G503" s="15">
        <v>41673.21</v>
      </c>
      <c r="H503" s="15">
        <f t="shared" si="35"/>
        <v>0</v>
      </c>
      <c r="I503" s="13">
        <f t="shared" si="36"/>
        <v>18</v>
      </c>
      <c r="J503" s="13" t="str">
        <f t="shared" ca="1" si="37"/>
        <v>Paid</v>
      </c>
      <c r="K503" s="13">
        <f t="shared" ca="1" si="38"/>
        <v>0</v>
      </c>
      <c r="L503" s="13" t="str">
        <f t="shared" si="39"/>
        <v>Paid</v>
      </c>
      <c r="M503" s="14">
        <v>45505</v>
      </c>
      <c r="N503" s="14">
        <v>45536</v>
      </c>
    </row>
    <row r="504" spans="1:14" x14ac:dyDescent="0.25">
      <c r="A504" s="10" t="s">
        <v>631</v>
      </c>
      <c r="B504" s="10" t="s">
        <v>159</v>
      </c>
      <c r="C504" s="11">
        <v>45519</v>
      </c>
      <c r="D504" s="11">
        <v>45549</v>
      </c>
      <c r="E504" s="11"/>
      <c r="F504" s="12">
        <v>49619.13</v>
      </c>
      <c r="G504" s="12">
        <v>0</v>
      </c>
      <c r="H504" s="12">
        <f t="shared" si="35"/>
        <v>49619.13</v>
      </c>
      <c r="I504" s="10" t="str">
        <f t="shared" si="36"/>
        <v/>
      </c>
      <c r="J504" s="10" t="str">
        <f t="shared" ca="1" si="37"/>
        <v>Overdue</v>
      </c>
      <c r="K504" s="10">
        <f t="shared" ca="1" si="38"/>
        <v>707</v>
      </c>
      <c r="L504" s="10" t="str">
        <f t="shared" ca="1" si="39"/>
        <v>120+ Days</v>
      </c>
      <c r="M504" s="11">
        <v>45505</v>
      </c>
      <c r="N504" s="11"/>
    </row>
    <row r="505" spans="1:14" x14ac:dyDescent="0.25">
      <c r="A505" s="13" t="s">
        <v>632</v>
      </c>
      <c r="B505" s="13" t="s">
        <v>123</v>
      </c>
      <c r="C505" s="14">
        <v>45516</v>
      </c>
      <c r="D505" s="14">
        <v>45546</v>
      </c>
      <c r="E505" s="14">
        <v>45551</v>
      </c>
      <c r="F505" s="15">
        <v>24723.45</v>
      </c>
      <c r="G505" s="15">
        <v>24723.45</v>
      </c>
      <c r="H505" s="15">
        <f t="shared" si="35"/>
        <v>0</v>
      </c>
      <c r="I505" s="13">
        <f t="shared" si="36"/>
        <v>5</v>
      </c>
      <c r="J505" s="13" t="str">
        <f t="shared" ca="1" si="37"/>
        <v>Paid</v>
      </c>
      <c r="K505" s="13">
        <f t="shared" ca="1" si="38"/>
        <v>0</v>
      </c>
      <c r="L505" s="13" t="str">
        <f t="shared" si="39"/>
        <v>Paid</v>
      </c>
      <c r="M505" s="14">
        <v>45505</v>
      </c>
      <c r="N505" s="14">
        <v>45536</v>
      </c>
    </row>
    <row r="506" spans="1:14" x14ac:dyDescent="0.25">
      <c r="A506" s="10" t="s">
        <v>633</v>
      </c>
      <c r="B506" s="10" t="s">
        <v>233</v>
      </c>
      <c r="C506" s="11">
        <v>45524</v>
      </c>
      <c r="D506" s="11">
        <v>45554</v>
      </c>
      <c r="E506" s="11">
        <v>45554</v>
      </c>
      <c r="F506" s="12">
        <v>16992.09</v>
      </c>
      <c r="G506" s="12">
        <v>16992.09</v>
      </c>
      <c r="H506" s="12">
        <f t="shared" si="35"/>
        <v>0</v>
      </c>
      <c r="I506" s="10">
        <f t="shared" si="36"/>
        <v>0</v>
      </c>
      <c r="J506" s="10" t="str">
        <f t="shared" ca="1" si="37"/>
        <v>Paid</v>
      </c>
      <c r="K506" s="10">
        <f t="shared" ca="1" si="38"/>
        <v>0</v>
      </c>
      <c r="L506" s="10" t="str">
        <f t="shared" si="39"/>
        <v>Paid</v>
      </c>
      <c r="M506" s="11">
        <v>45505</v>
      </c>
      <c r="N506" s="11">
        <v>45536</v>
      </c>
    </row>
    <row r="507" spans="1:14" x14ac:dyDescent="0.25">
      <c r="A507" s="13" t="s">
        <v>634</v>
      </c>
      <c r="B507" s="13" t="s">
        <v>109</v>
      </c>
      <c r="C507" s="14">
        <v>45528</v>
      </c>
      <c r="D507" s="14">
        <v>45558</v>
      </c>
      <c r="E507" s="14">
        <v>45626</v>
      </c>
      <c r="F507" s="15">
        <v>42743.64</v>
      </c>
      <c r="G507" s="15">
        <v>18050.330000000002</v>
      </c>
      <c r="H507" s="15">
        <f t="shared" si="35"/>
        <v>24693.309999999998</v>
      </c>
      <c r="I507" s="13">
        <f t="shared" si="36"/>
        <v>68</v>
      </c>
      <c r="J507" s="13" t="str">
        <f t="shared" ca="1" si="37"/>
        <v>Overdue</v>
      </c>
      <c r="K507" s="13">
        <f t="shared" ca="1" si="38"/>
        <v>698</v>
      </c>
      <c r="L507" s="13" t="str">
        <f t="shared" ca="1" si="39"/>
        <v>120+ Days</v>
      </c>
      <c r="M507" s="14">
        <v>45505</v>
      </c>
      <c r="N507" s="14">
        <v>45597</v>
      </c>
    </row>
    <row r="508" spans="1:14" x14ac:dyDescent="0.25">
      <c r="A508" s="10" t="s">
        <v>635</v>
      </c>
      <c r="B508" s="10" t="s">
        <v>159</v>
      </c>
      <c r="C508" s="11">
        <v>45511</v>
      </c>
      <c r="D508" s="11">
        <v>45541</v>
      </c>
      <c r="E508" s="11">
        <v>45607</v>
      </c>
      <c r="F508" s="12">
        <v>54869.69</v>
      </c>
      <c r="G508" s="12">
        <v>54869.69</v>
      </c>
      <c r="H508" s="12">
        <f t="shared" si="35"/>
        <v>0</v>
      </c>
      <c r="I508" s="10">
        <f t="shared" si="36"/>
        <v>66</v>
      </c>
      <c r="J508" s="10" t="str">
        <f t="shared" ca="1" si="37"/>
        <v>Paid</v>
      </c>
      <c r="K508" s="10">
        <f t="shared" ca="1" si="38"/>
        <v>0</v>
      </c>
      <c r="L508" s="10" t="str">
        <f t="shared" si="39"/>
        <v>Paid</v>
      </c>
      <c r="M508" s="11">
        <v>45505</v>
      </c>
      <c r="N508" s="11">
        <v>45597</v>
      </c>
    </row>
    <row r="509" spans="1:14" x14ac:dyDescent="0.25">
      <c r="A509" s="13" t="s">
        <v>636</v>
      </c>
      <c r="B509" s="13" t="s">
        <v>127</v>
      </c>
      <c r="C509" s="14">
        <v>45510</v>
      </c>
      <c r="D509" s="14">
        <v>45540</v>
      </c>
      <c r="E509" s="14">
        <v>45561</v>
      </c>
      <c r="F509" s="15">
        <v>57254.42</v>
      </c>
      <c r="G509" s="15">
        <v>57254.42</v>
      </c>
      <c r="H509" s="15">
        <f t="shared" si="35"/>
        <v>0</v>
      </c>
      <c r="I509" s="13">
        <f t="shared" si="36"/>
        <v>21</v>
      </c>
      <c r="J509" s="13" t="str">
        <f t="shared" ca="1" si="37"/>
        <v>Paid</v>
      </c>
      <c r="K509" s="13">
        <f t="shared" ca="1" si="38"/>
        <v>0</v>
      </c>
      <c r="L509" s="13" t="str">
        <f t="shared" si="39"/>
        <v>Paid</v>
      </c>
      <c r="M509" s="14">
        <v>45505</v>
      </c>
      <c r="N509" s="14">
        <v>45536</v>
      </c>
    </row>
    <row r="510" spans="1:14" x14ac:dyDescent="0.25">
      <c r="A510" s="10" t="s">
        <v>637</v>
      </c>
      <c r="B510" s="10" t="s">
        <v>340</v>
      </c>
      <c r="C510" s="11">
        <v>45518</v>
      </c>
      <c r="D510" s="11">
        <v>45548</v>
      </c>
      <c r="E510" s="11">
        <v>45585</v>
      </c>
      <c r="F510" s="12">
        <v>44892.5</v>
      </c>
      <c r="G510" s="12">
        <v>44892.5</v>
      </c>
      <c r="H510" s="12">
        <f t="shared" si="35"/>
        <v>0</v>
      </c>
      <c r="I510" s="10">
        <f t="shared" si="36"/>
        <v>37</v>
      </c>
      <c r="J510" s="10" t="str">
        <f t="shared" ca="1" si="37"/>
        <v>Paid</v>
      </c>
      <c r="K510" s="10">
        <f t="shared" ca="1" si="38"/>
        <v>0</v>
      </c>
      <c r="L510" s="10" t="str">
        <f t="shared" si="39"/>
        <v>Paid</v>
      </c>
      <c r="M510" s="11">
        <v>45505</v>
      </c>
      <c r="N510" s="11">
        <v>45566</v>
      </c>
    </row>
    <row r="511" spans="1:14" x14ac:dyDescent="0.25">
      <c r="A511" s="13" t="s">
        <v>638</v>
      </c>
      <c r="B511" s="13" t="s">
        <v>184</v>
      </c>
      <c r="C511" s="14">
        <v>45523</v>
      </c>
      <c r="D511" s="14">
        <v>45553</v>
      </c>
      <c r="E511" s="14">
        <v>45560</v>
      </c>
      <c r="F511" s="15">
        <v>109539.96</v>
      </c>
      <c r="G511" s="15">
        <v>109539.96</v>
      </c>
      <c r="H511" s="15">
        <f t="shared" si="35"/>
        <v>0</v>
      </c>
      <c r="I511" s="13">
        <f t="shared" si="36"/>
        <v>7</v>
      </c>
      <c r="J511" s="13" t="str">
        <f t="shared" ca="1" si="37"/>
        <v>Paid</v>
      </c>
      <c r="K511" s="13">
        <f t="shared" ca="1" si="38"/>
        <v>0</v>
      </c>
      <c r="L511" s="13" t="str">
        <f t="shared" si="39"/>
        <v>Paid</v>
      </c>
      <c r="M511" s="14">
        <v>45505</v>
      </c>
      <c r="N511" s="14">
        <v>45536</v>
      </c>
    </row>
    <row r="512" spans="1:14" x14ac:dyDescent="0.25">
      <c r="A512" s="10" t="s">
        <v>639</v>
      </c>
      <c r="B512" s="10" t="s">
        <v>331</v>
      </c>
      <c r="C512" s="11">
        <v>45507</v>
      </c>
      <c r="D512" s="11">
        <v>45537</v>
      </c>
      <c r="E512" s="11">
        <v>45566</v>
      </c>
      <c r="F512" s="12">
        <v>54898.62</v>
      </c>
      <c r="G512" s="12">
        <v>54898.62</v>
      </c>
      <c r="H512" s="12">
        <f t="shared" si="35"/>
        <v>0</v>
      </c>
      <c r="I512" s="10">
        <f t="shared" si="36"/>
        <v>29</v>
      </c>
      <c r="J512" s="10" t="str">
        <f t="shared" ca="1" si="37"/>
        <v>Paid</v>
      </c>
      <c r="K512" s="10">
        <f t="shared" ca="1" si="38"/>
        <v>0</v>
      </c>
      <c r="L512" s="10" t="str">
        <f t="shared" si="39"/>
        <v>Paid</v>
      </c>
      <c r="M512" s="11">
        <v>45505</v>
      </c>
      <c r="N512" s="11">
        <v>45566</v>
      </c>
    </row>
    <row r="513" spans="1:14" x14ac:dyDescent="0.25">
      <c r="A513" s="13" t="s">
        <v>640</v>
      </c>
      <c r="B513" s="13" t="s">
        <v>79</v>
      </c>
      <c r="C513" s="14">
        <v>45528</v>
      </c>
      <c r="D513" s="14">
        <v>45558</v>
      </c>
      <c r="E513" s="14">
        <v>45610</v>
      </c>
      <c r="F513" s="15">
        <v>20586.150000000001</v>
      </c>
      <c r="G513" s="15">
        <v>16216.1</v>
      </c>
      <c r="H513" s="15">
        <f t="shared" si="35"/>
        <v>4370.0500000000011</v>
      </c>
      <c r="I513" s="13">
        <f t="shared" si="36"/>
        <v>52</v>
      </c>
      <c r="J513" s="13" t="str">
        <f t="shared" ca="1" si="37"/>
        <v>Overdue</v>
      </c>
      <c r="K513" s="13">
        <f t="shared" ca="1" si="38"/>
        <v>698</v>
      </c>
      <c r="L513" s="13" t="str">
        <f t="shared" ca="1" si="39"/>
        <v>120+ Days</v>
      </c>
      <c r="M513" s="14">
        <v>45505</v>
      </c>
      <c r="N513" s="14">
        <v>45597</v>
      </c>
    </row>
    <row r="514" spans="1:14" x14ac:dyDescent="0.25">
      <c r="A514" s="10" t="s">
        <v>641</v>
      </c>
      <c r="B514" s="10" t="s">
        <v>274</v>
      </c>
      <c r="C514" s="11">
        <v>45519</v>
      </c>
      <c r="D514" s="11">
        <v>45549</v>
      </c>
      <c r="E514" s="11"/>
      <c r="F514" s="12">
        <v>180000</v>
      </c>
      <c r="G514" s="12">
        <v>0</v>
      </c>
      <c r="H514" s="12">
        <f t="shared" ref="H514:H577" si="40">MAX(0,F514-G514)</f>
        <v>180000</v>
      </c>
      <c r="I514" s="10" t="str">
        <f t="shared" ref="I514:I577" si="41">IF(E514="","",MAX(0,E514-D514))</f>
        <v/>
      </c>
      <c r="J514" s="10" t="str">
        <f t="shared" ref="J514:J577" ca="1" si="42">IF(H514=0,"Paid",IF(D514&lt;TODAY(),"Overdue","Open"))</f>
        <v>Overdue</v>
      </c>
      <c r="K514" s="10">
        <f t="shared" ref="K514:K577" ca="1" si="43">IF(H514=0,0,MAX(0,TODAY()-D514))</f>
        <v>707</v>
      </c>
      <c r="L514" s="10" t="str">
        <f t="shared" ref="L514:L577" ca="1" si="44">IF(H514=0,"Paid",IF(K514&lt;=30,"0-30 Days",IF(K514&lt;=60,"31-60 Days",IF(K514&lt;=90,"61-90 Days",IF(K514&lt;=120,"91-120 Days","120+ Days")))))</f>
        <v>120+ Days</v>
      </c>
      <c r="M514" s="11">
        <v>45505</v>
      </c>
      <c r="N514" s="11"/>
    </row>
    <row r="515" spans="1:14" x14ac:dyDescent="0.25">
      <c r="A515" s="13" t="s">
        <v>642</v>
      </c>
      <c r="B515" s="13" t="s">
        <v>463</v>
      </c>
      <c r="C515" s="14">
        <v>45508</v>
      </c>
      <c r="D515" s="14">
        <v>45538</v>
      </c>
      <c r="E515" s="14">
        <v>45538</v>
      </c>
      <c r="F515" s="15">
        <v>39323.67</v>
      </c>
      <c r="G515" s="15">
        <v>39323.67</v>
      </c>
      <c r="H515" s="15">
        <f t="shared" si="40"/>
        <v>0</v>
      </c>
      <c r="I515" s="13">
        <f t="shared" si="41"/>
        <v>0</v>
      </c>
      <c r="J515" s="13" t="str">
        <f t="shared" ca="1" si="42"/>
        <v>Paid</v>
      </c>
      <c r="K515" s="13">
        <f t="shared" ca="1" si="43"/>
        <v>0</v>
      </c>
      <c r="L515" s="13" t="str">
        <f t="shared" si="44"/>
        <v>Paid</v>
      </c>
      <c r="M515" s="14">
        <v>45505</v>
      </c>
      <c r="N515" s="14">
        <v>45536</v>
      </c>
    </row>
    <row r="516" spans="1:14" x14ac:dyDescent="0.25">
      <c r="A516" s="10" t="s">
        <v>643</v>
      </c>
      <c r="B516" s="10" t="s">
        <v>91</v>
      </c>
      <c r="C516" s="11">
        <v>45511</v>
      </c>
      <c r="D516" s="11">
        <v>45541</v>
      </c>
      <c r="E516" s="11"/>
      <c r="F516" s="12">
        <v>27405.65</v>
      </c>
      <c r="G516" s="12">
        <v>0</v>
      </c>
      <c r="H516" s="12">
        <f t="shared" si="40"/>
        <v>27405.65</v>
      </c>
      <c r="I516" s="10" t="str">
        <f t="shared" si="41"/>
        <v/>
      </c>
      <c r="J516" s="10" t="str">
        <f t="shared" ca="1" si="42"/>
        <v>Overdue</v>
      </c>
      <c r="K516" s="10">
        <f t="shared" ca="1" si="43"/>
        <v>715</v>
      </c>
      <c r="L516" s="10" t="str">
        <f t="shared" ca="1" si="44"/>
        <v>120+ Days</v>
      </c>
      <c r="M516" s="11">
        <v>45505</v>
      </c>
      <c r="N516" s="11"/>
    </row>
    <row r="517" spans="1:14" x14ac:dyDescent="0.25">
      <c r="A517" s="13" t="s">
        <v>644</v>
      </c>
      <c r="B517" s="13" t="s">
        <v>271</v>
      </c>
      <c r="C517" s="14">
        <v>45521</v>
      </c>
      <c r="D517" s="14">
        <v>45551</v>
      </c>
      <c r="E517" s="14">
        <v>45583</v>
      </c>
      <c r="F517" s="15">
        <v>17225.52</v>
      </c>
      <c r="G517" s="15">
        <v>17225.52</v>
      </c>
      <c r="H517" s="15">
        <f t="shared" si="40"/>
        <v>0</v>
      </c>
      <c r="I517" s="13">
        <f t="shared" si="41"/>
        <v>32</v>
      </c>
      <c r="J517" s="13" t="str">
        <f t="shared" ca="1" si="42"/>
        <v>Paid</v>
      </c>
      <c r="K517" s="13">
        <f t="shared" ca="1" si="43"/>
        <v>0</v>
      </c>
      <c r="L517" s="13" t="str">
        <f t="shared" si="44"/>
        <v>Paid</v>
      </c>
      <c r="M517" s="14">
        <v>45505</v>
      </c>
      <c r="N517" s="14">
        <v>45566</v>
      </c>
    </row>
    <row r="518" spans="1:14" x14ac:dyDescent="0.25">
      <c r="A518" s="10" t="s">
        <v>645</v>
      </c>
      <c r="B518" s="10" t="s">
        <v>314</v>
      </c>
      <c r="C518" s="11">
        <v>45508</v>
      </c>
      <c r="D518" s="11">
        <v>45538</v>
      </c>
      <c r="E518" s="11">
        <v>45580</v>
      </c>
      <c r="F518" s="12">
        <v>32210.18</v>
      </c>
      <c r="G518" s="12">
        <v>32210.18</v>
      </c>
      <c r="H518" s="12">
        <f t="shared" si="40"/>
        <v>0</v>
      </c>
      <c r="I518" s="10">
        <f t="shared" si="41"/>
        <v>42</v>
      </c>
      <c r="J518" s="10" t="str">
        <f t="shared" ca="1" si="42"/>
        <v>Paid</v>
      </c>
      <c r="K518" s="10">
        <f t="shared" ca="1" si="43"/>
        <v>0</v>
      </c>
      <c r="L518" s="10" t="str">
        <f t="shared" si="44"/>
        <v>Paid</v>
      </c>
      <c r="M518" s="11">
        <v>45505</v>
      </c>
      <c r="N518" s="11">
        <v>45566</v>
      </c>
    </row>
    <row r="519" spans="1:14" x14ac:dyDescent="0.25">
      <c r="A519" s="13" t="s">
        <v>646</v>
      </c>
      <c r="B519" s="13" t="s">
        <v>463</v>
      </c>
      <c r="C519" s="14">
        <v>45519</v>
      </c>
      <c r="D519" s="14">
        <v>45549</v>
      </c>
      <c r="E519" s="14"/>
      <c r="F519" s="15">
        <v>37504.44</v>
      </c>
      <c r="G519" s="15">
        <v>0</v>
      </c>
      <c r="H519" s="15">
        <f t="shared" si="40"/>
        <v>37504.44</v>
      </c>
      <c r="I519" s="13" t="str">
        <f t="shared" si="41"/>
        <v/>
      </c>
      <c r="J519" s="13" t="str">
        <f t="shared" ca="1" si="42"/>
        <v>Overdue</v>
      </c>
      <c r="K519" s="13">
        <f t="shared" ca="1" si="43"/>
        <v>707</v>
      </c>
      <c r="L519" s="13" t="str">
        <f t="shared" ca="1" si="44"/>
        <v>120+ Days</v>
      </c>
      <c r="M519" s="14">
        <v>45505</v>
      </c>
      <c r="N519" s="14"/>
    </row>
    <row r="520" spans="1:14" x14ac:dyDescent="0.25">
      <c r="A520" s="10" t="s">
        <v>647</v>
      </c>
      <c r="B520" s="10" t="s">
        <v>91</v>
      </c>
      <c r="C520" s="11">
        <v>45521</v>
      </c>
      <c r="D520" s="11">
        <v>45551</v>
      </c>
      <c r="E520" s="11">
        <v>45586</v>
      </c>
      <c r="F520" s="12">
        <v>31628.560000000001</v>
      </c>
      <c r="G520" s="12">
        <v>31628.560000000001</v>
      </c>
      <c r="H520" s="12">
        <f t="shared" si="40"/>
        <v>0</v>
      </c>
      <c r="I520" s="10">
        <f t="shared" si="41"/>
        <v>35</v>
      </c>
      <c r="J520" s="10" t="str">
        <f t="shared" ca="1" si="42"/>
        <v>Paid</v>
      </c>
      <c r="K520" s="10">
        <f t="shared" ca="1" si="43"/>
        <v>0</v>
      </c>
      <c r="L520" s="10" t="str">
        <f t="shared" si="44"/>
        <v>Paid</v>
      </c>
      <c r="M520" s="11">
        <v>45505</v>
      </c>
      <c r="N520" s="11">
        <v>45566</v>
      </c>
    </row>
    <row r="521" spans="1:14" x14ac:dyDescent="0.25">
      <c r="A521" s="13" t="s">
        <v>648</v>
      </c>
      <c r="B521" s="13" t="s">
        <v>182</v>
      </c>
      <c r="C521" s="14">
        <v>45512</v>
      </c>
      <c r="D521" s="14">
        <v>45542</v>
      </c>
      <c r="E521" s="14">
        <v>45542</v>
      </c>
      <c r="F521" s="15">
        <v>33062.04</v>
      </c>
      <c r="G521" s="15">
        <v>33062.04</v>
      </c>
      <c r="H521" s="15">
        <f t="shared" si="40"/>
        <v>0</v>
      </c>
      <c r="I521" s="13">
        <f t="shared" si="41"/>
        <v>0</v>
      </c>
      <c r="J521" s="13" t="str">
        <f t="shared" ca="1" si="42"/>
        <v>Paid</v>
      </c>
      <c r="K521" s="13">
        <f t="shared" ca="1" si="43"/>
        <v>0</v>
      </c>
      <c r="L521" s="13" t="str">
        <f t="shared" si="44"/>
        <v>Paid</v>
      </c>
      <c r="M521" s="14">
        <v>45505</v>
      </c>
      <c r="N521" s="14">
        <v>45536</v>
      </c>
    </row>
    <row r="522" spans="1:14" x14ac:dyDescent="0.25">
      <c r="A522" s="10" t="s">
        <v>649</v>
      </c>
      <c r="B522" s="10" t="s">
        <v>83</v>
      </c>
      <c r="C522" s="11">
        <v>45512</v>
      </c>
      <c r="D522" s="11">
        <v>45542</v>
      </c>
      <c r="E522" s="11">
        <v>45542</v>
      </c>
      <c r="F522" s="12">
        <v>37460.370000000003</v>
      </c>
      <c r="G522" s="12">
        <v>37460.370000000003</v>
      </c>
      <c r="H522" s="12">
        <f t="shared" si="40"/>
        <v>0</v>
      </c>
      <c r="I522" s="10">
        <f t="shared" si="41"/>
        <v>0</v>
      </c>
      <c r="J522" s="10" t="str">
        <f t="shared" ca="1" si="42"/>
        <v>Paid</v>
      </c>
      <c r="K522" s="10">
        <f t="shared" ca="1" si="43"/>
        <v>0</v>
      </c>
      <c r="L522" s="10" t="str">
        <f t="shared" si="44"/>
        <v>Paid</v>
      </c>
      <c r="M522" s="11">
        <v>45505</v>
      </c>
      <c r="N522" s="11">
        <v>45536</v>
      </c>
    </row>
    <row r="523" spans="1:14" x14ac:dyDescent="0.25">
      <c r="A523" s="13" t="s">
        <v>650</v>
      </c>
      <c r="B523" s="13" t="s">
        <v>138</v>
      </c>
      <c r="C523" s="14">
        <v>45510</v>
      </c>
      <c r="D523" s="14">
        <v>45540</v>
      </c>
      <c r="E523" s="14">
        <v>45552</v>
      </c>
      <c r="F523" s="15">
        <v>23079.07</v>
      </c>
      <c r="G523" s="15">
        <v>23079.07</v>
      </c>
      <c r="H523" s="15">
        <f t="shared" si="40"/>
        <v>0</v>
      </c>
      <c r="I523" s="13">
        <f t="shared" si="41"/>
        <v>12</v>
      </c>
      <c r="J523" s="13" t="str">
        <f t="shared" ca="1" si="42"/>
        <v>Paid</v>
      </c>
      <c r="K523" s="13">
        <f t="shared" ca="1" si="43"/>
        <v>0</v>
      </c>
      <c r="L523" s="13" t="str">
        <f t="shared" si="44"/>
        <v>Paid</v>
      </c>
      <c r="M523" s="14">
        <v>45505</v>
      </c>
      <c r="N523" s="14">
        <v>45536</v>
      </c>
    </row>
    <row r="524" spans="1:14" x14ac:dyDescent="0.25">
      <c r="A524" s="10" t="s">
        <v>651</v>
      </c>
      <c r="B524" s="10" t="s">
        <v>138</v>
      </c>
      <c r="C524" s="11">
        <v>45511</v>
      </c>
      <c r="D524" s="11">
        <v>45541</v>
      </c>
      <c r="E524" s="11"/>
      <c r="F524" s="12">
        <v>41653.74</v>
      </c>
      <c r="G524" s="12">
        <v>0</v>
      </c>
      <c r="H524" s="12">
        <f t="shared" si="40"/>
        <v>41653.74</v>
      </c>
      <c r="I524" s="10" t="str">
        <f t="shared" si="41"/>
        <v/>
      </c>
      <c r="J524" s="10" t="str">
        <f t="shared" ca="1" si="42"/>
        <v>Overdue</v>
      </c>
      <c r="K524" s="10">
        <f t="shared" ca="1" si="43"/>
        <v>715</v>
      </c>
      <c r="L524" s="10" t="str">
        <f t="shared" ca="1" si="44"/>
        <v>120+ Days</v>
      </c>
      <c r="M524" s="11">
        <v>45505</v>
      </c>
      <c r="N524" s="11"/>
    </row>
    <row r="525" spans="1:14" x14ac:dyDescent="0.25">
      <c r="A525" s="13" t="s">
        <v>652</v>
      </c>
      <c r="B525" s="13" t="s">
        <v>161</v>
      </c>
      <c r="C525" s="14">
        <v>45510</v>
      </c>
      <c r="D525" s="14">
        <v>45540</v>
      </c>
      <c r="E525" s="14">
        <v>45540</v>
      </c>
      <c r="F525" s="15">
        <v>58535.58</v>
      </c>
      <c r="G525" s="15">
        <v>58535.58</v>
      </c>
      <c r="H525" s="15">
        <f t="shared" si="40"/>
        <v>0</v>
      </c>
      <c r="I525" s="13">
        <f t="shared" si="41"/>
        <v>0</v>
      </c>
      <c r="J525" s="13" t="str">
        <f t="shared" ca="1" si="42"/>
        <v>Paid</v>
      </c>
      <c r="K525" s="13">
        <f t="shared" ca="1" si="43"/>
        <v>0</v>
      </c>
      <c r="L525" s="13" t="str">
        <f t="shared" si="44"/>
        <v>Paid</v>
      </c>
      <c r="M525" s="14">
        <v>45505</v>
      </c>
      <c r="N525" s="14">
        <v>45536</v>
      </c>
    </row>
    <row r="526" spans="1:14" x14ac:dyDescent="0.25">
      <c r="A526" s="10" t="s">
        <v>653</v>
      </c>
      <c r="B526" s="10" t="s">
        <v>136</v>
      </c>
      <c r="C526" s="11">
        <v>45530</v>
      </c>
      <c r="D526" s="11">
        <v>45560</v>
      </c>
      <c r="E526" s="11"/>
      <c r="F526" s="12">
        <v>49380.01</v>
      </c>
      <c r="G526" s="12">
        <v>0</v>
      </c>
      <c r="H526" s="12">
        <f t="shared" si="40"/>
        <v>49380.01</v>
      </c>
      <c r="I526" s="10" t="str">
        <f t="shared" si="41"/>
        <v/>
      </c>
      <c r="J526" s="10" t="str">
        <f t="shared" ca="1" si="42"/>
        <v>Overdue</v>
      </c>
      <c r="K526" s="10">
        <f t="shared" ca="1" si="43"/>
        <v>696</v>
      </c>
      <c r="L526" s="10" t="str">
        <f t="shared" ca="1" si="44"/>
        <v>120+ Days</v>
      </c>
      <c r="M526" s="11">
        <v>45505</v>
      </c>
      <c r="N526" s="11"/>
    </row>
    <row r="527" spans="1:14" x14ac:dyDescent="0.25">
      <c r="A527" s="13" t="s">
        <v>654</v>
      </c>
      <c r="B527" s="13" t="s">
        <v>119</v>
      </c>
      <c r="C527" s="14">
        <v>45513</v>
      </c>
      <c r="D527" s="14">
        <v>45543</v>
      </c>
      <c r="E527" s="14"/>
      <c r="F527" s="15">
        <v>53969.38</v>
      </c>
      <c r="G527" s="15">
        <v>0</v>
      </c>
      <c r="H527" s="15">
        <f t="shared" si="40"/>
        <v>53969.38</v>
      </c>
      <c r="I527" s="13" t="str">
        <f t="shared" si="41"/>
        <v/>
      </c>
      <c r="J527" s="13" t="str">
        <f t="shared" ca="1" si="42"/>
        <v>Overdue</v>
      </c>
      <c r="K527" s="13">
        <f t="shared" ca="1" si="43"/>
        <v>713</v>
      </c>
      <c r="L527" s="13" t="str">
        <f t="shared" ca="1" si="44"/>
        <v>120+ Days</v>
      </c>
      <c r="M527" s="14">
        <v>45505</v>
      </c>
      <c r="N527" s="14"/>
    </row>
    <row r="528" spans="1:14" x14ac:dyDescent="0.25">
      <c r="A528" s="10" t="s">
        <v>655</v>
      </c>
      <c r="B528" s="10" t="s">
        <v>146</v>
      </c>
      <c r="C528" s="11">
        <v>45509</v>
      </c>
      <c r="D528" s="11">
        <v>45539</v>
      </c>
      <c r="E528" s="11">
        <v>45559</v>
      </c>
      <c r="F528" s="12">
        <v>40216.230000000003</v>
      </c>
      <c r="G528" s="12">
        <v>40216.230000000003</v>
      </c>
      <c r="H528" s="12">
        <f t="shared" si="40"/>
        <v>0</v>
      </c>
      <c r="I528" s="10">
        <f t="shared" si="41"/>
        <v>20</v>
      </c>
      <c r="J528" s="10" t="str">
        <f t="shared" ca="1" si="42"/>
        <v>Paid</v>
      </c>
      <c r="K528" s="10">
        <f t="shared" ca="1" si="43"/>
        <v>0</v>
      </c>
      <c r="L528" s="10" t="str">
        <f t="shared" si="44"/>
        <v>Paid</v>
      </c>
      <c r="M528" s="11">
        <v>45505</v>
      </c>
      <c r="N528" s="11">
        <v>45536</v>
      </c>
    </row>
    <row r="529" spans="1:14" x14ac:dyDescent="0.25">
      <c r="A529" s="13" t="s">
        <v>656</v>
      </c>
      <c r="B529" s="13" t="s">
        <v>119</v>
      </c>
      <c r="C529" s="14">
        <v>45516</v>
      </c>
      <c r="D529" s="14">
        <v>45546</v>
      </c>
      <c r="E529" s="14">
        <v>45576</v>
      </c>
      <c r="F529" s="15">
        <v>24526.52</v>
      </c>
      <c r="G529" s="15">
        <v>24526.52</v>
      </c>
      <c r="H529" s="15">
        <f t="shared" si="40"/>
        <v>0</v>
      </c>
      <c r="I529" s="13">
        <f t="shared" si="41"/>
        <v>30</v>
      </c>
      <c r="J529" s="13" t="str">
        <f t="shared" ca="1" si="42"/>
        <v>Paid</v>
      </c>
      <c r="K529" s="13">
        <f t="shared" ca="1" si="43"/>
        <v>0</v>
      </c>
      <c r="L529" s="13" t="str">
        <f t="shared" si="44"/>
        <v>Paid</v>
      </c>
      <c r="M529" s="14">
        <v>45505</v>
      </c>
      <c r="N529" s="14">
        <v>45566</v>
      </c>
    </row>
    <row r="530" spans="1:14" x14ac:dyDescent="0.25">
      <c r="A530" s="10" t="s">
        <v>657</v>
      </c>
      <c r="B530" s="10" t="s">
        <v>131</v>
      </c>
      <c r="C530" s="11">
        <v>45517</v>
      </c>
      <c r="D530" s="11">
        <v>45547</v>
      </c>
      <c r="E530" s="11">
        <v>45565</v>
      </c>
      <c r="F530" s="12">
        <v>14868.98</v>
      </c>
      <c r="G530" s="12">
        <v>14868.98</v>
      </c>
      <c r="H530" s="12">
        <f t="shared" si="40"/>
        <v>0</v>
      </c>
      <c r="I530" s="10">
        <f t="shared" si="41"/>
        <v>18</v>
      </c>
      <c r="J530" s="10" t="str">
        <f t="shared" ca="1" si="42"/>
        <v>Paid</v>
      </c>
      <c r="K530" s="10">
        <f t="shared" ca="1" si="43"/>
        <v>0</v>
      </c>
      <c r="L530" s="10" t="str">
        <f t="shared" si="44"/>
        <v>Paid</v>
      </c>
      <c r="M530" s="11">
        <v>45505</v>
      </c>
      <c r="N530" s="11">
        <v>45536</v>
      </c>
    </row>
    <row r="531" spans="1:14" x14ac:dyDescent="0.25">
      <c r="A531" s="13" t="s">
        <v>658</v>
      </c>
      <c r="B531" s="13" t="s">
        <v>129</v>
      </c>
      <c r="C531" s="14">
        <v>45525</v>
      </c>
      <c r="D531" s="14">
        <v>45555</v>
      </c>
      <c r="E531" s="14">
        <v>45583</v>
      </c>
      <c r="F531" s="15">
        <v>32734.27</v>
      </c>
      <c r="G531" s="15">
        <v>32734.27</v>
      </c>
      <c r="H531" s="15">
        <f t="shared" si="40"/>
        <v>0</v>
      </c>
      <c r="I531" s="13">
        <f t="shared" si="41"/>
        <v>28</v>
      </c>
      <c r="J531" s="13" t="str">
        <f t="shared" ca="1" si="42"/>
        <v>Paid</v>
      </c>
      <c r="K531" s="13">
        <f t="shared" ca="1" si="43"/>
        <v>0</v>
      </c>
      <c r="L531" s="13" t="str">
        <f t="shared" si="44"/>
        <v>Paid</v>
      </c>
      <c r="M531" s="14">
        <v>45505</v>
      </c>
      <c r="N531" s="14">
        <v>45566</v>
      </c>
    </row>
    <row r="532" spans="1:14" x14ac:dyDescent="0.25">
      <c r="A532" s="10" t="s">
        <v>659</v>
      </c>
      <c r="B532" s="10" t="s">
        <v>74</v>
      </c>
      <c r="C532" s="11">
        <v>45519</v>
      </c>
      <c r="D532" s="11">
        <v>45549</v>
      </c>
      <c r="E532" s="11">
        <v>45561</v>
      </c>
      <c r="F532" s="12">
        <v>24612.65</v>
      </c>
      <c r="G532" s="12">
        <v>24612.65</v>
      </c>
      <c r="H532" s="12">
        <f t="shared" si="40"/>
        <v>0</v>
      </c>
      <c r="I532" s="10">
        <f t="shared" si="41"/>
        <v>12</v>
      </c>
      <c r="J532" s="10" t="str">
        <f t="shared" ca="1" si="42"/>
        <v>Paid</v>
      </c>
      <c r="K532" s="10">
        <f t="shared" ca="1" si="43"/>
        <v>0</v>
      </c>
      <c r="L532" s="10" t="str">
        <f t="shared" si="44"/>
        <v>Paid</v>
      </c>
      <c r="M532" s="11">
        <v>45505</v>
      </c>
      <c r="N532" s="11">
        <v>45536</v>
      </c>
    </row>
    <row r="533" spans="1:14" x14ac:dyDescent="0.25">
      <c r="A533" s="13" t="s">
        <v>660</v>
      </c>
      <c r="B533" s="13" t="s">
        <v>113</v>
      </c>
      <c r="C533" s="14">
        <v>45528</v>
      </c>
      <c r="D533" s="14">
        <v>45558</v>
      </c>
      <c r="E533" s="14">
        <v>45567</v>
      </c>
      <c r="F533" s="15">
        <v>50160.78</v>
      </c>
      <c r="G533" s="15">
        <v>50160.78</v>
      </c>
      <c r="H533" s="15">
        <f t="shared" si="40"/>
        <v>0</v>
      </c>
      <c r="I533" s="13">
        <f t="shared" si="41"/>
        <v>9</v>
      </c>
      <c r="J533" s="13" t="str">
        <f t="shared" ca="1" si="42"/>
        <v>Paid</v>
      </c>
      <c r="K533" s="13">
        <f t="shared" ca="1" si="43"/>
        <v>0</v>
      </c>
      <c r="L533" s="13" t="str">
        <f t="shared" si="44"/>
        <v>Paid</v>
      </c>
      <c r="M533" s="14">
        <v>45505</v>
      </c>
      <c r="N533" s="14">
        <v>45566</v>
      </c>
    </row>
    <row r="534" spans="1:14" x14ac:dyDescent="0.25">
      <c r="A534" s="10" t="s">
        <v>661</v>
      </c>
      <c r="B534" s="10" t="s">
        <v>340</v>
      </c>
      <c r="C534" s="11">
        <v>45531</v>
      </c>
      <c r="D534" s="11">
        <v>45561</v>
      </c>
      <c r="E534" s="11"/>
      <c r="F534" s="12">
        <v>33104.839999999997</v>
      </c>
      <c r="G534" s="12">
        <v>0</v>
      </c>
      <c r="H534" s="12">
        <f t="shared" si="40"/>
        <v>33104.839999999997</v>
      </c>
      <c r="I534" s="10" t="str">
        <f t="shared" si="41"/>
        <v/>
      </c>
      <c r="J534" s="10" t="str">
        <f t="shared" ca="1" si="42"/>
        <v>Overdue</v>
      </c>
      <c r="K534" s="10">
        <f t="shared" ca="1" si="43"/>
        <v>695</v>
      </c>
      <c r="L534" s="10" t="str">
        <f t="shared" ca="1" si="44"/>
        <v>120+ Days</v>
      </c>
      <c r="M534" s="11">
        <v>45505</v>
      </c>
      <c r="N534" s="11"/>
    </row>
    <row r="535" spans="1:14" x14ac:dyDescent="0.25">
      <c r="A535" s="13" t="s">
        <v>662</v>
      </c>
      <c r="B535" s="13" t="s">
        <v>125</v>
      </c>
      <c r="C535" s="14">
        <v>45515</v>
      </c>
      <c r="D535" s="14">
        <v>45545</v>
      </c>
      <c r="E535" s="14"/>
      <c r="F535" s="15">
        <v>40503.51</v>
      </c>
      <c r="G535" s="15">
        <v>0</v>
      </c>
      <c r="H535" s="15">
        <f t="shared" si="40"/>
        <v>40503.51</v>
      </c>
      <c r="I535" s="13" t="str">
        <f t="shared" si="41"/>
        <v/>
      </c>
      <c r="J535" s="13" t="str">
        <f t="shared" ca="1" si="42"/>
        <v>Overdue</v>
      </c>
      <c r="K535" s="13">
        <f t="shared" ca="1" si="43"/>
        <v>711</v>
      </c>
      <c r="L535" s="13" t="str">
        <f t="shared" ca="1" si="44"/>
        <v>120+ Days</v>
      </c>
      <c r="M535" s="14">
        <v>45505</v>
      </c>
      <c r="N535" s="14"/>
    </row>
    <row r="536" spans="1:14" x14ac:dyDescent="0.25">
      <c r="A536" s="10" t="s">
        <v>663</v>
      </c>
      <c r="B536" s="10" t="s">
        <v>95</v>
      </c>
      <c r="C536" s="11">
        <v>45529</v>
      </c>
      <c r="D536" s="11">
        <v>45559</v>
      </c>
      <c r="E536" s="11">
        <v>45574</v>
      </c>
      <c r="F536" s="12">
        <v>51809.57</v>
      </c>
      <c r="G536" s="12">
        <v>51809.57</v>
      </c>
      <c r="H536" s="12">
        <f t="shared" si="40"/>
        <v>0</v>
      </c>
      <c r="I536" s="10">
        <f t="shared" si="41"/>
        <v>15</v>
      </c>
      <c r="J536" s="10" t="str">
        <f t="shared" ca="1" si="42"/>
        <v>Paid</v>
      </c>
      <c r="K536" s="10">
        <f t="shared" ca="1" si="43"/>
        <v>0</v>
      </c>
      <c r="L536" s="10" t="str">
        <f t="shared" si="44"/>
        <v>Paid</v>
      </c>
      <c r="M536" s="11">
        <v>45505</v>
      </c>
      <c r="N536" s="11">
        <v>45566</v>
      </c>
    </row>
    <row r="537" spans="1:14" x14ac:dyDescent="0.25">
      <c r="A537" s="13" t="s">
        <v>664</v>
      </c>
      <c r="B537" s="13" t="s">
        <v>220</v>
      </c>
      <c r="C537" s="14">
        <v>45516</v>
      </c>
      <c r="D537" s="14">
        <v>45546</v>
      </c>
      <c r="E537" s="14">
        <v>45576</v>
      </c>
      <c r="F537" s="15">
        <v>39625.15</v>
      </c>
      <c r="G537" s="15">
        <v>39625.15</v>
      </c>
      <c r="H537" s="15">
        <f t="shared" si="40"/>
        <v>0</v>
      </c>
      <c r="I537" s="13">
        <f t="shared" si="41"/>
        <v>30</v>
      </c>
      <c r="J537" s="13" t="str">
        <f t="shared" ca="1" si="42"/>
        <v>Paid</v>
      </c>
      <c r="K537" s="13">
        <f t="shared" ca="1" si="43"/>
        <v>0</v>
      </c>
      <c r="L537" s="13" t="str">
        <f t="shared" si="44"/>
        <v>Paid</v>
      </c>
      <c r="M537" s="14">
        <v>45505</v>
      </c>
      <c r="N537" s="14">
        <v>45566</v>
      </c>
    </row>
    <row r="538" spans="1:14" x14ac:dyDescent="0.25">
      <c r="A538" s="10" t="s">
        <v>665</v>
      </c>
      <c r="B538" s="10" t="s">
        <v>274</v>
      </c>
      <c r="C538" s="11">
        <v>45525</v>
      </c>
      <c r="D538" s="11">
        <v>45555</v>
      </c>
      <c r="E538" s="11">
        <v>45599</v>
      </c>
      <c r="F538" s="12">
        <v>28621.83</v>
      </c>
      <c r="G538" s="12">
        <v>28621.83</v>
      </c>
      <c r="H538" s="12">
        <f t="shared" si="40"/>
        <v>0</v>
      </c>
      <c r="I538" s="10">
        <f t="shared" si="41"/>
        <v>44</v>
      </c>
      <c r="J538" s="10" t="str">
        <f t="shared" ca="1" si="42"/>
        <v>Paid</v>
      </c>
      <c r="K538" s="10">
        <f t="shared" ca="1" si="43"/>
        <v>0</v>
      </c>
      <c r="L538" s="10" t="str">
        <f t="shared" si="44"/>
        <v>Paid</v>
      </c>
      <c r="M538" s="11">
        <v>45505</v>
      </c>
      <c r="N538" s="11">
        <v>45597</v>
      </c>
    </row>
    <row r="539" spans="1:14" x14ac:dyDescent="0.25">
      <c r="A539" s="13" t="s">
        <v>666</v>
      </c>
      <c r="B539" s="13" t="s">
        <v>138</v>
      </c>
      <c r="C539" s="14">
        <v>45514</v>
      </c>
      <c r="D539" s="14">
        <v>45544</v>
      </c>
      <c r="E539" s="14"/>
      <c r="F539" s="15">
        <v>40291.71</v>
      </c>
      <c r="G539" s="15">
        <v>0</v>
      </c>
      <c r="H539" s="15">
        <f t="shared" si="40"/>
        <v>40291.71</v>
      </c>
      <c r="I539" s="13" t="str">
        <f t="shared" si="41"/>
        <v/>
      </c>
      <c r="J539" s="13" t="str">
        <f t="shared" ca="1" si="42"/>
        <v>Overdue</v>
      </c>
      <c r="K539" s="13">
        <f t="shared" ca="1" si="43"/>
        <v>712</v>
      </c>
      <c r="L539" s="13" t="str">
        <f t="shared" ca="1" si="44"/>
        <v>120+ Days</v>
      </c>
      <c r="M539" s="14">
        <v>45505</v>
      </c>
      <c r="N539" s="14"/>
    </row>
    <row r="540" spans="1:14" x14ac:dyDescent="0.25">
      <c r="A540" s="10" t="s">
        <v>667</v>
      </c>
      <c r="B540" s="10" t="s">
        <v>274</v>
      </c>
      <c r="C540" s="11">
        <v>45505</v>
      </c>
      <c r="D540" s="11">
        <v>45535</v>
      </c>
      <c r="E540" s="11"/>
      <c r="F540" s="12">
        <v>45626.73</v>
      </c>
      <c r="G540" s="12">
        <v>0</v>
      </c>
      <c r="H540" s="12">
        <f t="shared" si="40"/>
        <v>45626.73</v>
      </c>
      <c r="I540" s="10" t="str">
        <f t="shared" si="41"/>
        <v/>
      </c>
      <c r="J540" s="10" t="str">
        <f t="shared" ca="1" si="42"/>
        <v>Overdue</v>
      </c>
      <c r="K540" s="10">
        <f t="shared" ca="1" si="43"/>
        <v>721</v>
      </c>
      <c r="L540" s="10" t="str">
        <f t="shared" ca="1" si="44"/>
        <v>120+ Days</v>
      </c>
      <c r="M540" s="11">
        <v>45505</v>
      </c>
      <c r="N540" s="11"/>
    </row>
    <row r="541" spans="1:14" x14ac:dyDescent="0.25">
      <c r="A541" s="13" t="s">
        <v>668</v>
      </c>
      <c r="B541" s="13" t="s">
        <v>171</v>
      </c>
      <c r="C541" s="14">
        <v>45526</v>
      </c>
      <c r="D541" s="14">
        <v>45556</v>
      </c>
      <c r="E541" s="14">
        <v>45575</v>
      </c>
      <c r="F541" s="15">
        <v>31465.95</v>
      </c>
      <c r="G541" s="15">
        <v>31465.95</v>
      </c>
      <c r="H541" s="15">
        <f t="shared" si="40"/>
        <v>0</v>
      </c>
      <c r="I541" s="13">
        <f t="shared" si="41"/>
        <v>19</v>
      </c>
      <c r="J541" s="13" t="str">
        <f t="shared" ca="1" si="42"/>
        <v>Paid</v>
      </c>
      <c r="K541" s="13">
        <f t="shared" ca="1" si="43"/>
        <v>0</v>
      </c>
      <c r="L541" s="13" t="str">
        <f t="shared" si="44"/>
        <v>Paid</v>
      </c>
      <c r="M541" s="14">
        <v>45505</v>
      </c>
      <c r="N541" s="14">
        <v>45566</v>
      </c>
    </row>
    <row r="542" spans="1:14" x14ac:dyDescent="0.25">
      <c r="A542" s="10" t="s">
        <v>669</v>
      </c>
      <c r="B542" s="10" t="s">
        <v>91</v>
      </c>
      <c r="C542" s="11">
        <v>45511</v>
      </c>
      <c r="D542" s="11">
        <v>45541</v>
      </c>
      <c r="E542" s="11">
        <v>45601</v>
      </c>
      <c r="F542" s="12">
        <v>76306.48</v>
      </c>
      <c r="G542" s="12">
        <v>76306.48</v>
      </c>
      <c r="H542" s="12">
        <f t="shared" si="40"/>
        <v>0</v>
      </c>
      <c r="I542" s="10">
        <f t="shared" si="41"/>
        <v>60</v>
      </c>
      <c r="J542" s="10" t="str">
        <f t="shared" ca="1" si="42"/>
        <v>Paid</v>
      </c>
      <c r="K542" s="10">
        <f t="shared" ca="1" si="43"/>
        <v>0</v>
      </c>
      <c r="L542" s="10" t="str">
        <f t="shared" si="44"/>
        <v>Paid</v>
      </c>
      <c r="M542" s="11">
        <v>45505</v>
      </c>
      <c r="N542" s="11">
        <v>45597</v>
      </c>
    </row>
    <row r="543" spans="1:14" x14ac:dyDescent="0.25">
      <c r="A543" s="13" t="s">
        <v>670</v>
      </c>
      <c r="B543" s="13" t="s">
        <v>161</v>
      </c>
      <c r="C543" s="14">
        <v>45527</v>
      </c>
      <c r="D543" s="14">
        <v>45557</v>
      </c>
      <c r="E543" s="14">
        <v>45557</v>
      </c>
      <c r="F543" s="15">
        <v>168921.91</v>
      </c>
      <c r="G543" s="15">
        <v>168921.91</v>
      </c>
      <c r="H543" s="15">
        <f t="shared" si="40"/>
        <v>0</v>
      </c>
      <c r="I543" s="13">
        <f t="shared" si="41"/>
        <v>0</v>
      </c>
      <c r="J543" s="13" t="str">
        <f t="shared" ca="1" si="42"/>
        <v>Paid</v>
      </c>
      <c r="K543" s="13">
        <f t="shared" ca="1" si="43"/>
        <v>0</v>
      </c>
      <c r="L543" s="13" t="str">
        <f t="shared" si="44"/>
        <v>Paid</v>
      </c>
      <c r="M543" s="14">
        <v>45505</v>
      </c>
      <c r="N543" s="14">
        <v>45536</v>
      </c>
    </row>
    <row r="544" spans="1:14" x14ac:dyDescent="0.25">
      <c r="A544" s="10" t="s">
        <v>671</v>
      </c>
      <c r="B544" s="10" t="s">
        <v>159</v>
      </c>
      <c r="C544" s="11">
        <v>45512</v>
      </c>
      <c r="D544" s="11">
        <v>45542</v>
      </c>
      <c r="E544" s="11"/>
      <c r="F544" s="12">
        <v>22731.94</v>
      </c>
      <c r="G544" s="12">
        <v>0</v>
      </c>
      <c r="H544" s="12">
        <f t="shared" si="40"/>
        <v>22731.94</v>
      </c>
      <c r="I544" s="10" t="str">
        <f t="shared" si="41"/>
        <v/>
      </c>
      <c r="J544" s="10" t="str">
        <f t="shared" ca="1" si="42"/>
        <v>Overdue</v>
      </c>
      <c r="K544" s="10">
        <f t="shared" ca="1" si="43"/>
        <v>714</v>
      </c>
      <c r="L544" s="10" t="str">
        <f t="shared" ca="1" si="44"/>
        <v>120+ Days</v>
      </c>
      <c r="M544" s="11">
        <v>45505</v>
      </c>
      <c r="N544" s="11"/>
    </row>
    <row r="545" spans="1:14" x14ac:dyDescent="0.25">
      <c r="A545" s="13" t="s">
        <v>672</v>
      </c>
      <c r="B545" s="13" t="s">
        <v>131</v>
      </c>
      <c r="C545" s="14">
        <v>45506</v>
      </c>
      <c r="D545" s="14">
        <v>45536</v>
      </c>
      <c r="E545" s="14">
        <v>45601</v>
      </c>
      <c r="F545" s="15">
        <v>31244.31</v>
      </c>
      <c r="G545" s="15">
        <v>20336.28</v>
      </c>
      <c r="H545" s="15">
        <f t="shared" si="40"/>
        <v>10908.030000000002</v>
      </c>
      <c r="I545" s="13">
        <f t="shared" si="41"/>
        <v>65</v>
      </c>
      <c r="J545" s="13" t="str">
        <f t="shared" ca="1" si="42"/>
        <v>Overdue</v>
      </c>
      <c r="K545" s="13">
        <f t="shared" ca="1" si="43"/>
        <v>720</v>
      </c>
      <c r="L545" s="13" t="str">
        <f t="shared" ca="1" si="44"/>
        <v>120+ Days</v>
      </c>
      <c r="M545" s="14">
        <v>45505</v>
      </c>
      <c r="N545" s="14">
        <v>45597</v>
      </c>
    </row>
    <row r="546" spans="1:14" x14ac:dyDescent="0.25">
      <c r="A546" s="10" t="s">
        <v>673</v>
      </c>
      <c r="B546" s="10" t="s">
        <v>171</v>
      </c>
      <c r="C546" s="11">
        <v>45506</v>
      </c>
      <c r="D546" s="11">
        <v>45536</v>
      </c>
      <c r="E546" s="11"/>
      <c r="F546" s="12">
        <v>23963.59</v>
      </c>
      <c r="G546" s="12">
        <v>0</v>
      </c>
      <c r="H546" s="12">
        <f t="shared" si="40"/>
        <v>23963.59</v>
      </c>
      <c r="I546" s="10" t="str">
        <f t="shared" si="41"/>
        <v/>
      </c>
      <c r="J546" s="10" t="str">
        <f t="shared" ca="1" si="42"/>
        <v>Overdue</v>
      </c>
      <c r="K546" s="10">
        <f t="shared" ca="1" si="43"/>
        <v>720</v>
      </c>
      <c r="L546" s="10" t="str">
        <f t="shared" ca="1" si="44"/>
        <v>120+ Days</v>
      </c>
      <c r="M546" s="11">
        <v>45505</v>
      </c>
      <c r="N546" s="11"/>
    </row>
    <row r="547" spans="1:14" x14ac:dyDescent="0.25">
      <c r="A547" s="13" t="s">
        <v>674</v>
      </c>
      <c r="B547" s="13" t="s">
        <v>340</v>
      </c>
      <c r="C547" s="14">
        <v>45522</v>
      </c>
      <c r="D547" s="14">
        <v>45552</v>
      </c>
      <c r="E547" s="14">
        <v>45584</v>
      </c>
      <c r="F547" s="15">
        <v>43189.97</v>
      </c>
      <c r="G547" s="15">
        <v>43189.97</v>
      </c>
      <c r="H547" s="15">
        <f t="shared" si="40"/>
        <v>0</v>
      </c>
      <c r="I547" s="13">
        <f t="shared" si="41"/>
        <v>32</v>
      </c>
      <c r="J547" s="13" t="str">
        <f t="shared" ca="1" si="42"/>
        <v>Paid</v>
      </c>
      <c r="K547" s="13">
        <f t="shared" ca="1" si="43"/>
        <v>0</v>
      </c>
      <c r="L547" s="13" t="str">
        <f t="shared" si="44"/>
        <v>Paid</v>
      </c>
      <c r="M547" s="14">
        <v>45505</v>
      </c>
      <c r="N547" s="14">
        <v>45566</v>
      </c>
    </row>
    <row r="548" spans="1:14" x14ac:dyDescent="0.25">
      <c r="A548" s="10" t="s">
        <v>675</v>
      </c>
      <c r="B548" s="10" t="s">
        <v>150</v>
      </c>
      <c r="C548" s="11">
        <v>45508</v>
      </c>
      <c r="D548" s="11">
        <v>45538</v>
      </c>
      <c r="E548" s="11">
        <v>45538</v>
      </c>
      <c r="F548" s="12">
        <v>55415.61</v>
      </c>
      <c r="G548" s="12">
        <v>55415.61</v>
      </c>
      <c r="H548" s="12">
        <f t="shared" si="40"/>
        <v>0</v>
      </c>
      <c r="I548" s="10">
        <f t="shared" si="41"/>
        <v>0</v>
      </c>
      <c r="J548" s="10" t="str">
        <f t="shared" ca="1" si="42"/>
        <v>Paid</v>
      </c>
      <c r="K548" s="10">
        <f t="shared" ca="1" si="43"/>
        <v>0</v>
      </c>
      <c r="L548" s="10" t="str">
        <f t="shared" si="44"/>
        <v>Paid</v>
      </c>
      <c r="M548" s="11">
        <v>45505</v>
      </c>
      <c r="N548" s="11">
        <v>45536</v>
      </c>
    </row>
    <row r="549" spans="1:14" x14ac:dyDescent="0.25">
      <c r="A549" s="13" t="s">
        <v>676</v>
      </c>
      <c r="B549" s="13" t="s">
        <v>233</v>
      </c>
      <c r="C549" s="14">
        <v>45520</v>
      </c>
      <c r="D549" s="14">
        <v>45550</v>
      </c>
      <c r="E549" s="14"/>
      <c r="F549" s="15">
        <v>22716.02</v>
      </c>
      <c r="G549" s="15">
        <v>0</v>
      </c>
      <c r="H549" s="15">
        <f t="shared" si="40"/>
        <v>22716.02</v>
      </c>
      <c r="I549" s="13" t="str">
        <f t="shared" si="41"/>
        <v/>
      </c>
      <c r="J549" s="13" t="str">
        <f t="shared" ca="1" si="42"/>
        <v>Overdue</v>
      </c>
      <c r="K549" s="13">
        <f t="shared" ca="1" si="43"/>
        <v>706</v>
      </c>
      <c r="L549" s="13" t="str">
        <f t="shared" ca="1" si="44"/>
        <v>120+ Days</v>
      </c>
      <c r="M549" s="14">
        <v>45505</v>
      </c>
      <c r="N549" s="14"/>
    </row>
    <row r="550" spans="1:14" x14ac:dyDescent="0.25">
      <c r="A550" s="10" t="s">
        <v>677</v>
      </c>
      <c r="B550" s="10" t="s">
        <v>188</v>
      </c>
      <c r="C550" s="11">
        <v>45550</v>
      </c>
      <c r="D550" s="11">
        <v>45580</v>
      </c>
      <c r="E550" s="11">
        <v>45596</v>
      </c>
      <c r="F550" s="12">
        <v>34638.720000000001</v>
      </c>
      <c r="G550" s="12">
        <v>34638.720000000001</v>
      </c>
      <c r="H550" s="12">
        <f t="shared" si="40"/>
        <v>0</v>
      </c>
      <c r="I550" s="10">
        <f t="shared" si="41"/>
        <v>16</v>
      </c>
      <c r="J550" s="10" t="str">
        <f t="shared" ca="1" si="42"/>
        <v>Paid</v>
      </c>
      <c r="K550" s="10">
        <f t="shared" ca="1" si="43"/>
        <v>0</v>
      </c>
      <c r="L550" s="10" t="str">
        <f t="shared" si="44"/>
        <v>Paid</v>
      </c>
      <c r="M550" s="11">
        <v>45536</v>
      </c>
      <c r="N550" s="11">
        <v>45566</v>
      </c>
    </row>
    <row r="551" spans="1:14" x14ac:dyDescent="0.25">
      <c r="A551" s="13" t="s">
        <v>678</v>
      </c>
      <c r="B551" s="13" t="s">
        <v>233</v>
      </c>
      <c r="C551" s="14">
        <v>45543</v>
      </c>
      <c r="D551" s="14">
        <v>45573</v>
      </c>
      <c r="E551" s="14"/>
      <c r="F551" s="15">
        <v>32471.200000000001</v>
      </c>
      <c r="G551" s="15">
        <v>0</v>
      </c>
      <c r="H551" s="15">
        <f t="shared" si="40"/>
        <v>32471.200000000001</v>
      </c>
      <c r="I551" s="13" t="str">
        <f t="shared" si="41"/>
        <v/>
      </c>
      <c r="J551" s="13" t="str">
        <f t="shared" ca="1" si="42"/>
        <v>Overdue</v>
      </c>
      <c r="K551" s="13">
        <f t="shared" ca="1" si="43"/>
        <v>683</v>
      </c>
      <c r="L551" s="13" t="str">
        <f t="shared" ca="1" si="44"/>
        <v>120+ Days</v>
      </c>
      <c r="M551" s="14">
        <v>45536</v>
      </c>
      <c r="N551" s="14"/>
    </row>
    <row r="552" spans="1:14" x14ac:dyDescent="0.25">
      <c r="A552" s="10" t="s">
        <v>679</v>
      </c>
      <c r="B552" s="10" t="s">
        <v>331</v>
      </c>
      <c r="C552" s="11">
        <v>45562</v>
      </c>
      <c r="D552" s="11">
        <v>45592</v>
      </c>
      <c r="E552" s="11">
        <v>45613</v>
      </c>
      <c r="F552" s="12">
        <v>48567.54</v>
      </c>
      <c r="G552" s="12">
        <v>48567.54</v>
      </c>
      <c r="H552" s="12">
        <f t="shared" si="40"/>
        <v>0</v>
      </c>
      <c r="I552" s="10">
        <f t="shared" si="41"/>
        <v>21</v>
      </c>
      <c r="J552" s="10" t="str">
        <f t="shared" ca="1" si="42"/>
        <v>Paid</v>
      </c>
      <c r="K552" s="10">
        <f t="shared" ca="1" si="43"/>
        <v>0</v>
      </c>
      <c r="L552" s="10" t="str">
        <f t="shared" si="44"/>
        <v>Paid</v>
      </c>
      <c r="M552" s="11">
        <v>45536</v>
      </c>
      <c r="N552" s="11">
        <v>45597</v>
      </c>
    </row>
    <row r="553" spans="1:14" x14ac:dyDescent="0.25">
      <c r="A553" s="13" t="s">
        <v>680</v>
      </c>
      <c r="B553" s="13" t="s">
        <v>169</v>
      </c>
      <c r="C553" s="14">
        <v>45562</v>
      </c>
      <c r="D553" s="14">
        <v>45592</v>
      </c>
      <c r="E553" s="14">
        <v>45625</v>
      </c>
      <c r="F553" s="15">
        <v>65432.34</v>
      </c>
      <c r="G553" s="15">
        <v>65432.34</v>
      </c>
      <c r="H553" s="15">
        <f t="shared" si="40"/>
        <v>0</v>
      </c>
      <c r="I553" s="13">
        <f t="shared" si="41"/>
        <v>33</v>
      </c>
      <c r="J553" s="13" t="str">
        <f t="shared" ca="1" si="42"/>
        <v>Paid</v>
      </c>
      <c r="K553" s="13">
        <f t="shared" ca="1" si="43"/>
        <v>0</v>
      </c>
      <c r="L553" s="13" t="str">
        <f t="shared" si="44"/>
        <v>Paid</v>
      </c>
      <c r="M553" s="14">
        <v>45536</v>
      </c>
      <c r="N553" s="14">
        <v>45597</v>
      </c>
    </row>
    <row r="554" spans="1:14" x14ac:dyDescent="0.25">
      <c r="A554" s="10" t="s">
        <v>681</v>
      </c>
      <c r="B554" s="10" t="s">
        <v>131</v>
      </c>
      <c r="C554" s="11">
        <v>45554</v>
      </c>
      <c r="D554" s="11">
        <v>45584</v>
      </c>
      <c r="E554" s="11">
        <v>45591</v>
      </c>
      <c r="F554" s="12">
        <v>23705.71</v>
      </c>
      <c r="G554" s="12">
        <v>23705.71</v>
      </c>
      <c r="H554" s="12">
        <f t="shared" si="40"/>
        <v>0</v>
      </c>
      <c r="I554" s="10">
        <f t="shared" si="41"/>
        <v>7</v>
      </c>
      <c r="J554" s="10" t="str">
        <f t="shared" ca="1" si="42"/>
        <v>Paid</v>
      </c>
      <c r="K554" s="10">
        <f t="shared" ca="1" si="43"/>
        <v>0</v>
      </c>
      <c r="L554" s="10" t="str">
        <f t="shared" si="44"/>
        <v>Paid</v>
      </c>
      <c r="M554" s="11">
        <v>45536</v>
      </c>
      <c r="N554" s="11">
        <v>45566</v>
      </c>
    </row>
    <row r="555" spans="1:14" x14ac:dyDescent="0.25">
      <c r="A555" s="13" t="s">
        <v>682</v>
      </c>
      <c r="B555" s="13" t="s">
        <v>134</v>
      </c>
      <c r="C555" s="14">
        <v>45536</v>
      </c>
      <c r="D555" s="14">
        <v>45566</v>
      </c>
      <c r="E555" s="14">
        <v>45574</v>
      </c>
      <c r="F555" s="15">
        <v>26712.99</v>
      </c>
      <c r="G555" s="15">
        <v>26712.99</v>
      </c>
      <c r="H555" s="15">
        <f t="shared" si="40"/>
        <v>0</v>
      </c>
      <c r="I555" s="13">
        <f t="shared" si="41"/>
        <v>8</v>
      </c>
      <c r="J555" s="13" t="str">
        <f t="shared" ca="1" si="42"/>
        <v>Paid</v>
      </c>
      <c r="K555" s="13">
        <f t="shared" ca="1" si="43"/>
        <v>0</v>
      </c>
      <c r="L555" s="13" t="str">
        <f t="shared" si="44"/>
        <v>Paid</v>
      </c>
      <c r="M555" s="14">
        <v>45536</v>
      </c>
      <c r="N555" s="14">
        <v>45566</v>
      </c>
    </row>
    <row r="556" spans="1:14" x14ac:dyDescent="0.25">
      <c r="A556" s="10" t="s">
        <v>683</v>
      </c>
      <c r="B556" s="10" t="s">
        <v>109</v>
      </c>
      <c r="C556" s="11">
        <v>45549</v>
      </c>
      <c r="D556" s="11">
        <v>45579</v>
      </c>
      <c r="E556" s="11"/>
      <c r="F556" s="12">
        <v>25019.34</v>
      </c>
      <c r="G556" s="12">
        <v>0</v>
      </c>
      <c r="H556" s="12">
        <f t="shared" si="40"/>
        <v>25019.34</v>
      </c>
      <c r="I556" s="10" t="str">
        <f t="shared" si="41"/>
        <v/>
      </c>
      <c r="J556" s="10" t="str">
        <f t="shared" ca="1" si="42"/>
        <v>Overdue</v>
      </c>
      <c r="K556" s="10">
        <f t="shared" ca="1" si="43"/>
        <v>677</v>
      </c>
      <c r="L556" s="10" t="str">
        <f t="shared" ca="1" si="44"/>
        <v>120+ Days</v>
      </c>
      <c r="M556" s="11">
        <v>45536</v>
      </c>
      <c r="N556" s="11"/>
    </row>
    <row r="557" spans="1:14" x14ac:dyDescent="0.25">
      <c r="A557" s="13" t="s">
        <v>684</v>
      </c>
      <c r="B557" s="13" t="s">
        <v>109</v>
      </c>
      <c r="C557" s="14">
        <v>45551</v>
      </c>
      <c r="D557" s="14">
        <v>45581</v>
      </c>
      <c r="E557" s="14">
        <v>45611</v>
      </c>
      <c r="F557" s="15">
        <v>20851.64</v>
      </c>
      <c r="G557" s="15">
        <v>20851.64</v>
      </c>
      <c r="H557" s="15">
        <f t="shared" si="40"/>
        <v>0</v>
      </c>
      <c r="I557" s="13">
        <f t="shared" si="41"/>
        <v>30</v>
      </c>
      <c r="J557" s="13" t="str">
        <f t="shared" ca="1" si="42"/>
        <v>Paid</v>
      </c>
      <c r="K557" s="13">
        <f t="shared" ca="1" si="43"/>
        <v>0</v>
      </c>
      <c r="L557" s="13" t="str">
        <f t="shared" si="44"/>
        <v>Paid</v>
      </c>
      <c r="M557" s="14">
        <v>45536</v>
      </c>
      <c r="N557" s="14">
        <v>45597</v>
      </c>
    </row>
    <row r="558" spans="1:14" x14ac:dyDescent="0.25">
      <c r="A558" s="10" t="s">
        <v>685</v>
      </c>
      <c r="B558" s="10" t="s">
        <v>72</v>
      </c>
      <c r="C558" s="11">
        <v>45558</v>
      </c>
      <c r="D558" s="11">
        <v>45588</v>
      </c>
      <c r="E558" s="11"/>
      <c r="F558" s="12">
        <v>52501.919999999998</v>
      </c>
      <c r="G558" s="12">
        <v>0</v>
      </c>
      <c r="H558" s="12">
        <f t="shared" si="40"/>
        <v>52501.919999999998</v>
      </c>
      <c r="I558" s="10" t="str">
        <f t="shared" si="41"/>
        <v/>
      </c>
      <c r="J558" s="10" t="str">
        <f t="shared" ca="1" si="42"/>
        <v>Overdue</v>
      </c>
      <c r="K558" s="10">
        <f t="shared" ca="1" si="43"/>
        <v>668</v>
      </c>
      <c r="L558" s="10" t="str">
        <f t="shared" ca="1" si="44"/>
        <v>120+ Days</v>
      </c>
      <c r="M558" s="11">
        <v>45536</v>
      </c>
      <c r="N558" s="11"/>
    </row>
    <row r="559" spans="1:14" x14ac:dyDescent="0.25">
      <c r="A559" s="13" t="s">
        <v>686</v>
      </c>
      <c r="B559" s="13" t="s">
        <v>222</v>
      </c>
      <c r="C559" s="14">
        <v>45556</v>
      </c>
      <c r="D559" s="14">
        <v>45586</v>
      </c>
      <c r="E559" s="14">
        <v>45594</v>
      </c>
      <c r="F559" s="15">
        <v>49851.06</v>
      </c>
      <c r="G559" s="15">
        <v>49851.06</v>
      </c>
      <c r="H559" s="15">
        <f t="shared" si="40"/>
        <v>0</v>
      </c>
      <c r="I559" s="13">
        <f t="shared" si="41"/>
        <v>8</v>
      </c>
      <c r="J559" s="13" t="str">
        <f t="shared" ca="1" si="42"/>
        <v>Paid</v>
      </c>
      <c r="K559" s="13">
        <f t="shared" ca="1" si="43"/>
        <v>0</v>
      </c>
      <c r="L559" s="13" t="str">
        <f t="shared" si="44"/>
        <v>Paid</v>
      </c>
      <c r="M559" s="14">
        <v>45536</v>
      </c>
      <c r="N559" s="14">
        <v>45566</v>
      </c>
    </row>
    <row r="560" spans="1:14" x14ac:dyDescent="0.25">
      <c r="A560" s="10" t="s">
        <v>687</v>
      </c>
      <c r="B560" s="10" t="s">
        <v>101</v>
      </c>
      <c r="C560" s="11">
        <v>45553</v>
      </c>
      <c r="D560" s="11">
        <v>45583</v>
      </c>
      <c r="E560" s="11">
        <v>45595</v>
      </c>
      <c r="F560" s="12">
        <v>91176.84</v>
      </c>
      <c r="G560" s="12">
        <v>91176.84</v>
      </c>
      <c r="H560" s="12">
        <f t="shared" si="40"/>
        <v>0</v>
      </c>
      <c r="I560" s="10">
        <f t="shared" si="41"/>
        <v>12</v>
      </c>
      <c r="J560" s="10" t="str">
        <f t="shared" ca="1" si="42"/>
        <v>Paid</v>
      </c>
      <c r="K560" s="10">
        <f t="shared" ca="1" si="43"/>
        <v>0</v>
      </c>
      <c r="L560" s="10" t="str">
        <f t="shared" si="44"/>
        <v>Paid</v>
      </c>
      <c r="M560" s="11">
        <v>45536</v>
      </c>
      <c r="N560" s="11">
        <v>45566</v>
      </c>
    </row>
    <row r="561" spans="1:14" x14ac:dyDescent="0.25">
      <c r="A561" s="13" t="s">
        <v>688</v>
      </c>
      <c r="B561" s="13" t="s">
        <v>70</v>
      </c>
      <c r="C561" s="14">
        <v>45549</v>
      </c>
      <c r="D561" s="14">
        <v>45579</v>
      </c>
      <c r="E561" s="14">
        <v>45581</v>
      </c>
      <c r="F561" s="15">
        <v>36329.82</v>
      </c>
      <c r="G561" s="15">
        <v>36329.82</v>
      </c>
      <c r="H561" s="15">
        <f t="shared" si="40"/>
        <v>0</v>
      </c>
      <c r="I561" s="13">
        <f t="shared" si="41"/>
        <v>2</v>
      </c>
      <c r="J561" s="13" t="str">
        <f t="shared" ca="1" si="42"/>
        <v>Paid</v>
      </c>
      <c r="K561" s="13">
        <f t="shared" ca="1" si="43"/>
        <v>0</v>
      </c>
      <c r="L561" s="13" t="str">
        <f t="shared" si="44"/>
        <v>Paid</v>
      </c>
      <c r="M561" s="14">
        <v>45536</v>
      </c>
      <c r="N561" s="14">
        <v>45566</v>
      </c>
    </row>
    <row r="562" spans="1:14" x14ac:dyDescent="0.25">
      <c r="A562" s="10" t="s">
        <v>689</v>
      </c>
      <c r="B562" s="10" t="s">
        <v>109</v>
      </c>
      <c r="C562" s="11">
        <v>45559</v>
      </c>
      <c r="D562" s="11">
        <v>45589</v>
      </c>
      <c r="E562" s="11"/>
      <c r="F562" s="12">
        <v>75068.53</v>
      </c>
      <c r="G562" s="12">
        <v>0</v>
      </c>
      <c r="H562" s="12">
        <f t="shared" si="40"/>
        <v>75068.53</v>
      </c>
      <c r="I562" s="10" t="str">
        <f t="shared" si="41"/>
        <v/>
      </c>
      <c r="J562" s="10" t="str">
        <f t="shared" ca="1" si="42"/>
        <v>Overdue</v>
      </c>
      <c r="K562" s="10">
        <f t="shared" ca="1" si="43"/>
        <v>667</v>
      </c>
      <c r="L562" s="10" t="str">
        <f t="shared" ca="1" si="44"/>
        <v>120+ Days</v>
      </c>
      <c r="M562" s="11">
        <v>45536</v>
      </c>
      <c r="N562" s="11"/>
    </row>
    <row r="563" spans="1:14" x14ac:dyDescent="0.25">
      <c r="A563" s="13" t="s">
        <v>690</v>
      </c>
      <c r="B563" s="13" t="s">
        <v>95</v>
      </c>
      <c r="C563" s="14">
        <v>45551</v>
      </c>
      <c r="D563" s="14">
        <v>45581</v>
      </c>
      <c r="E563" s="14">
        <v>45599</v>
      </c>
      <c r="F563" s="15">
        <v>64114.54</v>
      </c>
      <c r="G563" s="15">
        <v>64114.54</v>
      </c>
      <c r="H563" s="15">
        <f t="shared" si="40"/>
        <v>0</v>
      </c>
      <c r="I563" s="13">
        <f t="shared" si="41"/>
        <v>18</v>
      </c>
      <c r="J563" s="13" t="str">
        <f t="shared" ca="1" si="42"/>
        <v>Paid</v>
      </c>
      <c r="K563" s="13">
        <f t="shared" ca="1" si="43"/>
        <v>0</v>
      </c>
      <c r="L563" s="13" t="str">
        <f t="shared" si="44"/>
        <v>Paid</v>
      </c>
      <c r="M563" s="14">
        <v>45536</v>
      </c>
      <c r="N563" s="14">
        <v>45597</v>
      </c>
    </row>
    <row r="564" spans="1:14" x14ac:dyDescent="0.25">
      <c r="A564" s="10" t="s">
        <v>691</v>
      </c>
      <c r="B564" s="10" t="s">
        <v>146</v>
      </c>
      <c r="C564" s="11">
        <v>45552</v>
      </c>
      <c r="D564" s="11">
        <v>45582</v>
      </c>
      <c r="E564" s="11">
        <v>45588</v>
      </c>
      <c r="F564" s="12">
        <v>15991.43</v>
      </c>
      <c r="G564" s="12">
        <v>15991.43</v>
      </c>
      <c r="H564" s="12">
        <f t="shared" si="40"/>
        <v>0</v>
      </c>
      <c r="I564" s="10">
        <f t="shared" si="41"/>
        <v>6</v>
      </c>
      <c r="J564" s="10" t="str">
        <f t="shared" ca="1" si="42"/>
        <v>Paid</v>
      </c>
      <c r="K564" s="10">
        <f t="shared" ca="1" si="43"/>
        <v>0</v>
      </c>
      <c r="L564" s="10" t="str">
        <f t="shared" si="44"/>
        <v>Paid</v>
      </c>
      <c r="M564" s="11">
        <v>45536</v>
      </c>
      <c r="N564" s="11">
        <v>45566</v>
      </c>
    </row>
    <row r="565" spans="1:14" x14ac:dyDescent="0.25">
      <c r="A565" s="13" t="s">
        <v>692</v>
      </c>
      <c r="B565" s="13" t="s">
        <v>117</v>
      </c>
      <c r="C565" s="14">
        <v>45561</v>
      </c>
      <c r="D565" s="14">
        <v>45591</v>
      </c>
      <c r="E565" s="14"/>
      <c r="F565" s="15">
        <v>21587.72</v>
      </c>
      <c r="G565" s="15">
        <v>0</v>
      </c>
      <c r="H565" s="15">
        <f t="shared" si="40"/>
        <v>21587.72</v>
      </c>
      <c r="I565" s="13" t="str">
        <f t="shared" si="41"/>
        <v/>
      </c>
      <c r="J565" s="13" t="str">
        <f t="shared" ca="1" si="42"/>
        <v>Overdue</v>
      </c>
      <c r="K565" s="13">
        <f t="shared" ca="1" si="43"/>
        <v>665</v>
      </c>
      <c r="L565" s="13" t="str">
        <f t="shared" ca="1" si="44"/>
        <v>120+ Days</v>
      </c>
      <c r="M565" s="14">
        <v>45536</v>
      </c>
      <c r="N565" s="14"/>
    </row>
    <row r="566" spans="1:14" x14ac:dyDescent="0.25">
      <c r="A566" s="10" t="s">
        <v>693</v>
      </c>
      <c r="B566" s="10" t="s">
        <v>233</v>
      </c>
      <c r="C566" s="11">
        <v>45555</v>
      </c>
      <c r="D566" s="11">
        <v>45585</v>
      </c>
      <c r="E566" s="11">
        <v>45628</v>
      </c>
      <c r="F566" s="12">
        <v>55344.33</v>
      </c>
      <c r="G566" s="12">
        <v>55344.33</v>
      </c>
      <c r="H566" s="12">
        <f t="shared" si="40"/>
        <v>0</v>
      </c>
      <c r="I566" s="10">
        <f t="shared" si="41"/>
        <v>43</v>
      </c>
      <c r="J566" s="10" t="str">
        <f t="shared" ca="1" si="42"/>
        <v>Paid</v>
      </c>
      <c r="K566" s="10">
        <f t="shared" ca="1" si="43"/>
        <v>0</v>
      </c>
      <c r="L566" s="10" t="str">
        <f t="shared" si="44"/>
        <v>Paid</v>
      </c>
      <c r="M566" s="11">
        <v>45536</v>
      </c>
      <c r="N566" s="11">
        <v>45627</v>
      </c>
    </row>
    <row r="567" spans="1:14" x14ac:dyDescent="0.25">
      <c r="A567" s="13" t="s">
        <v>694</v>
      </c>
      <c r="B567" s="13" t="s">
        <v>93</v>
      </c>
      <c r="C567" s="14">
        <v>45538</v>
      </c>
      <c r="D567" s="14">
        <v>45568</v>
      </c>
      <c r="E567" s="14">
        <v>45612</v>
      </c>
      <c r="F567" s="15">
        <v>45825.57</v>
      </c>
      <c r="G567" s="15">
        <v>45825.57</v>
      </c>
      <c r="H567" s="15">
        <f t="shared" si="40"/>
        <v>0</v>
      </c>
      <c r="I567" s="13">
        <f t="shared" si="41"/>
        <v>44</v>
      </c>
      <c r="J567" s="13" t="str">
        <f t="shared" ca="1" si="42"/>
        <v>Paid</v>
      </c>
      <c r="K567" s="13">
        <f t="shared" ca="1" si="43"/>
        <v>0</v>
      </c>
      <c r="L567" s="13" t="str">
        <f t="shared" si="44"/>
        <v>Paid</v>
      </c>
      <c r="M567" s="14">
        <v>45536</v>
      </c>
      <c r="N567" s="14">
        <v>45597</v>
      </c>
    </row>
    <row r="568" spans="1:14" x14ac:dyDescent="0.25">
      <c r="A568" s="10" t="s">
        <v>695</v>
      </c>
      <c r="B568" s="10" t="s">
        <v>230</v>
      </c>
      <c r="C568" s="11">
        <v>45544</v>
      </c>
      <c r="D568" s="11">
        <v>45574</v>
      </c>
      <c r="E568" s="11"/>
      <c r="F568" s="12">
        <v>51689.42</v>
      </c>
      <c r="G568" s="12">
        <v>0</v>
      </c>
      <c r="H568" s="12">
        <f t="shared" si="40"/>
        <v>51689.42</v>
      </c>
      <c r="I568" s="10" t="str">
        <f t="shared" si="41"/>
        <v/>
      </c>
      <c r="J568" s="10" t="str">
        <f t="shared" ca="1" si="42"/>
        <v>Overdue</v>
      </c>
      <c r="K568" s="10">
        <f t="shared" ca="1" si="43"/>
        <v>682</v>
      </c>
      <c r="L568" s="10" t="str">
        <f t="shared" ca="1" si="44"/>
        <v>120+ Days</v>
      </c>
      <c r="M568" s="11">
        <v>45536</v>
      </c>
      <c r="N568" s="11"/>
    </row>
    <row r="569" spans="1:14" x14ac:dyDescent="0.25">
      <c r="A569" s="13" t="s">
        <v>696</v>
      </c>
      <c r="B569" s="13" t="s">
        <v>99</v>
      </c>
      <c r="C569" s="14">
        <v>45558</v>
      </c>
      <c r="D569" s="14">
        <v>45588</v>
      </c>
      <c r="E569" s="14">
        <v>45602</v>
      </c>
      <c r="F569" s="15">
        <v>41192.559999999998</v>
      </c>
      <c r="G569" s="15">
        <v>41192.559999999998</v>
      </c>
      <c r="H569" s="15">
        <f t="shared" si="40"/>
        <v>0</v>
      </c>
      <c r="I569" s="13">
        <f t="shared" si="41"/>
        <v>14</v>
      </c>
      <c r="J569" s="13" t="str">
        <f t="shared" ca="1" si="42"/>
        <v>Paid</v>
      </c>
      <c r="K569" s="13">
        <f t="shared" ca="1" si="43"/>
        <v>0</v>
      </c>
      <c r="L569" s="13" t="str">
        <f t="shared" si="44"/>
        <v>Paid</v>
      </c>
      <c r="M569" s="14">
        <v>45536</v>
      </c>
      <c r="N569" s="14">
        <v>45597</v>
      </c>
    </row>
    <row r="570" spans="1:14" x14ac:dyDescent="0.25">
      <c r="A570" s="10" t="s">
        <v>697</v>
      </c>
      <c r="B570" s="10" t="s">
        <v>188</v>
      </c>
      <c r="C570" s="11">
        <v>45538</v>
      </c>
      <c r="D570" s="11">
        <v>45568</v>
      </c>
      <c r="E570" s="11">
        <v>45571</v>
      </c>
      <c r="F570" s="12">
        <v>58932.71</v>
      </c>
      <c r="G570" s="12">
        <v>58932.71</v>
      </c>
      <c r="H570" s="12">
        <f t="shared" si="40"/>
        <v>0</v>
      </c>
      <c r="I570" s="10">
        <f t="shared" si="41"/>
        <v>3</v>
      </c>
      <c r="J570" s="10" t="str">
        <f t="shared" ca="1" si="42"/>
        <v>Paid</v>
      </c>
      <c r="K570" s="10">
        <f t="shared" ca="1" si="43"/>
        <v>0</v>
      </c>
      <c r="L570" s="10" t="str">
        <f t="shared" si="44"/>
        <v>Paid</v>
      </c>
      <c r="M570" s="11">
        <v>45536</v>
      </c>
      <c r="N570" s="11">
        <v>45566</v>
      </c>
    </row>
    <row r="571" spans="1:14" x14ac:dyDescent="0.25">
      <c r="A571" s="13" t="s">
        <v>698</v>
      </c>
      <c r="B571" s="13" t="s">
        <v>220</v>
      </c>
      <c r="C571" s="14">
        <v>45558</v>
      </c>
      <c r="D571" s="14">
        <v>45588</v>
      </c>
      <c r="E571" s="14">
        <v>45599</v>
      </c>
      <c r="F571" s="15">
        <v>29717.32</v>
      </c>
      <c r="G571" s="15">
        <v>29717.32</v>
      </c>
      <c r="H571" s="15">
        <f t="shared" si="40"/>
        <v>0</v>
      </c>
      <c r="I571" s="13">
        <f t="shared" si="41"/>
        <v>11</v>
      </c>
      <c r="J571" s="13" t="str">
        <f t="shared" ca="1" si="42"/>
        <v>Paid</v>
      </c>
      <c r="K571" s="13">
        <f t="shared" ca="1" si="43"/>
        <v>0</v>
      </c>
      <c r="L571" s="13" t="str">
        <f t="shared" si="44"/>
        <v>Paid</v>
      </c>
      <c r="M571" s="14">
        <v>45536</v>
      </c>
      <c r="N571" s="14">
        <v>45597</v>
      </c>
    </row>
    <row r="572" spans="1:14" x14ac:dyDescent="0.25">
      <c r="A572" s="10" t="s">
        <v>699</v>
      </c>
      <c r="B572" s="10" t="s">
        <v>81</v>
      </c>
      <c r="C572" s="11">
        <v>45549</v>
      </c>
      <c r="D572" s="11">
        <v>45579</v>
      </c>
      <c r="E572" s="11">
        <v>45608</v>
      </c>
      <c r="F572" s="12">
        <v>54024.94</v>
      </c>
      <c r="G572" s="12">
        <v>54024.94</v>
      </c>
      <c r="H572" s="12">
        <f t="shared" si="40"/>
        <v>0</v>
      </c>
      <c r="I572" s="10">
        <f t="shared" si="41"/>
        <v>29</v>
      </c>
      <c r="J572" s="10" t="str">
        <f t="shared" ca="1" si="42"/>
        <v>Paid</v>
      </c>
      <c r="K572" s="10">
        <f t="shared" ca="1" si="43"/>
        <v>0</v>
      </c>
      <c r="L572" s="10" t="str">
        <f t="shared" si="44"/>
        <v>Paid</v>
      </c>
      <c r="M572" s="11">
        <v>45536</v>
      </c>
      <c r="N572" s="11">
        <v>45597</v>
      </c>
    </row>
    <row r="573" spans="1:14" x14ac:dyDescent="0.25">
      <c r="A573" s="13" t="s">
        <v>700</v>
      </c>
      <c r="B573" s="13" t="s">
        <v>233</v>
      </c>
      <c r="C573" s="14">
        <v>45546</v>
      </c>
      <c r="D573" s="14">
        <v>45576</v>
      </c>
      <c r="E573" s="14">
        <v>45595</v>
      </c>
      <c r="F573" s="15">
        <v>18902.54</v>
      </c>
      <c r="G573" s="15">
        <v>18902.54</v>
      </c>
      <c r="H573" s="15">
        <f t="shared" si="40"/>
        <v>0</v>
      </c>
      <c r="I573" s="13">
        <f t="shared" si="41"/>
        <v>19</v>
      </c>
      <c r="J573" s="13" t="str">
        <f t="shared" ca="1" si="42"/>
        <v>Paid</v>
      </c>
      <c r="K573" s="13">
        <f t="shared" ca="1" si="43"/>
        <v>0</v>
      </c>
      <c r="L573" s="13" t="str">
        <f t="shared" si="44"/>
        <v>Paid</v>
      </c>
      <c r="M573" s="14">
        <v>45536</v>
      </c>
      <c r="N573" s="14">
        <v>45566</v>
      </c>
    </row>
    <row r="574" spans="1:14" x14ac:dyDescent="0.25">
      <c r="A574" s="10" t="s">
        <v>701</v>
      </c>
      <c r="B574" s="10" t="s">
        <v>91</v>
      </c>
      <c r="C574" s="11">
        <v>45562</v>
      </c>
      <c r="D574" s="11">
        <v>45592</v>
      </c>
      <c r="E574" s="11"/>
      <c r="F574" s="12">
        <v>12819.48</v>
      </c>
      <c r="G574" s="12">
        <v>0</v>
      </c>
      <c r="H574" s="12">
        <f t="shared" si="40"/>
        <v>12819.48</v>
      </c>
      <c r="I574" s="10" t="str">
        <f t="shared" si="41"/>
        <v/>
      </c>
      <c r="J574" s="10" t="str">
        <f t="shared" ca="1" si="42"/>
        <v>Overdue</v>
      </c>
      <c r="K574" s="10">
        <f t="shared" ca="1" si="43"/>
        <v>664</v>
      </c>
      <c r="L574" s="10" t="str">
        <f t="shared" ca="1" si="44"/>
        <v>120+ Days</v>
      </c>
      <c r="M574" s="11">
        <v>45536</v>
      </c>
      <c r="N574" s="11"/>
    </row>
    <row r="575" spans="1:14" x14ac:dyDescent="0.25">
      <c r="A575" s="13" t="s">
        <v>702</v>
      </c>
      <c r="B575" s="13" t="s">
        <v>182</v>
      </c>
      <c r="C575" s="14">
        <v>45540</v>
      </c>
      <c r="D575" s="14">
        <v>45570</v>
      </c>
      <c r="E575" s="14">
        <v>45583</v>
      </c>
      <c r="F575" s="15">
        <v>70102.75</v>
      </c>
      <c r="G575" s="15">
        <v>70102.75</v>
      </c>
      <c r="H575" s="15">
        <f t="shared" si="40"/>
        <v>0</v>
      </c>
      <c r="I575" s="13">
        <f t="shared" si="41"/>
        <v>13</v>
      </c>
      <c r="J575" s="13" t="str">
        <f t="shared" ca="1" si="42"/>
        <v>Paid</v>
      </c>
      <c r="K575" s="13">
        <f t="shared" ca="1" si="43"/>
        <v>0</v>
      </c>
      <c r="L575" s="13" t="str">
        <f t="shared" si="44"/>
        <v>Paid</v>
      </c>
      <c r="M575" s="14">
        <v>45536</v>
      </c>
      <c r="N575" s="14">
        <v>45566</v>
      </c>
    </row>
    <row r="576" spans="1:14" x14ac:dyDescent="0.25">
      <c r="A576" s="10" t="s">
        <v>703</v>
      </c>
      <c r="B576" s="10" t="s">
        <v>222</v>
      </c>
      <c r="C576" s="11">
        <v>45546</v>
      </c>
      <c r="D576" s="11">
        <v>45576</v>
      </c>
      <c r="E576" s="11"/>
      <c r="F576" s="12">
        <v>46613.95</v>
      </c>
      <c r="G576" s="12">
        <v>0</v>
      </c>
      <c r="H576" s="12">
        <f t="shared" si="40"/>
        <v>46613.95</v>
      </c>
      <c r="I576" s="10" t="str">
        <f t="shared" si="41"/>
        <v/>
      </c>
      <c r="J576" s="10" t="str">
        <f t="shared" ca="1" si="42"/>
        <v>Overdue</v>
      </c>
      <c r="K576" s="10">
        <f t="shared" ca="1" si="43"/>
        <v>680</v>
      </c>
      <c r="L576" s="10" t="str">
        <f t="shared" ca="1" si="44"/>
        <v>120+ Days</v>
      </c>
      <c r="M576" s="11">
        <v>45536</v>
      </c>
      <c r="N576" s="11"/>
    </row>
    <row r="577" spans="1:14" x14ac:dyDescent="0.25">
      <c r="A577" s="13" t="s">
        <v>704</v>
      </c>
      <c r="B577" s="13" t="s">
        <v>265</v>
      </c>
      <c r="C577" s="14">
        <v>45558</v>
      </c>
      <c r="D577" s="14">
        <v>45588</v>
      </c>
      <c r="E577" s="14">
        <v>45601</v>
      </c>
      <c r="F577" s="15">
        <v>65124.33</v>
      </c>
      <c r="G577" s="15">
        <v>65124.33</v>
      </c>
      <c r="H577" s="15">
        <f t="shared" si="40"/>
        <v>0</v>
      </c>
      <c r="I577" s="13">
        <f t="shared" si="41"/>
        <v>13</v>
      </c>
      <c r="J577" s="13" t="str">
        <f t="shared" ca="1" si="42"/>
        <v>Paid</v>
      </c>
      <c r="K577" s="13">
        <f t="shared" ca="1" si="43"/>
        <v>0</v>
      </c>
      <c r="L577" s="13" t="str">
        <f t="shared" si="44"/>
        <v>Paid</v>
      </c>
      <c r="M577" s="14">
        <v>45536</v>
      </c>
      <c r="N577" s="14">
        <v>45597</v>
      </c>
    </row>
    <row r="578" spans="1:14" x14ac:dyDescent="0.25">
      <c r="A578" s="10" t="s">
        <v>705</v>
      </c>
      <c r="B578" s="10" t="s">
        <v>169</v>
      </c>
      <c r="C578" s="11">
        <v>45545</v>
      </c>
      <c r="D578" s="11">
        <v>45575</v>
      </c>
      <c r="E578" s="11">
        <v>45575</v>
      </c>
      <c r="F578" s="12">
        <v>71525.87</v>
      </c>
      <c r="G578" s="12">
        <v>71525.87</v>
      </c>
      <c r="H578" s="12">
        <f t="shared" ref="H578:H641" si="45">MAX(0,F578-G578)</f>
        <v>0</v>
      </c>
      <c r="I578" s="10">
        <f t="shared" ref="I578:I641" si="46">IF(E578="","",MAX(0,E578-D578))</f>
        <v>0</v>
      </c>
      <c r="J578" s="10" t="str">
        <f t="shared" ref="J578:J641" ca="1" si="47">IF(H578=0,"Paid",IF(D578&lt;TODAY(),"Overdue","Open"))</f>
        <v>Paid</v>
      </c>
      <c r="K578" s="10">
        <f t="shared" ref="K578:K641" ca="1" si="48">IF(H578=0,0,MAX(0,TODAY()-D578))</f>
        <v>0</v>
      </c>
      <c r="L578" s="10" t="str">
        <f t="shared" ref="L578:L641" si="49">IF(H578=0,"Paid",IF(K578&lt;=30,"0-30 Days",IF(K578&lt;=60,"31-60 Days",IF(K578&lt;=90,"61-90 Days",IF(K578&lt;=120,"91-120 Days","120+ Days")))))</f>
        <v>Paid</v>
      </c>
      <c r="M578" s="11">
        <v>45536</v>
      </c>
      <c r="N578" s="11">
        <v>45566</v>
      </c>
    </row>
    <row r="579" spans="1:14" x14ac:dyDescent="0.25">
      <c r="A579" s="13" t="s">
        <v>706</v>
      </c>
      <c r="B579" s="13" t="s">
        <v>131</v>
      </c>
      <c r="C579" s="14">
        <v>45536</v>
      </c>
      <c r="D579" s="14">
        <v>45566</v>
      </c>
      <c r="E579" s="14">
        <v>45566</v>
      </c>
      <c r="F579" s="15">
        <v>63592.98</v>
      </c>
      <c r="G579" s="15">
        <v>63592.98</v>
      </c>
      <c r="H579" s="15">
        <f t="shared" si="45"/>
        <v>0</v>
      </c>
      <c r="I579" s="13">
        <f t="shared" si="46"/>
        <v>0</v>
      </c>
      <c r="J579" s="13" t="str">
        <f t="shared" ca="1" si="47"/>
        <v>Paid</v>
      </c>
      <c r="K579" s="13">
        <f t="shared" ca="1" si="48"/>
        <v>0</v>
      </c>
      <c r="L579" s="13" t="str">
        <f t="shared" si="49"/>
        <v>Paid</v>
      </c>
      <c r="M579" s="14">
        <v>45536</v>
      </c>
      <c r="N579" s="14">
        <v>45566</v>
      </c>
    </row>
    <row r="580" spans="1:14" x14ac:dyDescent="0.25">
      <c r="A580" s="10" t="s">
        <v>707</v>
      </c>
      <c r="B580" s="10" t="s">
        <v>274</v>
      </c>
      <c r="C580" s="11">
        <v>45555</v>
      </c>
      <c r="D580" s="11">
        <v>45585</v>
      </c>
      <c r="E580" s="11">
        <v>45605</v>
      </c>
      <c r="F580" s="12">
        <v>28880.720000000001</v>
      </c>
      <c r="G580" s="12">
        <v>28880.720000000001</v>
      </c>
      <c r="H580" s="12">
        <f t="shared" si="45"/>
        <v>0</v>
      </c>
      <c r="I580" s="10">
        <f t="shared" si="46"/>
        <v>20</v>
      </c>
      <c r="J580" s="10" t="str">
        <f t="shared" ca="1" si="47"/>
        <v>Paid</v>
      </c>
      <c r="K580" s="10">
        <f t="shared" ca="1" si="48"/>
        <v>0</v>
      </c>
      <c r="L580" s="10" t="str">
        <f t="shared" si="49"/>
        <v>Paid</v>
      </c>
      <c r="M580" s="11">
        <v>45536</v>
      </c>
      <c r="N580" s="11">
        <v>45597</v>
      </c>
    </row>
    <row r="581" spans="1:14" x14ac:dyDescent="0.25">
      <c r="A581" s="13" t="s">
        <v>708</v>
      </c>
      <c r="B581" s="13" t="s">
        <v>119</v>
      </c>
      <c r="C581" s="14">
        <v>45550</v>
      </c>
      <c r="D581" s="14">
        <v>45580</v>
      </c>
      <c r="E581" s="14">
        <v>45592</v>
      </c>
      <c r="F581" s="15">
        <v>8354.27</v>
      </c>
      <c r="G581" s="15">
        <v>8354.27</v>
      </c>
      <c r="H581" s="15">
        <f t="shared" si="45"/>
        <v>0</v>
      </c>
      <c r="I581" s="13">
        <f t="shared" si="46"/>
        <v>12</v>
      </c>
      <c r="J581" s="13" t="str">
        <f t="shared" ca="1" si="47"/>
        <v>Paid</v>
      </c>
      <c r="K581" s="13">
        <f t="shared" ca="1" si="48"/>
        <v>0</v>
      </c>
      <c r="L581" s="13" t="str">
        <f t="shared" si="49"/>
        <v>Paid</v>
      </c>
      <c r="M581" s="14">
        <v>45536</v>
      </c>
      <c r="N581" s="14">
        <v>45566</v>
      </c>
    </row>
    <row r="582" spans="1:14" x14ac:dyDescent="0.25">
      <c r="A582" s="10" t="s">
        <v>709</v>
      </c>
      <c r="B582" s="10" t="s">
        <v>138</v>
      </c>
      <c r="C582" s="11">
        <v>45559</v>
      </c>
      <c r="D582" s="11">
        <v>45589</v>
      </c>
      <c r="E582" s="11">
        <v>45596</v>
      </c>
      <c r="F582" s="12">
        <v>29106.83</v>
      </c>
      <c r="G582" s="12">
        <v>29106.83</v>
      </c>
      <c r="H582" s="12">
        <f t="shared" si="45"/>
        <v>0</v>
      </c>
      <c r="I582" s="10">
        <f t="shared" si="46"/>
        <v>7</v>
      </c>
      <c r="J582" s="10" t="str">
        <f t="shared" ca="1" si="47"/>
        <v>Paid</v>
      </c>
      <c r="K582" s="10">
        <f t="shared" ca="1" si="48"/>
        <v>0</v>
      </c>
      <c r="L582" s="10" t="str">
        <f t="shared" si="49"/>
        <v>Paid</v>
      </c>
      <c r="M582" s="11">
        <v>45536</v>
      </c>
      <c r="N582" s="11">
        <v>45566</v>
      </c>
    </row>
    <row r="583" spans="1:14" x14ac:dyDescent="0.25">
      <c r="A583" s="13" t="s">
        <v>710</v>
      </c>
      <c r="B583" s="13" t="s">
        <v>70</v>
      </c>
      <c r="C583" s="14">
        <v>45560</v>
      </c>
      <c r="D583" s="14">
        <v>45590</v>
      </c>
      <c r="E583" s="14">
        <v>45601</v>
      </c>
      <c r="F583" s="15">
        <v>44080.87</v>
      </c>
      <c r="G583" s="15">
        <v>44080.87</v>
      </c>
      <c r="H583" s="15">
        <f t="shared" si="45"/>
        <v>0</v>
      </c>
      <c r="I583" s="13">
        <f t="shared" si="46"/>
        <v>11</v>
      </c>
      <c r="J583" s="13" t="str">
        <f t="shared" ca="1" si="47"/>
        <v>Paid</v>
      </c>
      <c r="K583" s="13">
        <f t="shared" ca="1" si="48"/>
        <v>0</v>
      </c>
      <c r="L583" s="13" t="str">
        <f t="shared" si="49"/>
        <v>Paid</v>
      </c>
      <c r="M583" s="14">
        <v>45536</v>
      </c>
      <c r="N583" s="14">
        <v>45597</v>
      </c>
    </row>
    <row r="584" spans="1:14" x14ac:dyDescent="0.25">
      <c r="A584" s="10" t="s">
        <v>711</v>
      </c>
      <c r="B584" s="10" t="s">
        <v>85</v>
      </c>
      <c r="C584" s="11">
        <v>45562</v>
      </c>
      <c r="D584" s="11">
        <v>45592</v>
      </c>
      <c r="E584" s="11"/>
      <c r="F584" s="12">
        <v>81050.81</v>
      </c>
      <c r="G584" s="12">
        <v>0</v>
      </c>
      <c r="H584" s="12">
        <f t="shared" si="45"/>
        <v>81050.81</v>
      </c>
      <c r="I584" s="10" t="str">
        <f t="shared" si="46"/>
        <v/>
      </c>
      <c r="J584" s="10" t="str">
        <f t="shared" ca="1" si="47"/>
        <v>Overdue</v>
      </c>
      <c r="K584" s="10">
        <f t="shared" ca="1" si="48"/>
        <v>664</v>
      </c>
      <c r="L584" s="10" t="str">
        <f t="shared" ca="1" si="49"/>
        <v>120+ Days</v>
      </c>
      <c r="M584" s="11">
        <v>45536</v>
      </c>
      <c r="N584" s="11"/>
    </row>
    <row r="585" spans="1:14" x14ac:dyDescent="0.25">
      <c r="A585" s="13" t="s">
        <v>712</v>
      </c>
      <c r="B585" s="13" t="s">
        <v>101</v>
      </c>
      <c r="C585" s="14">
        <v>45539</v>
      </c>
      <c r="D585" s="14">
        <v>45569</v>
      </c>
      <c r="E585" s="14">
        <v>45603</v>
      </c>
      <c r="F585" s="15">
        <v>46699.24</v>
      </c>
      <c r="G585" s="15">
        <v>46699.24</v>
      </c>
      <c r="H585" s="15">
        <f t="shared" si="45"/>
        <v>0</v>
      </c>
      <c r="I585" s="13">
        <f t="shared" si="46"/>
        <v>34</v>
      </c>
      <c r="J585" s="13" t="str">
        <f t="shared" ca="1" si="47"/>
        <v>Paid</v>
      </c>
      <c r="K585" s="13">
        <f t="shared" ca="1" si="48"/>
        <v>0</v>
      </c>
      <c r="L585" s="13" t="str">
        <f t="shared" si="49"/>
        <v>Paid</v>
      </c>
      <c r="M585" s="14">
        <v>45536</v>
      </c>
      <c r="N585" s="14">
        <v>45597</v>
      </c>
    </row>
    <row r="586" spans="1:14" x14ac:dyDescent="0.25">
      <c r="A586" s="10" t="s">
        <v>713</v>
      </c>
      <c r="B586" s="10" t="s">
        <v>95</v>
      </c>
      <c r="C586" s="11">
        <v>45553</v>
      </c>
      <c r="D586" s="11">
        <v>45583</v>
      </c>
      <c r="E586" s="11">
        <v>45617</v>
      </c>
      <c r="F586" s="12">
        <v>130471.81</v>
      </c>
      <c r="G586" s="12">
        <v>130471.81</v>
      </c>
      <c r="H586" s="12">
        <f t="shared" si="45"/>
        <v>0</v>
      </c>
      <c r="I586" s="10">
        <f t="shared" si="46"/>
        <v>34</v>
      </c>
      <c r="J586" s="10" t="str">
        <f t="shared" ca="1" si="47"/>
        <v>Paid</v>
      </c>
      <c r="K586" s="10">
        <f t="shared" ca="1" si="48"/>
        <v>0</v>
      </c>
      <c r="L586" s="10" t="str">
        <f t="shared" si="49"/>
        <v>Paid</v>
      </c>
      <c r="M586" s="11">
        <v>45536</v>
      </c>
      <c r="N586" s="11">
        <v>45597</v>
      </c>
    </row>
    <row r="587" spans="1:14" x14ac:dyDescent="0.25">
      <c r="A587" s="13" t="s">
        <v>714</v>
      </c>
      <c r="B587" s="13" t="s">
        <v>101</v>
      </c>
      <c r="C587" s="14">
        <v>45547</v>
      </c>
      <c r="D587" s="14">
        <v>45577</v>
      </c>
      <c r="E587" s="14">
        <v>45577</v>
      </c>
      <c r="F587" s="15">
        <v>71477.59</v>
      </c>
      <c r="G587" s="15">
        <v>71477.59</v>
      </c>
      <c r="H587" s="15">
        <f t="shared" si="45"/>
        <v>0</v>
      </c>
      <c r="I587" s="13">
        <f t="shared" si="46"/>
        <v>0</v>
      </c>
      <c r="J587" s="13" t="str">
        <f t="shared" ca="1" si="47"/>
        <v>Paid</v>
      </c>
      <c r="K587" s="13">
        <f t="shared" ca="1" si="48"/>
        <v>0</v>
      </c>
      <c r="L587" s="13" t="str">
        <f t="shared" si="49"/>
        <v>Paid</v>
      </c>
      <c r="M587" s="14">
        <v>45536</v>
      </c>
      <c r="N587" s="14">
        <v>45566</v>
      </c>
    </row>
    <row r="588" spans="1:14" x14ac:dyDescent="0.25">
      <c r="A588" s="10" t="s">
        <v>715</v>
      </c>
      <c r="B588" s="10" t="s">
        <v>117</v>
      </c>
      <c r="C588" s="11">
        <v>45544</v>
      </c>
      <c r="D588" s="11">
        <v>45574</v>
      </c>
      <c r="E588" s="11"/>
      <c r="F588" s="12">
        <v>50725.63</v>
      </c>
      <c r="G588" s="12">
        <v>0</v>
      </c>
      <c r="H588" s="12">
        <f t="shared" si="45"/>
        <v>50725.63</v>
      </c>
      <c r="I588" s="10" t="str">
        <f t="shared" si="46"/>
        <v/>
      </c>
      <c r="J588" s="10" t="str">
        <f t="shared" ca="1" si="47"/>
        <v>Overdue</v>
      </c>
      <c r="K588" s="10">
        <f t="shared" ca="1" si="48"/>
        <v>682</v>
      </c>
      <c r="L588" s="10" t="str">
        <f t="shared" ca="1" si="49"/>
        <v>120+ Days</v>
      </c>
      <c r="M588" s="11">
        <v>45536</v>
      </c>
      <c r="N588" s="11"/>
    </row>
    <row r="589" spans="1:14" x14ac:dyDescent="0.25">
      <c r="A589" s="13" t="s">
        <v>716</v>
      </c>
      <c r="B589" s="13" t="s">
        <v>70</v>
      </c>
      <c r="C589" s="14">
        <v>45541</v>
      </c>
      <c r="D589" s="14">
        <v>45571</v>
      </c>
      <c r="E589" s="14">
        <v>45571</v>
      </c>
      <c r="F589" s="15">
        <v>41907.1</v>
      </c>
      <c r="G589" s="15">
        <v>41907.1</v>
      </c>
      <c r="H589" s="15">
        <f t="shared" si="45"/>
        <v>0</v>
      </c>
      <c r="I589" s="13">
        <f t="shared" si="46"/>
        <v>0</v>
      </c>
      <c r="J589" s="13" t="str">
        <f t="shared" ca="1" si="47"/>
        <v>Paid</v>
      </c>
      <c r="K589" s="13">
        <f t="shared" ca="1" si="48"/>
        <v>0</v>
      </c>
      <c r="L589" s="13" t="str">
        <f t="shared" si="49"/>
        <v>Paid</v>
      </c>
      <c r="M589" s="14">
        <v>45536</v>
      </c>
      <c r="N589" s="14">
        <v>45566</v>
      </c>
    </row>
    <row r="590" spans="1:14" x14ac:dyDescent="0.25">
      <c r="A590" s="10" t="s">
        <v>717</v>
      </c>
      <c r="B590" s="10" t="s">
        <v>95</v>
      </c>
      <c r="C590" s="11">
        <v>45552</v>
      </c>
      <c r="D590" s="11">
        <v>45582</v>
      </c>
      <c r="E590" s="11">
        <v>45609</v>
      </c>
      <c r="F590" s="12">
        <v>16254.43</v>
      </c>
      <c r="G590" s="12">
        <v>16254.43</v>
      </c>
      <c r="H590" s="12">
        <f t="shared" si="45"/>
        <v>0</v>
      </c>
      <c r="I590" s="10">
        <f t="shared" si="46"/>
        <v>27</v>
      </c>
      <c r="J590" s="10" t="str">
        <f t="shared" ca="1" si="47"/>
        <v>Paid</v>
      </c>
      <c r="K590" s="10">
        <f t="shared" ca="1" si="48"/>
        <v>0</v>
      </c>
      <c r="L590" s="10" t="str">
        <f t="shared" si="49"/>
        <v>Paid</v>
      </c>
      <c r="M590" s="11">
        <v>45536</v>
      </c>
      <c r="N590" s="11">
        <v>45597</v>
      </c>
    </row>
    <row r="591" spans="1:14" x14ac:dyDescent="0.25">
      <c r="A591" s="13" t="s">
        <v>718</v>
      </c>
      <c r="B591" s="13" t="s">
        <v>115</v>
      </c>
      <c r="C591" s="14">
        <v>45539</v>
      </c>
      <c r="D591" s="14">
        <v>45569</v>
      </c>
      <c r="E591" s="14"/>
      <c r="F591" s="15">
        <v>39997.160000000003</v>
      </c>
      <c r="G591" s="15">
        <v>0</v>
      </c>
      <c r="H591" s="15">
        <f t="shared" si="45"/>
        <v>39997.160000000003</v>
      </c>
      <c r="I591" s="13" t="str">
        <f t="shared" si="46"/>
        <v/>
      </c>
      <c r="J591" s="13" t="str">
        <f t="shared" ca="1" si="47"/>
        <v>Overdue</v>
      </c>
      <c r="K591" s="13">
        <f t="shared" ca="1" si="48"/>
        <v>687</v>
      </c>
      <c r="L591" s="13" t="str">
        <f t="shared" ca="1" si="49"/>
        <v>120+ Days</v>
      </c>
      <c r="M591" s="14">
        <v>45536</v>
      </c>
      <c r="N591" s="14"/>
    </row>
    <row r="592" spans="1:14" x14ac:dyDescent="0.25">
      <c r="A592" s="10" t="s">
        <v>719</v>
      </c>
      <c r="B592" s="10" t="s">
        <v>72</v>
      </c>
      <c r="C592" s="11">
        <v>45537</v>
      </c>
      <c r="D592" s="11">
        <v>45567</v>
      </c>
      <c r="E592" s="11"/>
      <c r="F592" s="12">
        <v>60414.78</v>
      </c>
      <c r="G592" s="12">
        <v>0</v>
      </c>
      <c r="H592" s="12">
        <f t="shared" si="45"/>
        <v>60414.78</v>
      </c>
      <c r="I592" s="10" t="str">
        <f t="shared" si="46"/>
        <v/>
      </c>
      <c r="J592" s="10" t="str">
        <f t="shared" ca="1" si="47"/>
        <v>Overdue</v>
      </c>
      <c r="K592" s="10">
        <f t="shared" ca="1" si="48"/>
        <v>689</v>
      </c>
      <c r="L592" s="10" t="str">
        <f t="shared" ca="1" si="49"/>
        <v>120+ Days</v>
      </c>
      <c r="M592" s="11">
        <v>45536</v>
      </c>
      <c r="N592" s="11"/>
    </row>
    <row r="593" spans="1:14" x14ac:dyDescent="0.25">
      <c r="A593" s="13" t="s">
        <v>720</v>
      </c>
      <c r="B593" s="13" t="s">
        <v>83</v>
      </c>
      <c r="C593" s="14">
        <v>45538</v>
      </c>
      <c r="D593" s="14">
        <v>45568</v>
      </c>
      <c r="E593" s="14">
        <v>45568</v>
      </c>
      <c r="F593" s="15">
        <v>86137.85</v>
      </c>
      <c r="G593" s="15">
        <v>86137.85</v>
      </c>
      <c r="H593" s="15">
        <f t="shared" si="45"/>
        <v>0</v>
      </c>
      <c r="I593" s="13">
        <f t="shared" si="46"/>
        <v>0</v>
      </c>
      <c r="J593" s="13" t="str">
        <f t="shared" ca="1" si="47"/>
        <v>Paid</v>
      </c>
      <c r="K593" s="13">
        <f t="shared" ca="1" si="48"/>
        <v>0</v>
      </c>
      <c r="L593" s="13" t="str">
        <f t="shared" si="49"/>
        <v>Paid</v>
      </c>
      <c r="M593" s="14">
        <v>45536</v>
      </c>
      <c r="N593" s="14">
        <v>45566</v>
      </c>
    </row>
    <row r="594" spans="1:14" x14ac:dyDescent="0.25">
      <c r="A594" s="10" t="s">
        <v>721</v>
      </c>
      <c r="B594" s="10" t="s">
        <v>146</v>
      </c>
      <c r="C594" s="11">
        <v>45537</v>
      </c>
      <c r="D594" s="11">
        <v>45567</v>
      </c>
      <c r="E594" s="11">
        <v>45567</v>
      </c>
      <c r="F594" s="12">
        <v>34416.03</v>
      </c>
      <c r="G594" s="12">
        <v>34416.03</v>
      </c>
      <c r="H594" s="12">
        <f t="shared" si="45"/>
        <v>0</v>
      </c>
      <c r="I594" s="10">
        <f t="shared" si="46"/>
        <v>0</v>
      </c>
      <c r="J594" s="10" t="str">
        <f t="shared" ca="1" si="47"/>
        <v>Paid</v>
      </c>
      <c r="K594" s="10">
        <f t="shared" ca="1" si="48"/>
        <v>0</v>
      </c>
      <c r="L594" s="10" t="str">
        <f t="shared" si="49"/>
        <v>Paid</v>
      </c>
      <c r="M594" s="11">
        <v>45536</v>
      </c>
      <c r="N594" s="11">
        <v>45566</v>
      </c>
    </row>
    <row r="595" spans="1:14" x14ac:dyDescent="0.25">
      <c r="A595" s="13" t="s">
        <v>722</v>
      </c>
      <c r="B595" s="13" t="s">
        <v>222</v>
      </c>
      <c r="C595" s="14">
        <v>45562</v>
      </c>
      <c r="D595" s="14">
        <v>45592</v>
      </c>
      <c r="E595" s="14">
        <v>45631</v>
      </c>
      <c r="F595" s="15">
        <v>26095.72</v>
      </c>
      <c r="G595" s="15">
        <v>26095.72</v>
      </c>
      <c r="H595" s="15">
        <f t="shared" si="45"/>
        <v>0</v>
      </c>
      <c r="I595" s="13">
        <f t="shared" si="46"/>
        <v>39</v>
      </c>
      <c r="J595" s="13" t="str">
        <f t="shared" ca="1" si="47"/>
        <v>Paid</v>
      </c>
      <c r="K595" s="13">
        <f t="shared" ca="1" si="48"/>
        <v>0</v>
      </c>
      <c r="L595" s="13" t="str">
        <f t="shared" si="49"/>
        <v>Paid</v>
      </c>
      <c r="M595" s="14">
        <v>45536</v>
      </c>
      <c r="N595" s="14">
        <v>45627</v>
      </c>
    </row>
    <row r="596" spans="1:14" x14ac:dyDescent="0.25">
      <c r="A596" s="10" t="s">
        <v>723</v>
      </c>
      <c r="B596" s="10" t="s">
        <v>220</v>
      </c>
      <c r="C596" s="11">
        <v>45542</v>
      </c>
      <c r="D596" s="11">
        <v>45572</v>
      </c>
      <c r="E596" s="11"/>
      <c r="F596" s="12">
        <v>54630.49</v>
      </c>
      <c r="G596" s="12">
        <v>0</v>
      </c>
      <c r="H596" s="12">
        <f t="shared" si="45"/>
        <v>54630.49</v>
      </c>
      <c r="I596" s="10" t="str">
        <f t="shared" si="46"/>
        <v/>
      </c>
      <c r="J596" s="10" t="str">
        <f t="shared" ca="1" si="47"/>
        <v>Overdue</v>
      </c>
      <c r="K596" s="10">
        <f t="shared" ca="1" si="48"/>
        <v>684</v>
      </c>
      <c r="L596" s="10" t="str">
        <f t="shared" ca="1" si="49"/>
        <v>120+ Days</v>
      </c>
      <c r="M596" s="11">
        <v>45536</v>
      </c>
      <c r="N596" s="11"/>
    </row>
    <row r="597" spans="1:14" x14ac:dyDescent="0.25">
      <c r="A597" s="13" t="s">
        <v>724</v>
      </c>
      <c r="B597" s="13" t="s">
        <v>81</v>
      </c>
      <c r="C597" s="14">
        <v>45554</v>
      </c>
      <c r="D597" s="14">
        <v>45584</v>
      </c>
      <c r="E597" s="14"/>
      <c r="F597" s="15">
        <v>42559.4</v>
      </c>
      <c r="G597" s="15">
        <v>0</v>
      </c>
      <c r="H597" s="15">
        <f t="shared" si="45"/>
        <v>42559.4</v>
      </c>
      <c r="I597" s="13" t="str">
        <f t="shared" si="46"/>
        <v/>
      </c>
      <c r="J597" s="13" t="str">
        <f t="shared" ca="1" si="47"/>
        <v>Overdue</v>
      </c>
      <c r="K597" s="13">
        <f t="shared" ca="1" si="48"/>
        <v>672</v>
      </c>
      <c r="L597" s="13" t="str">
        <f t="shared" ca="1" si="49"/>
        <v>120+ Days</v>
      </c>
      <c r="M597" s="14">
        <v>45536</v>
      </c>
      <c r="N597" s="14"/>
    </row>
    <row r="598" spans="1:14" x14ac:dyDescent="0.25">
      <c r="A598" s="10" t="s">
        <v>725</v>
      </c>
      <c r="B598" s="10" t="s">
        <v>331</v>
      </c>
      <c r="C598" s="11">
        <v>45556</v>
      </c>
      <c r="D598" s="11">
        <v>45586</v>
      </c>
      <c r="E598" s="11">
        <v>45618</v>
      </c>
      <c r="F598" s="12">
        <v>11469.62</v>
      </c>
      <c r="G598" s="12">
        <v>11469.62</v>
      </c>
      <c r="H598" s="12">
        <f t="shared" si="45"/>
        <v>0</v>
      </c>
      <c r="I598" s="10">
        <f t="shared" si="46"/>
        <v>32</v>
      </c>
      <c r="J598" s="10" t="str">
        <f t="shared" ca="1" si="47"/>
        <v>Paid</v>
      </c>
      <c r="K598" s="10">
        <f t="shared" ca="1" si="48"/>
        <v>0</v>
      </c>
      <c r="L598" s="10" t="str">
        <f t="shared" si="49"/>
        <v>Paid</v>
      </c>
      <c r="M598" s="11">
        <v>45536</v>
      </c>
      <c r="N598" s="11">
        <v>45597</v>
      </c>
    </row>
    <row r="599" spans="1:14" x14ac:dyDescent="0.25">
      <c r="A599" s="13" t="s">
        <v>726</v>
      </c>
      <c r="B599" s="13" t="s">
        <v>89</v>
      </c>
      <c r="C599" s="14">
        <v>45559</v>
      </c>
      <c r="D599" s="14">
        <v>45589</v>
      </c>
      <c r="E599" s="14"/>
      <c r="F599" s="15">
        <v>90602.28</v>
      </c>
      <c r="G599" s="15">
        <v>0</v>
      </c>
      <c r="H599" s="15">
        <f t="shared" si="45"/>
        <v>90602.28</v>
      </c>
      <c r="I599" s="13" t="str">
        <f t="shared" si="46"/>
        <v/>
      </c>
      <c r="J599" s="13" t="str">
        <f t="shared" ca="1" si="47"/>
        <v>Overdue</v>
      </c>
      <c r="K599" s="13">
        <f t="shared" ca="1" si="48"/>
        <v>667</v>
      </c>
      <c r="L599" s="13" t="str">
        <f t="shared" ca="1" si="49"/>
        <v>120+ Days</v>
      </c>
      <c r="M599" s="14">
        <v>45536</v>
      </c>
      <c r="N599" s="14"/>
    </row>
    <row r="600" spans="1:14" x14ac:dyDescent="0.25">
      <c r="A600" s="10" t="s">
        <v>727</v>
      </c>
      <c r="B600" s="10" t="s">
        <v>97</v>
      </c>
      <c r="C600" s="11">
        <v>45544</v>
      </c>
      <c r="D600" s="11">
        <v>45574</v>
      </c>
      <c r="E600" s="11">
        <v>45588</v>
      </c>
      <c r="F600" s="12">
        <v>22050.42</v>
      </c>
      <c r="G600" s="12">
        <v>22050.42</v>
      </c>
      <c r="H600" s="12">
        <f t="shared" si="45"/>
        <v>0</v>
      </c>
      <c r="I600" s="10">
        <f t="shared" si="46"/>
        <v>14</v>
      </c>
      <c r="J600" s="10" t="str">
        <f t="shared" ca="1" si="47"/>
        <v>Paid</v>
      </c>
      <c r="K600" s="10">
        <f t="shared" ca="1" si="48"/>
        <v>0</v>
      </c>
      <c r="L600" s="10" t="str">
        <f t="shared" si="49"/>
        <v>Paid</v>
      </c>
      <c r="M600" s="11">
        <v>45536</v>
      </c>
      <c r="N600" s="11">
        <v>45566</v>
      </c>
    </row>
    <row r="601" spans="1:14" x14ac:dyDescent="0.25">
      <c r="A601" s="13" t="s">
        <v>728</v>
      </c>
      <c r="B601" s="13" t="s">
        <v>265</v>
      </c>
      <c r="C601" s="14">
        <v>45560</v>
      </c>
      <c r="D601" s="14">
        <v>45590</v>
      </c>
      <c r="E601" s="14">
        <v>45591</v>
      </c>
      <c r="F601" s="15">
        <v>86168.03</v>
      </c>
      <c r="G601" s="15">
        <v>86168.03</v>
      </c>
      <c r="H601" s="15">
        <f t="shared" si="45"/>
        <v>0</v>
      </c>
      <c r="I601" s="13">
        <f t="shared" si="46"/>
        <v>1</v>
      </c>
      <c r="J601" s="13" t="str">
        <f t="shared" ca="1" si="47"/>
        <v>Paid</v>
      </c>
      <c r="K601" s="13">
        <f t="shared" ca="1" si="48"/>
        <v>0</v>
      </c>
      <c r="L601" s="13" t="str">
        <f t="shared" si="49"/>
        <v>Paid</v>
      </c>
      <c r="M601" s="14">
        <v>45536</v>
      </c>
      <c r="N601" s="14">
        <v>45566</v>
      </c>
    </row>
    <row r="602" spans="1:14" x14ac:dyDescent="0.25">
      <c r="A602" s="10" t="s">
        <v>729</v>
      </c>
      <c r="B602" s="10" t="s">
        <v>93</v>
      </c>
      <c r="C602" s="11">
        <v>45549</v>
      </c>
      <c r="D602" s="11">
        <v>45579</v>
      </c>
      <c r="E602" s="11"/>
      <c r="F602" s="12">
        <v>23487.89</v>
      </c>
      <c r="G602" s="12">
        <v>0</v>
      </c>
      <c r="H602" s="12">
        <f t="shared" si="45"/>
        <v>23487.89</v>
      </c>
      <c r="I602" s="10" t="str">
        <f t="shared" si="46"/>
        <v/>
      </c>
      <c r="J602" s="10" t="str">
        <f t="shared" ca="1" si="47"/>
        <v>Overdue</v>
      </c>
      <c r="K602" s="10">
        <f t="shared" ca="1" si="48"/>
        <v>677</v>
      </c>
      <c r="L602" s="10" t="str">
        <f t="shared" ca="1" si="49"/>
        <v>120+ Days</v>
      </c>
      <c r="M602" s="11">
        <v>45536</v>
      </c>
      <c r="N602" s="11"/>
    </row>
    <row r="603" spans="1:14" x14ac:dyDescent="0.25">
      <c r="A603" s="13" t="s">
        <v>730</v>
      </c>
      <c r="B603" s="13" t="s">
        <v>146</v>
      </c>
      <c r="C603" s="14">
        <v>45556</v>
      </c>
      <c r="D603" s="14">
        <v>45586</v>
      </c>
      <c r="E603" s="14">
        <v>45616</v>
      </c>
      <c r="F603" s="15">
        <v>33485.24</v>
      </c>
      <c r="G603" s="15">
        <v>33485.24</v>
      </c>
      <c r="H603" s="15">
        <f t="shared" si="45"/>
        <v>0</v>
      </c>
      <c r="I603" s="13">
        <f t="shared" si="46"/>
        <v>30</v>
      </c>
      <c r="J603" s="13" t="str">
        <f t="shared" ca="1" si="47"/>
        <v>Paid</v>
      </c>
      <c r="K603" s="13">
        <f t="shared" ca="1" si="48"/>
        <v>0</v>
      </c>
      <c r="L603" s="13" t="str">
        <f t="shared" si="49"/>
        <v>Paid</v>
      </c>
      <c r="M603" s="14">
        <v>45536</v>
      </c>
      <c r="N603" s="14">
        <v>45597</v>
      </c>
    </row>
    <row r="604" spans="1:14" x14ac:dyDescent="0.25">
      <c r="A604" s="10" t="s">
        <v>731</v>
      </c>
      <c r="B604" s="10" t="s">
        <v>244</v>
      </c>
      <c r="C604" s="11">
        <v>45539</v>
      </c>
      <c r="D604" s="11">
        <v>45569</v>
      </c>
      <c r="E604" s="11"/>
      <c r="F604" s="12">
        <v>31411.1</v>
      </c>
      <c r="G604" s="12">
        <v>0</v>
      </c>
      <c r="H604" s="12">
        <f t="shared" si="45"/>
        <v>31411.1</v>
      </c>
      <c r="I604" s="10" t="str">
        <f t="shared" si="46"/>
        <v/>
      </c>
      <c r="J604" s="10" t="str">
        <f t="shared" ca="1" si="47"/>
        <v>Overdue</v>
      </c>
      <c r="K604" s="10">
        <f t="shared" ca="1" si="48"/>
        <v>687</v>
      </c>
      <c r="L604" s="10" t="str">
        <f t="shared" ca="1" si="49"/>
        <v>120+ Days</v>
      </c>
      <c r="M604" s="11">
        <v>45536</v>
      </c>
      <c r="N604" s="11"/>
    </row>
    <row r="605" spans="1:14" x14ac:dyDescent="0.25">
      <c r="A605" s="13" t="s">
        <v>732</v>
      </c>
      <c r="B605" s="13" t="s">
        <v>331</v>
      </c>
      <c r="C605" s="14">
        <v>45538</v>
      </c>
      <c r="D605" s="14">
        <v>45568</v>
      </c>
      <c r="E605" s="14">
        <v>45594</v>
      </c>
      <c r="F605" s="15">
        <v>25991.84</v>
      </c>
      <c r="G605" s="15">
        <v>25991.84</v>
      </c>
      <c r="H605" s="15">
        <f t="shared" si="45"/>
        <v>0</v>
      </c>
      <c r="I605" s="13">
        <f t="shared" si="46"/>
        <v>26</v>
      </c>
      <c r="J605" s="13" t="str">
        <f t="shared" ca="1" si="47"/>
        <v>Paid</v>
      </c>
      <c r="K605" s="13">
        <f t="shared" ca="1" si="48"/>
        <v>0</v>
      </c>
      <c r="L605" s="13" t="str">
        <f t="shared" si="49"/>
        <v>Paid</v>
      </c>
      <c r="M605" s="14">
        <v>45536</v>
      </c>
      <c r="N605" s="14">
        <v>45566</v>
      </c>
    </row>
    <row r="606" spans="1:14" x14ac:dyDescent="0.25">
      <c r="A606" s="10" t="s">
        <v>733</v>
      </c>
      <c r="B606" s="10" t="s">
        <v>150</v>
      </c>
      <c r="C606" s="11">
        <v>45537</v>
      </c>
      <c r="D606" s="11">
        <v>45567</v>
      </c>
      <c r="E606" s="11">
        <v>45567</v>
      </c>
      <c r="F606" s="12">
        <v>32841.980000000003</v>
      </c>
      <c r="G606" s="12">
        <v>32841.980000000003</v>
      </c>
      <c r="H606" s="12">
        <f t="shared" si="45"/>
        <v>0</v>
      </c>
      <c r="I606" s="10">
        <f t="shared" si="46"/>
        <v>0</v>
      </c>
      <c r="J606" s="10" t="str">
        <f t="shared" ca="1" si="47"/>
        <v>Paid</v>
      </c>
      <c r="K606" s="10">
        <f t="shared" ca="1" si="48"/>
        <v>0</v>
      </c>
      <c r="L606" s="10" t="str">
        <f t="shared" si="49"/>
        <v>Paid</v>
      </c>
      <c r="M606" s="11">
        <v>45536</v>
      </c>
      <c r="N606" s="11">
        <v>45566</v>
      </c>
    </row>
    <row r="607" spans="1:14" x14ac:dyDescent="0.25">
      <c r="A607" s="13" t="s">
        <v>734</v>
      </c>
      <c r="B607" s="13" t="s">
        <v>131</v>
      </c>
      <c r="C607" s="14">
        <v>45548</v>
      </c>
      <c r="D607" s="14">
        <v>45578</v>
      </c>
      <c r="E607" s="14"/>
      <c r="F607" s="15">
        <v>55615.7</v>
      </c>
      <c r="G607" s="15">
        <v>0</v>
      </c>
      <c r="H607" s="15">
        <f t="shared" si="45"/>
        <v>55615.7</v>
      </c>
      <c r="I607" s="13" t="str">
        <f t="shared" si="46"/>
        <v/>
      </c>
      <c r="J607" s="13" t="str">
        <f t="shared" ca="1" si="47"/>
        <v>Overdue</v>
      </c>
      <c r="K607" s="13">
        <f t="shared" ca="1" si="48"/>
        <v>678</v>
      </c>
      <c r="L607" s="13" t="str">
        <f t="shared" ca="1" si="49"/>
        <v>120+ Days</v>
      </c>
      <c r="M607" s="14">
        <v>45536</v>
      </c>
      <c r="N607" s="14"/>
    </row>
    <row r="608" spans="1:14" x14ac:dyDescent="0.25">
      <c r="A608" s="10" t="s">
        <v>735</v>
      </c>
      <c r="B608" s="10" t="s">
        <v>107</v>
      </c>
      <c r="C608" s="11">
        <v>45544</v>
      </c>
      <c r="D608" s="11">
        <v>45574</v>
      </c>
      <c r="E608" s="11">
        <v>45597</v>
      </c>
      <c r="F608" s="12">
        <v>15758.83</v>
      </c>
      <c r="G608" s="12">
        <v>15758.83</v>
      </c>
      <c r="H608" s="12">
        <f t="shared" si="45"/>
        <v>0</v>
      </c>
      <c r="I608" s="10">
        <f t="shared" si="46"/>
        <v>23</v>
      </c>
      <c r="J608" s="10" t="str">
        <f t="shared" ca="1" si="47"/>
        <v>Paid</v>
      </c>
      <c r="K608" s="10">
        <f t="shared" ca="1" si="48"/>
        <v>0</v>
      </c>
      <c r="L608" s="10" t="str">
        <f t="shared" si="49"/>
        <v>Paid</v>
      </c>
      <c r="M608" s="11">
        <v>45536</v>
      </c>
      <c r="N608" s="11">
        <v>45597</v>
      </c>
    </row>
    <row r="609" spans="1:14" x14ac:dyDescent="0.25">
      <c r="A609" s="13" t="s">
        <v>736</v>
      </c>
      <c r="B609" s="13" t="s">
        <v>161</v>
      </c>
      <c r="C609" s="14">
        <v>45554</v>
      </c>
      <c r="D609" s="14">
        <v>45584</v>
      </c>
      <c r="E609" s="14">
        <v>45584</v>
      </c>
      <c r="F609" s="15">
        <v>12984.8</v>
      </c>
      <c r="G609" s="15">
        <v>12984.8</v>
      </c>
      <c r="H609" s="15">
        <f t="shared" si="45"/>
        <v>0</v>
      </c>
      <c r="I609" s="13">
        <f t="shared" si="46"/>
        <v>0</v>
      </c>
      <c r="J609" s="13" t="str">
        <f t="shared" ca="1" si="47"/>
        <v>Paid</v>
      </c>
      <c r="K609" s="13">
        <f t="shared" ca="1" si="48"/>
        <v>0</v>
      </c>
      <c r="L609" s="13" t="str">
        <f t="shared" si="49"/>
        <v>Paid</v>
      </c>
      <c r="M609" s="14">
        <v>45536</v>
      </c>
      <c r="N609" s="14">
        <v>45566</v>
      </c>
    </row>
    <row r="610" spans="1:14" x14ac:dyDescent="0.25">
      <c r="A610" s="10" t="s">
        <v>737</v>
      </c>
      <c r="B610" s="10" t="s">
        <v>136</v>
      </c>
      <c r="C610" s="11">
        <v>45556</v>
      </c>
      <c r="D610" s="11">
        <v>45586</v>
      </c>
      <c r="E610" s="11">
        <v>45596</v>
      </c>
      <c r="F610" s="12">
        <v>45244.65</v>
      </c>
      <c r="G610" s="12">
        <v>45244.65</v>
      </c>
      <c r="H610" s="12">
        <f t="shared" si="45"/>
        <v>0</v>
      </c>
      <c r="I610" s="10">
        <f t="shared" si="46"/>
        <v>10</v>
      </c>
      <c r="J610" s="10" t="str">
        <f t="shared" ca="1" si="47"/>
        <v>Paid</v>
      </c>
      <c r="K610" s="10">
        <f t="shared" ca="1" si="48"/>
        <v>0</v>
      </c>
      <c r="L610" s="10" t="str">
        <f t="shared" si="49"/>
        <v>Paid</v>
      </c>
      <c r="M610" s="11">
        <v>45536</v>
      </c>
      <c r="N610" s="11">
        <v>45566</v>
      </c>
    </row>
    <row r="611" spans="1:14" x14ac:dyDescent="0.25">
      <c r="A611" s="13" t="s">
        <v>738</v>
      </c>
      <c r="B611" s="13" t="s">
        <v>131</v>
      </c>
      <c r="C611" s="14">
        <v>45537</v>
      </c>
      <c r="D611" s="14">
        <v>45567</v>
      </c>
      <c r="E611" s="14">
        <v>45582</v>
      </c>
      <c r="F611" s="15">
        <v>34516.28</v>
      </c>
      <c r="G611" s="15">
        <v>34516.28</v>
      </c>
      <c r="H611" s="15">
        <f t="shared" si="45"/>
        <v>0</v>
      </c>
      <c r="I611" s="13">
        <f t="shared" si="46"/>
        <v>15</v>
      </c>
      <c r="J611" s="13" t="str">
        <f t="shared" ca="1" si="47"/>
        <v>Paid</v>
      </c>
      <c r="K611" s="13">
        <f t="shared" ca="1" si="48"/>
        <v>0</v>
      </c>
      <c r="L611" s="13" t="str">
        <f t="shared" si="49"/>
        <v>Paid</v>
      </c>
      <c r="M611" s="14">
        <v>45536</v>
      </c>
      <c r="N611" s="14">
        <v>45566</v>
      </c>
    </row>
    <row r="612" spans="1:14" x14ac:dyDescent="0.25">
      <c r="A612" s="10" t="s">
        <v>739</v>
      </c>
      <c r="B612" s="10" t="s">
        <v>244</v>
      </c>
      <c r="C612" s="11">
        <v>45537</v>
      </c>
      <c r="D612" s="11">
        <v>45567</v>
      </c>
      <c r="E612" s="11"/>
      <c r="F612" s="12">
        <v>29871.55</v>
      </c>
      <c r="G612" s="12">
        <v>0</v>
      </c>
      <c r="H612" s="12">
        <f t="shared" si="45"/>
        <v>29871.55</v>
      </c>
      <c r="I612" s="10" t="str">
        <f t="shared" si="46"/>
        <v/>
      </c>
      <c r="J612" s="10" t="str">
        <f t="shared" ca="1" si="47"/>
        <v>Overdue</v>
      </c>
      <c r="K612" s="10">
        <f t="shared" ca="1" si="48"/>
        <v>689</v>
      </c>
      <c r="L612" s="10" t="str">
        <f t="shared" ca="1" si="49"/>
        <v>120+ Days</v>
      </c>
      <c r="M612" s="11">
        <v>45536</v>
      </c>
      <c r="N612" s="11"/>
    </row>
    <row r="613" spans="1:14" x14ac:dyDescent="0.25">
      <c r="A613" s="13" t="s">
        <v>740</v>
      </c>
      <c r="B613" s="13" t="s">
        <v>150</v>
      </c>
      <c r="C613" s="14">
        <v>45541</v>
      </c>
      <c r="D613" s="14">
        <v>45571</v>
      </c>
      <c r="E613" s="14">
        <v>45586</v>
      </c>
      <c r="F613" s="15">
        <v>26012.79</v>
      </c>
      <c r="G613" s="15">
        <v>26012.79</v>
      </c>
      <c r="H613" s="15">
        <f t="shared" si="45"/>
        <v>0</v>
      </c>
      <c r="I613" s="13">
        <f t="shared" si="46"/>
        <v>15</v>
      </c>
      <c r="J613" s="13" t="str">
        <f t="shared" ca="1" si="47"/>
        <v>Paid</v>
      </c>
      <c r="K613" s="13">
        <f t="shared" ca="1" si="48"/>
        <v>0</v>
      </c>
      <c r="L613" s="13" t="str">
        <f t="shared" si="49"/>
        <v>Paid</v>
      </c>
      <c r="M613" s="14">
        <v>45536</v>
      </c>
      <c r="N613" s="14">
        <v>45566</v>
      </c>
    </row>
    <row r="614" spans="1:14" x14ac:dyDescent="0.25">
      <c r="A614" s="10" t="s">
        <v>741</v>
      </c>
      <c r="B614" s="10" t="s">
        <v>169</v>
      </c>
      <c r="C614" s="11">
        <v>45553</v>
      </c>
      <c r="D614" s="11">
        <v>45583</v>
      </c>
      <c r="E614" s="11">
        <v>45594</v>
      </c>
      <c r="F614" s="12">
        <v>23711.919999999998</v>
      </c>
      <c r="G614" s="12">
        <v>23711.919999999998</v>
      </c>
      <c r="H614" s="12">
        <f t="shared" si="45"/>
        <v>0</v>
      </c>
      <c r="I614" s="10">
        <f t="shared" si="46"/>
        <v>11</v>
      </c>
      <c r="J614" s="10" t="str">
        <f t="shared" ca="1" si="47"/>
        <v>Paid</v>
      </c>
      <c r="K614" s="10">
        <f t="shared" ca="1" si="48"/>
        <v>0</v>
      </c>
      <c r="L614" s="10" t="str">
        <f t="shared" si="49"/>
        <v>Paid</v>
      </c>
      <c r="M614" s="11">
        <v>45536</v>
      </c>
      <c r="N614" s="11">
        <v>45566</v>
      </c>
    </row>
    <row r="615" spans="1:14" x14ac:dyDescent="0.25">
      <c r="A615" s="13" t="s">
        <v>742</v>
      </c>
      <c r="B615" s="13" t="s">
        <v>95</v>
      </c>
      <c r="C615" s="14">
        <v>45558</v>
      </c>
      <c r="D615" s="14">
        <v>45588</v>
      </c>
      <c r="E615" s="14">
        <v>45602</v>
      </c>
      <c r="F615" s="15">
        <v>10355.700000000001</v>
      </c>
      <c r="G615" s="15">
        <v>10355.700000000001</v>
      </c>
      <c r="H615" s="15">
        <f t="shared" si="45"/>
        <v>0</v>
      </c>
      <c r="I615" s="13">
        <f t="shared" si="46"/>
        <v>14</v>
      </c>
      <c r="J615" s="13" t="str">
        <f t="shared" ca="1" si="47"/>
        <v>Paid</v>
      </c>
      <c r="K615" s="13">
        <f t="shared" ca="1" si="48"/>
        <v>0</v>
      </c>
      <c r="L615" s="13" t="str">
        <f t="shared" si="49"/>
        <v>Paid</v>
      </c>
      <c r="M615" s="14">
        <v>45536</v>
      </c>
      <c r="N615" s="14">
        <v>45597</v>
      </c>
    </row>
    <row r="616" spans="1:14" x14ac:dyDescent="0.25">
      <c r="A616" s="10" t="s">
        <v>743</v>
      </c>
      <c r="B616" s="10" t="s">
        <v>278</v>
      </c>
      <c r="C616" s="11">
        <v>45550</v>
      </c>
      <c r="D616" s="11">
        <v>45580</v>
      </c>
      <c r="E616" s="11">
        <v>45623</v>
      </c>
      <c r="F616" s="12">
        <v>90818.9</v>
      </c>
      <c r="G616" s="12">
        <v>90818.9</v>
      </c>
      <c r="H616" s="12">
        <f t="shared" si="45"/>
        <v>0</v>
      </c>
      <c r="I616" s="10">
        <f t="shared" si="46"/>
        <v>43</v>
      </c>
      <c r="J616" s="10" t="str">
        <f t="shared" ca="1" si="47"/>
        <v>Paid</v>
      </c>
      <c r="K616" s="10">
        <f t="shared" ca="1" si="48"/>
        <v>0</v>
      </c>
      <c r="L616" s="10" t="str">
        <f t="shared" si="49"/>
        <v>Paid</v>
      </c>
      <c r="M616" s="11">
        <v>45536</v>
      </c>
      <c r="N616" s="11">
        <v>45597</v>
      </c>
    </row>
    <row r="617" spans="1:14" x14ac:dyDescent="0.25">
      <c r="A617" s="13" t="s">
        <v>744</v>
      </c>
      <c r="B617" s="13" t="s">
        <v>91</v>
      </c>
      <c r="C617" s="14">
        <v>45560</v>
      </c>
      <c r="D617" s="14">
        <v>45590</v>
      </c>
      <c r="E617" s="14"/>
      <c r="F617" s="15">
        <v>80516.69</v>
      </c>
      <c r="G617" s="15">
        <v>0</v>
      </c>
      <c r="H617" s="15">
        <f t="shared" si="45"/>
        <v>80516.69</v>
      </c>
      <c r="I617" s="13" t="str">
        <f t="shared" si="46"/>
        <v/>
      </c>
      <c r="J617" s="13" t="str">
        <f t="shared" ca="1" si="47"/>
        <v>Overdue</v>
      </c>
      <c r="K617" s="13">
        <f t="shared" ca="1" si="48"/>
        <v>666</v>
      </c>
      <c r="L617" s="13" t="str">
        <f t="shared" ca="1" si="49"/>
        <v>120+ Days</v>
      </c>
      <c r="M617" s="14">
        <v>45536</v>
      </c>
      <c r="N617" s="14"/>
    </row>
    <row r="618" spans="1:14" x14ac:dyDescent="0.25">
      <c r="A618" s="10" t="s">
        <v>745</v>
      </c>
      <c r="B618" s="10" t="s">
        <v>91</v>
      </c>
      <c r="C618" s="11">
        <v>45558</v>
      </c>
      <c r="D618" s="11">
        <v>45588</v>
      </c>
      <c r="E618" s="11">
        <v>45618</v>
      </c>
      <c r="F618" s="12">
        <v>26966.560000000001</v>
      </c>
      <c r="G618" s="12">
        <v>26966.560000000001</v>
      </c>
      <c r="H618" s="12">
        <f t="shared" si="45"/>
        <v>0</v>
      </c>
      <c r="I618" s="10">
        <f t="shared" si="46"/>
        <v>30</v>
      </c>
      <c r="J618" s="10" t="str">
        <f t="shared" ca="1" si="47"/>
        <v>Paid</v>
      </c>
      <c r="K618" s="10">
        <f t="shared" ca="1" si="48"/>
        <v>0</v>
      </c>
      <c r="L618" s="10" t="str">
        <f t="shared" si="49"/>
        <v>Paid</v>
      </c>
      <c r="M618" s="11">
        <v>45536</v>
      </c>
      <c r="N618" s="11">
        <v>45597</v>
      </c>
    </row>
    <row r="619" spans="1:14" x14ac:dyDescent="0.25">
      <c r="A619" s="13" t="s">
        <v>746</v>
      </c>
      <c r="B619" s="13" t="s">
        <v>449</v>
      </c>
      <c r="C619" s="14">
        <v>45536</v>
      </c>
      <c r="D619" s="14">
        <v>45566</v>
      </c>
      <c r="E619" s="14">
        <v>45587</v>
      </c>
      <c r="F619" s="15">
        <v>32715.25</v>
      </c>
      <c r="G619" s="15">
        <v>32715.25</v>
      </c>
      <c r="H619" s="15">
        <f t="shared" si="45"/>
        <v>0</v>
      </c>
      <c r="I619" s="13">
        <f t="shared" si="46"/>
        <v>21</v>
      </c>
      <c r="J619" s="13" t="str">
        <f t="shared" ca="1" si="47"/>
        <v>Paid</v>
      </c>
      <c r="K619" s="13">
        <f t="shared" ca="1" si="48"/>
        <v>0</v>
      </c>
      <c r="L619" s="13" t="str">
        <f t="shared" si="49"/>
        <v>Paid</v>
      </c>
      <c r="M619" s="14">
        <v>45536</v>
      </c>
      <c r="N619" s="14">
        <v>45566</v>
      </c>
    </row>
    <row r="620" spans="1:14" x14ac:dyDescent="0.25">
      <c r="A620" s="10" t="s">
        <v>747</v>
      </c>
      <c r="B620" s="10" t="s">
        <v>169</v>
      </c>
      <c r="C620" s="11">
        <v>45555</v>
      </c>
      <c r="D620" s="11">
        <v>45585</v>
      </c>
      <c r="E620" s="11">
        <v>45623</v>
      </c>
      <c r="F620" s="12">
        <v>40356.800000000003</v>
      </c>
      <c r="G620" s="12">
        <v>40356.800000000003</v>
      </c>
      <c r="H620" s="12">
        <f t="shared" si="45"/>
        <v>0</v>
      </c>
      <c r="I620" s="10">
        <f t="shared" si="46"/>
        <v>38</v>
      </c>
      <c r="J620" s="10" t="str">
        <f t="shared" ca="1" si="47"/>
        <v>Paid</v>
      </c>
      <c r="K620" s="10">
        <f t="shared" ca="1" si="48"/>
        <v>0</v>
      </c>
      <c r="L620" s="10" t="str">
        <f t="shared" si="49"/>
        <v>Paid</v>
      </c>
      <c r="M620" s="11">
        <v>45536</v>
      </c>
      <c r="N620" s="11">
        <v>45597</v>
      </c>
    </row>
    <row r="621" spans="1:14" x14ac:dyDescent="0.25">
      <c r="A621" s="13" t="s">
        <v>748</v>
      </c>
      <c r="B621" s="13" t="s">
        <v>233</v>
      </c>
      <c r="C621" s="14">
        <v>45560</v>
      </c>
      <c r="D621" s="14">
        <v>45590</v>
      </c>
      <c r="E621" s="14">
        <v>45595</v>
      </c>
      <c r="F621" s="15">
        <v>37825.54</v>
      </c>
      <c r="G621" s="15">
        <v>37825.54</v>
      </c>
      <c r="H621" s="15">
        <f t="shared" si="45"/>
        <v>0</v>
      </c>
      <c r="I621" s="13">
        <f t="shared" si="46"/>
        <v>5</v>
      </c>
      <c r="J621" s="13" t="str">
        <f t="shared" ca="1" si="47"/>
        <v>Paid</v>
      </c>
      <c r="K621" s="13">
        <f t="shared" ca="1" si="48"/>
        <v>0</v>
      </c>
      <c r="L621" s="13" t="str">
        <f t="shared" si="49"/>
        <v>Paid</v>
      </c>
      <c r="M621" s="14">
        <v>45536</v>
      </c>
      <c r="N621" s="14">
        <v>45566</v>
      </c>
    </row>
    <row r="622" spans="1:14" x14ac:dyDescent="0.25">
      <c r="A622" s="10" t="s">
        <v>749</v>
      </c>
      <c r="B622" s="10" t="s">
        <v>76</v>
      </c>
      <c r="C622" s="11">
        <v>45561</v>
      </c>
      <c r="D622" s="11">
        <v>45591</v>
      </c>
      <c r="E622" s="11">
        <v>45599</v>
      </c>
      <c r="F622" s="12">
        <v>67182.600000000006</v>
      </c>
      <c r="G622" s="12">
        <v>67182.600000000006</v>
      </c>
      <c r="H622" s="12">
        <f t="shared" si="45"/>
        <v>0</v>
      </c>
      <c r="I622" s="10">
        <f t="shared" si="46"/>
        <v>8</v>
      </c>
      <c r="J622" s="10" t="str">
        <f t="shared" ca="1" si="47"/>
        <v>Paid</v>
      </c>
      <c r="K622" s="10">
        <f t="shared" ca="1" si="48"/>
        <v>0</v>
      </c>
      <c r="L622" s="10" t="str">
        <f t="shared" si="49"/>
        <v>Paid</v>
      </c>
      <c r="M622" s="11">
        <v>45536</v>
      </c>
      <c r="N622" s="11">
        <v>45597</v>
      </c>
    </row>
    <row r="623" spans="1:14" x14ac:dyDescent="0.25">
      <c r="A623" s="13" t="s">
        <v>750</v>
      </c>
      <c r="B623" s="13" t="s">
        <v>93</v>
      </c>
      <c r="C623" s="14">
        <v>45558</v>
      </c>
      <c r="D623" s="14">
        <v>45588</v>
      </c>
      <c r="E623" s="14">
        <v>45590</v>
      </c>
      <c r="F623" s="15">
        <v>22541.06</v>
      </c>
      <c r="G623" s="15">
        <v>22541.06</v>
      </c>
      <c r="H623" s="15">
        <f t="shared" si="45"/>
        <v>0</v>
      </c>
      <c r="I623" s="13">
        <f t="shared" si="46"/>
        <v>2</v>
      </c>
      <c r="J623" s="13" t="str">
        <f t="shared" ca="1" si="47"/>
        <v>Paid</v>
      </c>
      <c r="K623" s="13">
        <f t="shared" ca="1" si="48"/>
        <v>0</v>
      </c>
      <c r="L623" s="13" t="str">
        <f t="shared" si="49"/>
        <v>Paid</v>
      </c>
      <c r="M623" s="14">
        <v>45536</v>
      </c>
      <c r="N623" s="14">
        <v>45566</v>
      </c>
    </row>
    <row r="624" spans="1:14" x14ac:dyDescent="0.25">
      <c r="A624" s="10" t="s">
        <v>751</v>
      </c>
      <c r="B624" s="10" t="s">
        <v>278</v>
      </c>
      <c r="C624" s="11">
        <v>45556</v>
      </c>
      <c r="D624" s="11">
        <v>45586</v>
      </c>
      <c r="E624" s="11">
        <v>45621</v>
      </c>
      <c r="F624" s="12">
        <v>22232.13</v>
      </c>
      <c r="G624" s="12">
        <v>13028.45</v>
      </c>
      <c r="H624" s="12">
        <f t="shared" si="45"/>
        <v>9203.68</v>
      </c>
      <c r="I624" s="10">
        <f t="shared" si="46"/>
        <v>35</v>
      </c>
      <c r="J624" s="10" t="str">
        <f t="shared" ca="1" si="47"/>
        <v>Overdue</v>
      </c>
      <c r="K624" s="10">
        <f t="shared" ca="1" si="48"/>
        <v>670</v>
      </c>
      <c r="L624" s="10" t="str">
        <f t="shared" ca="1" si="49"/>
        <v>120+ Days</v>
      </c>
      <c r="M624" s="11">
        <v>45536</v>
      </c>
      <c r="N624" s="11">
        <v>45597</v>
      </c>
    </row>
    <row r="625" spans="1:14" x14ac:dyDescent="0.25">
      <c r="A625" s="13" t="s">
        <v>752</v>
      </c>
      <c r="B625" s="13" t="s">
        <v>198</v>
      </c>
      <c r="C625" s="14">
        <v>45562</v>
      </c>
      <c r="D625" s="14">
        <v>45592</v>
      </c>
      <c r="E625" s="14">
        <v>45592</v>
      </c>
      <c r="F625" s="15">
        <v>39678.400000000001</v>
      </c>
      <c r="G625" s="15">
        <v>39678.400000000001</v>
      </c>
      <c r="H625" s="15">
        <f t="shared" si="45"/>
        <v>0</v>
      </c>
      <c r="I625" s="13">
        <f t="shared" si="46"/>
        <v>0</v>
      </c>
      <c r="J625" s="13" t="str">
        <f t="shared" ca="1" si="47"/>
        <v>Paid</v>
      </c>
      <c r="K625" s="13">
        <f t="shared" ca="1" si="48"/>
        <v>0</v>
      </c>
      <c r="L625" s="13" t="str">
        <f t="shared" si="49"/>
        <v>Paid</v>
      </c>
      <c r="M625" s="14">
        <v>45536</v>
      </c>
      <c r="N625" s="14">
        <v>45566</v>
      </c>
    </row>
    <row r="626" spans="1:14" x14ac:dyDescent="0.25">
      <c r="A626" s="10" t="s">
        <v>753</v>
      </c>
      <c r="B626" s="10" t="s">
        <v>117</v>
      </c>
      <c r="C626" s="11">
        <v>45560</v>
      </c>
      <c r="D626" s="11">
        <v>45590</v>
      </c>
      <c r="E626" s="11"/>
      <c r="F626" s="12">
        <v>57344.42</v>
      </c>
      <c r="G626" s="12">
        <v>0</v>
      </c>
      <c r="H626" s="12">
        <f t="shared" si="45"/>
        <v>57344.42</v>
      </c>
      <c r="I626" s="10" t="str">
        <f t="shared" si="46"/>
        <v/>
      </c>
      <c r="J626" s="10" t="str">
        <f t="shared" ca="1" si="47"/>
        <v>Overdue</v>
      </c>
      <c r="K626" s="10">
        <f t="shared" ca="1" si="48"/>
        <v>666</v>
      </c>
      <c r="L626" s="10" t="str">
        <f t="shared" ca="1" si="49"/>
        <v>120+ Days</v>
      </c>
      <c r="M626" s="11">
        <v>45536</v>
      </c>
      <c r="N626" s="11"/>
    </row>
    <row r="627" spans="1:14" x14ac:dyDescent="0.25">
      <c r="A627" s="13" t="s">
        <v>754</v>
      </c>
      <c r="B627" s="13" t="s">
        <v>449</v>
      </c>
      <c r="C627" s="14">
        <v>45554</v>
      </c>
      <c r="D627" s="14">
        <v>45584</v>
      </c>
      <c r="E627" s="14"/>
      <c r="F627" s="15">
        <v>31043.439999999999</v>
      </c>
      <c r="G627" s="15">
        <v>0</v>
      </c>
      <c r="H627" s="15">
        <f t="shared" si="45"/>
        <v>31043.439999999999</v>
      </c>
      <c r="I627" s="13" t="str">
        <f t="shared" si="46"/>
        <v/>
      </c>
      <c r="J627" s="13" t="str">
        <f t="shared" ca="1" si="47"/>
        <v>Overdue</v>
      </c>
      <c r="K627" s="13">
        <f t="shared" ca="1" si="48"/>
        <v>672</v>
      </c>
      <c r="L627" s="13" t="str">
        <f t="shared" ca="1" si="49"/>
        <v>120+ Days</v>
      </c>
      <c r="M627" s="14">
        <v>45536</v>
      </c>
      <c r="N627" s="14"/>
    </row>
    <row r="628" spans="1:14" x14ac:dyDescent="0.25">
      <c r="A628" s="10" t="s">
        <v>755</v>
      </c>
      <c r="B628" s="10" t="s">
        <v>134</v>
      </c>
      <c r="C628" s="11">
        <v>45569</v>
      </c>
      <c r="D628" s="11">
        <v>45599</v>
      </c>
      <c r="E628" s="11">
        <v>45607</v>
      </c>
      <c r="F628" s="12">
        <v>36128.46</v>
      </c>
      <c r="G628" s="12">
        <v>36128.46</v>
      </c>
      <c r="H628" s="12">
        <f t="shared" si="45"/>
        <v>0</v>
      </c>
      <c r="I628" s="10">
        <f t="shared" si="46"/>
        <v>8</v>
      </c>
      <c r="J628" s="10" t="str">
        <f t="shared" ca="1" si="47"/>
        <v>Paid</v>
      </c>
      <c r="K628" s="10">
        <f t="shared" ca="1" si="48"/>
        <v>0</v>
      </c>
      <c r="L628" s="10" t="str">
        <f t="shared" si="49"/>
        <v>Paid</v>
      </c>
      <c r="M628" s="11">
        <v>45566</v>
      </c>
      <c r="N628" s="11">
        <v>45597</v>
      </c>
    </row>
    <row r="629" spans="1:14" x14ac:dyDescent="0.25">
      <c r="A629" s="13" t="s">
        <v>756</v>
      </c>
      <c r="B629" s="13" t="s">
        <v>127</v>
      </c>
      <c r="C629" s="14">
        <v>45576</v>
      </c>
      <c r="D629" s="14">
        <v>45606</v>
      </c>
      <c r="E629" s="14">
        <v>45612</v>
      </c>
      <c r="F629" s="15">
        <v>60862.79</v>
      </c>
      <c r="G629" s="15">
        <v>60862.79</v>
      </c>
      <c r="H629" s="15">
        <f t="shared" si="45"/>
        <v>0</v>
      </c>
      <c r="I629" s="13">
        <f t="shared" si="46"/>
        <v>6</v>
      </c>
      <c r="J629" s="13" t="str">
        <f t="shared" ca="1" si="47"/>
        <v>Paid</v>
      </c>
      <c r="K629" s="13">
        <f t="shared" ca="1" si="48"/>
        <v>0</v>
      </c>
      <c r="L629" s="13" t="str">
        <f t="shared" si="49"/>
        <v>Paid</v>
      </c>
      <c r="M629" s="14">
        <v>45566</v>
      </c>
      <c r="N629" s="14">
        <v>45597</v>
      </c>
    </row>
    <row r="630" spans="1:14" x14ac:dyDescent="0.25">
      <c r="A630" s="10" t="s">
        <v>757</v>
      </c>
      <c r="B630" s="10" t="s">
        <v>89</v>
      </c>
      <c r="C630" s="11">
        <v>45567</v>
      </c>
      <c r="D630" s="11">
        <v>45597</v>
      </c>
      <c r="E630" s="11">
        <v>45613</v>
      </c>
      <c r="F630" s="12">
        <v>25952.63</v>
      </c>
      <c r="G630" s="12">
        <v>25952.63</v>
      </c>
      <c r="H630" s="12">
        <f t="shared" si="45"/>
        <v>0</v>
      </c>
      <c r="I630" s="10">
        <f t="shared" si="46"/>
        <v>16</v>
      </c>
      <c r="J630" s="10" t="str">
        <f t="shared" ca="1" si="47"/>
        <v>Paid</v>
      </c>
      <c r="K630" s="10">
        <f t="shared" ca="1" si="48"/>
        <v>0</v>
      </c>
      <c r="L630" s="10" t="str">
        <f t="shared" si="49"/>
        <v>Paid</v>
      </c>
      <c r="M630" s="11">
        <v>45566</v>
      </c>
      <c r="N630" s="11">
        <v>45597</v>
      </c>
    </row>
    <row r="631" spans="1:14" x14ac:dyDescent="0.25">
      <c r="A631" s="13" t="s">
        <v>758</v>
      </c>
      <c r="B631" s="13" t="s">
        <v>224</v>
      </c>
      <c r="C631" s="14">
        <v>45592</v>
      </c>
      <c r="D631" s="14">
        <v>45622</v>
      </c>
      <c r="E631" s="14">
        <v>45627</v>
      </c>
      <c r="F631" s="15">
        <v>69554.3</v>
      </c>
      <c r="G631" s="15">
        <v>69554.3</v>
      </c>
      <c r="H631" s="15">
        <f t="shared" si="45"/>
        <v>0</v>
      </c>
      <c r="I631" s="13">
        <f t="shared" si="46"/>
        <v>5</v>
      </c>
      <c r="J631" s="13" t="str">
        <f t="shared" ca="1" si="47"/>
        <v>Paid</v>
      </c>
      <c r="K631" s="13">
        <f t="shared" ca="1" si="48"/>
        <v>0</v>
      </c>
      <c r="L631" s="13" t="str">
        <f t="shared" si="49"/>
        <v>Paid</v>
      </c>
      <c r="M631" s="14">
        <v>45566</v>
      </c>
      <c r="N631" s="14">
        <v>45627</v>
      </c>
    </row>
    <row r="632" spans="1:14" x14ac:dyDescent="0.25">
      <c r="A632" s="10" t="s">
        <v>759</v>
      </c>
      <c r="B632" s="10" t="s">
        <v>274</v>
      </c>
      <c r="C632" s="11">
        <v>45586</v>
      </c>
      <c r="D632" s="11">
        <v>45616</v>
      </c>
      <c r="E632" s="11"/>
      <c r="F632" s="12">
        <v>28241.84</v>
      </c>
      <c r="G632" s="12">
        <v>0</v>
      </c>
      <c r="H632" s="12">
        <f t="shared" si="45"/>
        <v>28241.84</v>
      </c>
      <c r="I632" s="10" t="str">
        <f t="shared" si="46"/>
        <v/>
      </c>
      <c r="J632" s="10" t="str">
        <f t="shared" ca="1" si="47"/>
        <v>Overdue</v>
      </c>
      <c r="K632" s="10">
        <f t="shared" ca="1" si="48"/>
        <v>640</v>
      </c>
      <c r="L632" s="10" t="str">
        <f t="shared" ca="1" si="49"/>
        <v>120+ Days</v>
      </c>
      <c r="M632" s="11">
        <v>45566</v>
      </c>
      <c r="N632" s="11"/>
    </row>
    <row r="633" spans="1:14" x14ac:dyDescent="0.25">
      <c r="A633" s="13" t="s">
        <v>760</v>
      </c>
      <c r="B633" s="13" t="s">
        <v>140</v>
      </c>
      <c r="C633" s="14">
        <v>45591</v>
      </c>
      <c r="D633" s="14">
        <v>45621</v>
      </c>
      <c r="E633" s="14">
        <v>45643</v>
      </c>
      <c r="F633" s="15">
        <v>51750.65</v>
      </c>
      <c r="G633" s="15">
        <v>51750.65</v>
      </c>
      <c r="H633" s="15">
        <f t="shared" si="45"/>
        <v>0</v>
      </c>
      <c r="I633" s="13">
        <f t="shared" si="46"/>
        <v>22</v>
      </c>
      <c r="J633" s="13" t="str">
        <f t="shared" ca="1" si="47"/>
        <v>Paid</v>
      </c>
      <c r="K633" s="13">
        <f t="shared" ca="1" si="48"/>
        <v>0</v>
      </c>
      <c r="L633" s="13" t="str">
        <f t="shared" si="49"/>
        <v>Paid</v>
      </c>
      <c r="M633" s="14">
        <v>45566</v>
      </c>
      <c r="N633" s="14">
        <v>45627</v>
      </c>
    </row>
    <row r="634" spans="1:14" x14ac:dyDescent="0.25">
      <c r="A634" s="10" t="s">
        <v>761</v>
      </c>
      <c r="B634" s="10" t="s">
        <v>161</v>
      </c>
      <c r="C634" s="11">
        <v>45589</v>
      </c>
      <c r="D634" s="11">
        <v>45619</v>
      </c>
      <c r="E634" s="11">
        <v>45648</v>
      </c>
      <c r="F634" s="12">
        <v>74589.039999999994</v>
      </c>
      <c r="G634" s="12">
        <v>74589.039999999994</v>
      </c>
      <c r="H634" s="12">
        <f t="shared" si="45"/>
        <v>0</v>
      </c>
      <c r="I634" s="10">
        <f t="shared" si="46"/>
        <v>29</v>
      </c>
      <c r="J634" s="10" t="str">
        <f t="shared" ca="1" si="47"/>
        <v>Paid</v>
      </c>
      <c r="K634" s="10">
        <f t="shared" ca="1" si="48"/>
        <v>0</v>
      </c>
      <c r="L634" s="10" t="str">
        <f t="shared" si="49"/>
        <v>Paid</v>
      </c>
      <c r="M634" s="11">
        <v>45566</v>
      </c>
      <c r="N634" s="11">
        <v>45627</v>
      </c>
    </row>
    <row r="635" spans="1:14" x14ac:dyDescent="0.25">
      <c r="A635" s="13" t="s">
        <v>762</v>
      </c>
      <c r="B635" s="13" t="s">
        <v>136</v>
      </c>
      <c r="C635" s="14">
        <v>45566</v>
      </c>
      <c r="D635" s="14">
        <v>45596</v>
      </c>
      <c r="E635" s="14">
        <v>45619</v>
      </c>
      <c r="F635" s="15">
        <v>46506.06</v>
      </c>
      <c r="G635" s="15">
        <v>46506.06</v>
      </c>
      <c r="H635" s="15">
        <f t="shared" si="45"/>
        <v>0</v>
      </c>
      <c r="I635" s="13">
        <f t="shared" si="46"/>
        <v>23</v>
      </c>
      <c r="J635" s="13" t="str">
        <f t="shared" ca="1" si="47"/>
        <v>Paid</v>
      </c>
      <c r="K635" s="13">
        <f t="shared" ca="1" si="48"/>
        <v>0</v>
      </c>
      <c r="L635" s="13" t="str">
        <f t="shared" si="49"/>
        <v>Paid</v>
      </c>
      <c r="M635" s="14">
        <v>45566</v>
      </c>
      <c r="N635" s="14">
        <v>45597</v>
      </c>
    </row>
    <row r="636" spans="1:14" x14ac:dyDescent="0.25">
      <c r="A636" s="10" t="s">
        <v>763</v>
      </c>
      <c r="B636" s="10" t="s">
        <v>70</v>
      </c>
      <c r="C636" s="11">
        <v>45578</v>
      </c>
      <c r="D636" s="11">
        <v>45608</v>
      </c>
      <c r="E636" s="11">
        <v>45662</v>
      </c>
      <c r="F636" s="12">
        <v>97608.73</v>
      </c>
      <c r="G636" s="12">
        <v>36439.629999999997</v>
      </c>
      <c r="H636" s="12">
        <f t="shared" si="45"/>
        <v>61169.1</v>
      </c>
      <c r="I636" s="10">
        <f t="shared" si="46"/>
        <v>54</v>
      </c>
      <c r="J636" s="10" t="str">
        <f t="shared" ca="1" si="47"/>
        <v>Overdue</v>
      </c>
      <c r="K636" s="10">
        <f t="shared" ca="1" si="48"/>
        <v>648</v>
      </c>
      <c r="L636" s="10" t="str">
        <f t="shared" ca="1" si="49"/>
        <v>120+ Days</v>
      </c>
      <c r="M636" s="11">
        <v>45566</v>
      </c>
      <c r="N636" s="11">
        <v>45658</v>
      </c>
    </row>
    <row r="637" spans="1:14" x14ac:dyDescent="0.25">
      <c r="A637" s="13" t="s">
        <v>764</v>
      </c>
      <c r="B637" s="13" t="s">
        <v>146</v>
      </c>
      <c r="C637" s="14">
        <v>45567</v>
      </c>
      <c r="D637" s="14">
        <v>45597</v>
      </c>
      <c r="E637" s="14">
        <v>45604</v>
      </c>
      <c r="F637" s="15">
        <v>40866.14</v>
      </c>
      <c r="G637" s="15">
        <v>40866.14</v>
      </c>
      <c r="H637" s="15">
        <f t="shared" si="45"/>
        <v>0</v>
      </c>
      <c r="I637" s="13">
        <f t="shared" si="46"/>
        <v>7</v>
      </c>
      <c r="J637" s="13" t="str">
        <f t="shared" ca="1" si="47"/>
        <v>Paid</v>
      </c>
      <c r="K637" s="13">
        <f t="shared" ca="1" si="48"/>
        <v>0</v>
      </c>
      <c r="L637" s="13" t="str">
        <f t="shared" si="49"/>
        <v>Paid</v>
      </c>
      <c r="M637" s="14">
        <v>45566</v>
      </c>
      <c r="N637" s="14">
        <v>45597</v>
      </c>
    </row>
    <row r="638" spans="1:14" x14ac:dyDescent="0.25">
      <c r="A638" s="10" t="s">
        <v>765</v>
      </c>
      <c r="B638" s="10" t="s">
        <v>95</v>
      </c>
      <c r="C638" s="11">
        <v>45578</v>
      </c>
      <c r="D638" s="11">
        <v>45608</v>
      </c>
      <c r="E638" s="11">
        <v>45632</v>
      </c>
      <c r="F638" s="12">
        <v>51812.26</v>
      </c>
      <c r="G638" s="12">
        <v>51812.26</v>
      </c>
      <c r="H638" s="12">
        <f t="shared" si="45"/>
        <v>0</v>
      </c>
      <c r="I638" s="10">
        <f t="shared" si="46"/>
        <v>24</v>
      </c>
      <c r="J638" s="10" t="str">
        <f t="shared" ca="1" si="47"/>
        <v>Paid</v>
      </c>
      <c r="K638" s="10">
        <f t="shared" ca="1" si="48"/>
        <v>0</v>
      </c>
      <c r="L638" s="10" t="str">
        <f t="shared" si="49"/>
        <v>Paid</v>
      </c>
      <c r="M638" s="11">
        <v>45566</v>
      </c>
      <c r="N638" s="11">
        <v>45627</v>
      </c>
    </row>
    <row r="639" spans="1:14" x14ac:dyDescent="0.25">
      <c r="A639" s="13" t="s">
        <v>766</v>
      </c>
      <c r="B639" s="13" t="s">
        <v>146</v>
      </c>
      <c r="C639" s="14">
        <v>45588</v>
      </c>
      <c r="D639" s="14">
        <v>45618</v>
      </c>
      <c r="E639" s="14">
        <v>45633</v>
      </c>
      <c r="F639" s="15">
        <v>101748.73</v>
      </c>
      <c r="G639" s="15">
        <v>101748.73</v>
      </c>
      <c r="H639" s="15">
        <f t="shared" si="45"/>
        <v>0</v>
      </c>
      <c r="I639" s="13">
        <f t="shared" si="46"/>
        <v>15</v>
      </c>
      <c r="J639" s="13" t="str">
        <f t="shared" ca="1" si="47"/>
        <v>Paid</v>
      </c>
      <c r="K639" s="13">
        <f t="shared" ca="1" si="48"/>
        <v>0</v>
      </c>
      <c r="L639" s="13" t="str">
        <f t="shared" si="49"/>
        <v>Paid</v>
      </c>
      <c r="M639" s="14">
        <v>45566</v>
      </c>
      <c r="N639" s="14">
        <v>45627</v>
      </c>
    </row>
    <row r="640" spans="1:14" x14ac:dyDescent="0.25">
      <c r="A640" s="10" t="s">
        <v>767</v>
      </c>
      <c r="B640" s="10" t="s">
        <v>136</v>
      </c>
      <c r="C640" s="11">
        <v>45576</v>
      </c>
      <c r="D640" s="11">
        <v>45606</v>
      </c>
      <c r="E640" s="11">
        <v>45644</v>
      </c>
      <c r="F640" s="12">
        <v>14182.11</v>
      </c>
      <c r="G640" s="12">
        <v>14182.11</v>
      </c>
      <c r="H640" s="12">
        <f t="shared" si="45"/>
        <v>0</v>
      </c>
      <c r="I640" s="10">
        <f t="shared" si="46"/>
        <v>38</v>
      </c>
      <c r="J640" s="10" t="str">
        <f t="shared" ca="1" si="47"/>
        <v>Paid</v>
      </c>
      <c r="K640" s="10">
        <f t="shared" ca="1" si="48"/>
        <v>0</v>
      </c>
      <c r="L640" s="10" t="str">
        <f t="shared" si="49"/>
        <v>Paid</v>
      </c>
      <c r="M640" s="11">
        <v>45566</v>
      </c>
      <c r="N640" s="11">
        <v>45627</v>
      </c>
    </row>
    <row r="641" spans="1:14" x14ac:dyDescent="0.25">
      <c r="A641" s="13" t="s">
        <v>768</v>
      </c>
      <c r="B641" s="13" t="s">
        <v>159</v>
      </c>
      <c r="C641" s="14">
        <v>45566</v>
      </c>
      <c r="D641" s="14">
        <v>45596</v>
      </c>
      <c r="E641" s="14">
        <v>45677</v>
      </c>
      <c r="F641" s="15">
        <v>36735.279999999999</v>
      </c>
      <c r="G641" s="15">
        <v>36735.279999999999</v>
      </c>
      <c r="H641" s="15">
        <f t="shared" si="45"/>
        <v>0</v>
      </c>
      <c r="I641" s="13">
        <f t="shared" si="46"/>
        <v>81</v>
      </c>
      <c r="J641" s="13" t="str">
        <f t="shared" ca="1" si="47"/>
        <v>Paid</v>
      </c>
      <c r="K641" s="13">
        <f t="shared" ca="1" si="48"/>
        <v>0</v>
      </c>
      <c r="L641" s="13" t="str">
        <f t="shared" si="49"/>
        <v>Paid</v>
      </c>
      <c r="M641" s="14">
        <v>45566</v>
      </c>
      <c r="N641" s="14">
        <v>45658</v>
      </c>
    </row>
    <row r="642" spans="1:14" x14ac:dyDescent="0.25">
      <c r="A642" s="10" t="s">
        <v>769</v>
      </c>
      <c r="B642" s="10" t="s">
        <v>134</v>
      </c>
      <c r="C642" s="11">
        <v>45571</v>
      </c>
      <c r="D642" s="11">
        <v>45601</v>
      </c>
      <c r="E642" s="11">
        <v>45611</v>
      </c>
      <c r="F642" s="12">
        <v>71792.91</v>
      </c>
      <c r="G642" s="12">
        <v>71792.91</v>
      </c>
      <c r="H642" s="12">
        <f t="shared" ref="H642:H705" si="50">MAX(0,F642-G642)</f>
        <v>0</v>
      </c>
      <c r="I642" s="10">
        <f t="shared" ref="I642:I705" si="51">IF(E642="","",MAX(0,E642-D642))</f>
        <v>10</v>
      </c>
      <c r="J642" s="10" t="str">
        <f t="shared" ref="J642:J705" ca="1" si="52">IF(H642=0,"Paid",IF(D642&lt;TODAY(),"Overdue","Open"))</f>
        <v>Paid</v>
      </c>
      <c r="K642" s="10">
        <f t="shared" ref="K642:K705" ca="1" si="53">IF(H642=0,0,MAX(0,TODAY()-D642))</f>
        <v>0</v>
      </c>
      <c r="L642" s="10" t="str">
        <f t="shared" ref="L642:L705" si="54">IF(H642=0,"Paid",IF(K642&lt;=30,"0-30 Days",IF(K642&lt;=60,"31-60 Days",IF(K642&lt;=90,"61-90 Days",IF(K642&lt;=120,"91-120 Days","120+ Days")))))</f>
        <v>Paid</v>
      </c>
      <c r="M642" s="11">
        <v>45566</v>
      </c>
      <c r="N642" s="11">
        <v>45597</v>
      </c>
    </row>
    <row r="643" spans="1:14" x14ac:dyDescent="0.25">
      <c r="A643" s="13" t="s">
        <v>770</v>
      </c>
      <c r="B643" s="13" t="s">
        <v>74</v>
      </c>
      <c r="C643" s="14">
        <v>45570</v>
      </c>
      <c r="D643" s="14">
        <v>45600</v>
      </c>
      <c r="E643" s="14">
        <v>45622</v>
      </c>
      <c r="F643" s="15">
        <v>41358.5</v>
      </c>
      <c r="G643" s="15">
        <v>41358.5</v>
      </c>
      <c r="H643" s="15">
        <f t="shared" si="50"/>
        <v>0</v>
      </c>
      <c r="I643" s="13">
        <f t="shared" si="51"/>
        <v>22</v>
      </c>
      <c r="J643" s="13" t="str">
        <f t="shared" ca="1" si="52"/>
        <v>Paid</v>
      </c>
      <c r="K643" s="13">
        <f t="shared" ca="1" si="53"/>
        <v>0</v>
      </c>
      <c r="L643" s="13" t="str">
        <f t="shared" si="54"/>
        <v>Paid</v>
      </c>
      <c r="M643" s="14">
        <v>45566</v>
      </c>
      <c r="N643" s="14">
        <v>45597</v>
      </c>
    </row>
    <row r="644" spans="1:14" x14ac:dyDescent="0.25">
      <c r="A644" s="10" t="s">
        <v>771</v>
      </c>
      <c r="B644" s="10" t="s">
        <v>331</v>
      </c>
      <c r="C644" s="11">
        <v>45585</v>
      </c>
      <c r="D644" s="11">
        <v>45615</v>
      </c>
      <c r="E644" s="11">
        <v>45652</v>
      </c>
      <c r="F644" s="12">
        <v>15645.54</v>
      </c>
      <c r="G644" s="12">
        <v>15645.54</v>
      </c>
      <c r="H644" s="12">
        <f t="shared" si="50"/>
        <v>0</v>
      </c>
      <c r="I644" s="10">
        <f t="shared" si="51"/>
        <v>37</v>
      </c>
      <c r="J644" s="10" t="str">
        <f t="shared" ca="1" si="52"/>
        <v>Paid</v>
      </c>
      <c r="K644" s="10">
        <f t="shared" ca="1" si="53"/>
        <v>0</v>
      </c>
      <c r="L644" s="10" t="str">
        <f t="shared" si="54"/>
        <v>Paid</v>
      </c>
      <c r="M644" s="11">
        <v>45566</v>
      </c>
      <c r="N644" s="11">
        <v>45627</v>
      </c>
    </row>
    <row r="645" spans="1:14" x14ac:dyDescent="0.25">
      <c r="A645" s="13" t="s">
        <v>772</v>
      </c>
      <c r="B645" s="13" t="s">
        <v>188</v>
      </c>
      <c r="C645" s="14">
        <v>45590</v>
      </c>
      <c r="D645" s="14">
        <v>45620</v>
      </c>
      <c r="E645" s="14">
        <v>45622</v>
      </c>
      <c r="F645" s="15">
        <v>49718.51</v>
      </c>
      <c r="G645" s="15">
        <v>49718.51</v>
      </c>
      <c r="H645" s="15">
        <f t="shared" si="50"/>
        <v>0</v>
      </c>
      <c r="I645" s="13">
        <f t="shared" si="51"/>
        <v>2</v>
      </c>
      <c r="J645" s="13" t="str">
        <f t="shared" ca="1" si="52"/>
        <v>Paid</v>
      </c>
      <c r="K645" s="13">
        <f t="shared" ca="1" si="53"/>
        <v>0</v>
      </c>
      <c r="L645" s="13" t="str">
        <f t="shared" si="54"/>
        <v>Paid</v>
      </c>
      <c r="M645" s="14">
        <v>45566</v>
      </c>
      <c r="N645" s="14">
        <v>45597</v>
      </c>
    </row>
    <row r="646" spans="1:14" x14ac:dyDescent="0.25">
      <c r="A646" s="10" t="s">
        <v>773</v>
      </c>
      <c r="B646" s="10" t="s">
        <v>99</v>
      </c>
      <c r="C646" s="11">
        <v>45580</v>
      </c>
      <c r="D646" s="11">
        <v>45610</v>
      </c>
      <c r="E646" s="11">
        <v>45612</v>
      </c>
      <c r="F646" s="12">
        <v>37232.71</v>
      </c>
      <c r="G646" s="12">
        <v>37232.71</v>
      </c>
      <c r="H646" s="12">
        <f t="shared" si="50"/>
        <v>0</v>
      </c>
      <c r="I646" s="10">
        <f t="shared" si="51"/>
        <v>2</v>
      </c>
      <c r="J646" s="10" t="str">
        <f t="shared" ca="1" si="52"/>
        <v>Paid</v>
      </c>
      <c r="K646" s="10">
        <f t="shared" ca="1" si="53"/>
        <v>0</v>
      </c>
      <c r="L646" s="10" t="str">
        <f t="shared" si="54"/>
        <v>Paid</v>
      </c>
      <c r="M646" s="11">
        <v>45566</v>
      </c>
      <c r="N646" s="11">
        <v>45597</v>
      </c>
    </row>
    <row r="647" spans="1:14" x14ac:dyDescent="0.25">
      <c r="A647" s="13" t="s">
        <v>774</v>
      </c>
      <c r="B647" s="13" t="s">
        <v>129</v>
      </c>
      <c r="C647" s="14">
        <v>45578</v>
      </c>
      <c r="D647" s="14">
        <v>45608</v>
      </c>
      <c r="E647" s="14">
        <v>45622</v>
      </c>
      <c r="F647" s="15">
        <v>116000.74</v>
      </c>
      <c r="G647" s="15">
        <v>116000.74</v>
      </c>
      <c r="H647" s="15">
        <f t="shared" si="50"/>
        <v>0</v>
      </c>
      <c r="I647" s="13">
        <f t="shared" si="51"/>
        <v>14</v>
      </c>
      <c r="J647" s="13" t="str">
        <f t="shared" ca="1" si="52"/>
        <v>Paid</v>
      </c>
      <c r="K647" s="13">
        <f t="shared" ca="1" si="53"/>
        <v>0</v>
      </c>
      <c r="L647" s="13" t="str">
        <f t="shared" si="54"/>
        <v>Paid</v>
      </c>
      <c r="M647" s="14">
        <v>45566</v>
      </c>
      <c r="N647" s="14">
        <v>45597</v>
      </c>
    </row>
    <row r="648" spans="1:14" x14ac:dyDescent="0.25">
      <c r="A648" s="10" t="s">
        <v>775</v>
      </c>
      <c r="B648" s="10" t="s">
        <v>331</v>
      </c>
      <c r="C648" s="11">
        <v>45567</v>
      </c>
      <c r="D648" s="11">
        <v>45597</v>
      </c>
      <c r="E648" s="11"/>
      <c r="F648" s="12">
        <v>35971.120000000003</v>
      </c>
      <c r="G648" s="12">
        <v>0</v>
      </c>
      <c r="H648" s="12">
        <f t="shared" si="50"/>
        <v>35971.120000000003</v>
      </c>
      <c r="I648" s="10" t="str">
        <f t="shared" si="51"/>
        <v/>
      </c>
      <c r="J648" s="10" t="str">
        <f t="shared" ca="1" si="52"/>
        <v>Overdue</v>
      </c>
      <c r="K648" s="10">
        <f t="shared" ca="1" si="53"/>
        <v>659</v>
      </c>
      <c r="L648" s="10" t="str">
        <f t="shared" ca="1" si="54"/>
        <v>120+ Days</v>
      </c>
      <c r="M648" s="11">
        <v>45566</v>
      </c>
      <c r="N648" s="11"/>
    </row>
    <row r="649" spans="1:14" x14ac:dyDescent="0.25">
      <c r="A649" s="13" t="s">
        <v>776</v>
      </c>
      <c r="B649" s="13" t="s">
        <v>180</v>
      </c>
      <c r="C649" s="14">
        <v>45575</v>
      </c>
      <c r="D649" s="14">
        <v>45605</v>
      </c>
      <c r="E649" s="14"/>
      <c r="F649" s="15">
        <v>12127.54</v>
      </c>
      <c r="G649" s="15">
        <v>0</v>
      </c>
      <c r="H649" s="15">
        <f t="shared" si="50"/>
        <v>12127.54</v>
      </c>
      <c r="I649" s="13" t="str">
        <f t="shared" si="51"/>
        <v/>
      </c>
      <c r="J649" s="13" t="str">
        <f t="shared" ca="1" si="52"/>
        <v>Overdue</v>
      </c>
      <c r="K649" s="13">
        <f t="shared" ca="1" si="53"/>
        <v>651</v>
      </c>
      <c r="L649" s="13" t="str">
        <f t="shared" ca="1" si="54"/>
        <v>120+ Days</v>
      </c>
      <c r="M649" s="14">
        <v>45566</v>
      </c>
      <c r="N649" s="14"/>
    </row>
    <row r="650" spans="1:14" x14ac:dyDescent="0.25">
      <c r="A650" s="10" t="s">
        <v>777</v>
      </c>
      <c r="B650" s="10" t="s">
        <v>169</v>
      </c>
      <c r="C650" s="11">
        <v>45568</v>
      </c>
      <c r="D650" s="11">
        <v>45598</v>
      </c>
      <c r="E650" s="11">
        <v>45626</v>
      </c>
      <c r="F650" s="12">
        <v>12033.34</v>
      </c>
      <c r="G650" s="12">
        <v>12033.34</v>
      </c>
      <c r="H650" s="12">
        <f t="shared" si="50"/>
        <v>0</v>
      </c>
      <c r="I650" s="10">
        <f t="shared" si="51"/>
        <v>28</v>
      </c>
      <c r="J650" s="10" t="str">
        <f t="shared" ca="1" si="52"/>
        <v>Paid</v>
      </c>
      <c r="K650" s="10">
        <f t="shared" ca="1" si="53"/>
        <v>0</v>
      </c>
      <c r="L650" s="10" t="str">
        <f t="shared" si="54"/>
        <v>Paid</v>
      </c>
      <c r="M650" s="11">
        <v>45566</v>
      </c>
      <c r="N650" s="11">
        <v>45597</v>
      </c>
    </row>
    <row r="651" spans="1:14" x14ac:dyDescent="0.25">
      <c r="A651" s="13" t="s">
        <v>778</v>
      </c>
      <c r="B651" s="13" t="s">
        <v>72</v>
      </c>
      <c r="C651" s="14">
        <v>45573</v>
      </c>
      <c r="D651" s="14">
        <v>45603</v>
      </c>
      <c r="E651" s="14"/>
      <c r="F651" s="15">
        <v>86644.46</v>
      </c>
      <c r="G651" s="15">
        <v>0</v>
      </c>
      <c r="H651" s="15">
        <f t="shared" si="50"/>
        <v>86644.46</v>
      </c>
      <c r="I651" s="13" t="str">
        <f t="shared" si="51"/>
        <v/>
      </c>
      <c r="J651" s="13" t="str">
        <f t="shared" ca="1" si="52"/>
        <v>Overdue</v>
      </c>
      <c r="K651" s="13">
        <f t="shared" ca="1" si="53"/>
        <v>653</v>
      </c>
      <c r="L651" s="13" t="str">
        <f t="shared" ca="1" si="54"/>
        <v>120+ Days</v>
      </c>
      <c r="M651" s="14">
        <v>45566</v>
      </c>
      <c r="N651" s="14"/>
    </row>
    <row r="652" spans="1:14" x14ac:dyDescent="0.25">
      <c r="A652" s="10" t="s">
        <v>779</v>
      </c>
      <c r="B652" s="10" t="s">
        <v>274</v>
      </c>
      <c r="C652" s="11">
        <v>45575</v>
      </c>
      <c r="D652" s="11">
        <v>45605</v>
      </c>
      <c r="E652" s="11">
        <v>45650</v>
      </c>
      <c r="F652" s="12">
        <v>79259.78</v>
      </c>
      <c r="G652" s="12">
        <v>79259.78</v>
      </c>
      <c r="H652" s="12">
        <f t="shared" si="50"/>
        <v>0</v>
      </c>
      <c r="I652" s="10">
        <f t="shared" si="51"/>
        <v>45</v>
      </c>
      <c r="J652" s="10" t="str">
        <f t="shared" ca="1" si="52"/>
        <v>Paid</v>
      </c>
      <c r="K652" s="10">
        <f t="shared" ca="1" si="53"/>
        <v>0</v>
      </c>
      <c r="L652" s="10" t="str">
        <f t="shared" si="54"/>
        <v>Paid</v>
      </c>
      <c r="M652" s="11">
        <v>45566</v>
      </c>
      <c r="N652" s="11">
        <v>45627</v>
      </c>
    </row>
    <row r="653" spans="1:14" x14ac:dyDescent="0.25">
      <c r="A653" s="13" t="s">
        <v>780</v>
      </c>
      <c r="B653" s="13" t="s">
        <v>314</v>
      </c>
      <c r="C653" s="14">
        <v>45589</v>
      </c>
      <c r="D653" s="14">
        <v>45619</v>
      </c>
      <c r="E653" s="14">
        <v>45653</v>
      </c>
      <c r="F653" s="15">
        <v>22746.22</v>
      </c>
      <c r="G653" s="15">
        <v>22746.22</v>
      </c>
      <c r="H653" s="15">
        <f t="shared" si="50"/>
        <v>0</v>
      </c>
      <c r="I653" s="13">
        <f t="shared" si="51"/>
        <v>34</v>
      </c>
      <c r="J653" s="13" t="str">
        <f t="shared" ca="1" si="52"/>
        <v>Paid</v>
      </c>
      <c r="K653" s="13">
        <f t="shared" ca="1" si="53"/>
        <v>0</v>
      </c>
      <c r="L653" s="13" t="str">
        <f t="shared" si="54"/>
        <v>Paid</v>
      </c>
      <c r="M653" s="14">
        <v>45566</v>
      </c>
      <c r="N653" s="14">
        <v>45627</v>
      </c>
    </row>
    <row r="654" spans="1:14" x14ac:dyDescent="0.25">
      <c r="A654" s="10" t="s">
        <v>781</v>
      </c>
      <c r="B654" s="10" t="s">
        <v>93</v>
      </c>
      <c r="C654" s="11">
        <v>45575</v>
      </c>
      <c r="D654" s="11">
        <v>45605</v>
      </c>
      <c r="E654" s="11">
        <v>45642</v>
      </c>
      <c r="F654" s="12">
        <v>49421.87</v>
      </c>
      <c r="G654" s="12">
        <v>49421.87</v>
      </c>
      <c r="H654" s="12">
        <f t="shared" si="50"/>
        <v>0</v>
      </c>
      <c r="I654" s="10">
        <f t="shared" si="51"/>
        <v>37</v>
      </c>
      <c r="J654" s="10" t="str">
        <f t="shared" ca="1" si="52"/>
        <v>Paid</v>
      </c>
      <c r="K654" s="10">
        <f t="shared" ca="1" si="53"/>
        <v>0</v>
      </c>
      <c r="L654" s="10" t="str">
        <f t="shared" si="54"/>
        <v>Paid</v>
      </c>
      <c r="M654" s="11">
        <v>45566</v>
      </c>
      <c r="N654" s="11">
        <v>45627</v>
      </c>
    </row>
    <row r="655" spans="1:14" x14ac:dyDescent="0.25">
      <c r="A655" s="13" t="s">
        <v>782</v>
      </c>
      <c r="B655" s="13" t="s">
        <v>161</v>
      </c>
      <c r="C655" s="14">
        <v>45575</v>
      </c>
      <c r="D655" s="14">
        <v>45605</v>
      </c>
      <c r="E655" s="14"/>
      <c r="F655" s="15">
        <v>85851.75</v>
      </c>
      <c r="G655" s="15">
        <v>0</v>
      </c>
      <c r="H655" s="15">
        <f t="shared" si="50"/>
        <v>85851.75</v>
      </c>
      <c r="I655" s="13" t="str">
        <f t="shared" si="51"/>
        <v/>
      </c>
      <c r="J655" s="13" t="str">
        <f t="shared" ca="1" si="52"/>
        <v>Overdue</v>
      </c>
      <c r="K655" s="13">
        <f t="shared" ca="1" si="53"/>
        <v>651</v>
      </c>
      <c r="L655" s="13" t="str">
        <f t="shared" ca="1" si="54"/>
        <v>120+ Days</v>
      </c>
      <c r="M655" s="14">
        <v>45566</v>
      </c>
      <c r="N655" s="14"/>
    </row>
    <row r="656" spans="1:14" x14ac:dyDescent="0.25">
      <c r="A656" s="10" t="s">
        <v>783</v>
      </c>
      <c r="B656" s="10" t="s">
        <v>230</v>
      </c>
      <c r="C656" s="11">
        <v>45580</v>
      </c>
      <c r="D656" s="11">
        <v>45610</v>
      </c>
      <c r="E656" s="11">
        <v>45610</v>
      </c>
      <c r="F656" s="12">
        <v>47084.51</v>
      </c>
      <c r="G656" s="12">
        <v>47084.51</v>
      </c>
      <c r="H656" s="12">
        <f t="shared" si="50"/>
        <v>0</v>
      </c>
      <c r="I656" s="10">
        <f t="shared" si="51"/>
        <v>0</v>
      </c>
      <c r="J656" s="10" t="str">
        <f t="shared" ca="1" si="52"/>
        <v>Paid</v>
      </c>
      <c r="K656" s="10">
        <f t="shared" ca="1" si="53"/>
        <v>0</v>
      </c>
      <c r="L656" s="10" t="str">
        <f t="shared" si="54"/>
        <v>Paid</v>
      </c>
      <c r="M656" s="11">
        <v>45566</v>
      </c>
      <c r="N656" s="11">
        <v>45597</v>
      </c>
    </row>
    <row r="657" spans="1:14" x14ac:dyDescent="0.25">
      <c r="A657" s="13" t="s">
        <v>784</v>
      </c>
      <c r="B657" s="13" t="s">
        <v>97</v>
      </c>
      <c r="C657" s="14">
        <v>45583</v>
      </c>
      <c r="D657" s="14">
        <v>45613</v>
      </c>
      <c r="E657" s="14">
        <v>45613</v>
      </c>
      <c r="F657" s="15">
        <v>76608.820000000007</v>
      </c>
      <c r="G657" s="15">
        <v>76608.820000000007</v>
      </c>
      <c r="H657" s="15">
        <f t="shared" si="50"/>
        <v>0</v>
      </c>
      <c r="I657" s="13">
        <f t="shared" si="51"/>
        <v>0</v>
      </c>
      <c r="J657" s="13" t="str">
        <f t="shared" ca="1" si="52"/>
        <v>Paid</v>
      </c>
      <c r="K657" s="13">
        <f t="shared" ca="1" si="53"/>
        <v>0</v>
      </c>
      <c r="L657" s="13" t="str">
        <f t="shared" si="54"/>
        <v>Paid</v>
      </c>
      <c r="M657" s="14">
        <v>45566</v>
      </c>
      <c r="N657" s="14">
        <v>45597</v>
      </c>
    </row>
    <row r="658" spans="1:14" x14ac:dyDescent="0.25">
      <c r="A658" s="10" t="s">
        <v>785</v>
      </c>
      <c r="B658" s="10" t="s">
        <v>123</v>
      </c>
      <c r="C658" s="11">
        <v>45585</v>
      </c>
      <c r="D658" s="11">
        <v>45615</v>
      </c>
      <c r="E658" s="11">
        <v>45628</v>
      </c>
      <c r="F658" s="12">
        <v>36394.47</v>
      </c>
      <c r="G658" s="12">
        <v>36394.47</v>
      </c>
      <c r="H658" s="12">
        <f t="shared" si="50"/>
        <v>0</v>
      </c>
      <c r="I658" s="10">
        <f t="shared" si="51"/>
        <v>13</v>
      </c>
      <c r="J658" s="10" t="str">
        <f t="shared" ca="1" si="52"/>
        <v>Paid</v>
      </c>
      <c r="K658" s="10">
        <f t="shared" ca="1" si="53"/>
        <v>0</v>
      </c>
      <c r="L658" s="10" t="str">
        <f t="shared" si="54"/>
        <v>Paid</v>
      </c>
      <c r="M658" s="11">
        <v>45566</v>
      </c>
      <c r="N658" s="11">
        <v>45627</v>
      </c>
    </row>
    <row r="659" spans="1:14" x14ac:dyDescent="0.25">
      <c r="A659" s="13" t="s">
        <v>786</v>
      </c>
      <c r="B659" s="13" t="s">
        <v>314</v>
      </c>
      <c r="C659" s="14">
        <v>45585</v>
      </c>
      <c r="D659" s="14">
        <v>45615</v>
      </c>
      <c r="E659" s="14"/>
      <c r="F659" s="15">
        <v>65965.87</v>
      </c>
      <c r="G659" s="15">
        <v>0</v>
      </c>
      <c r="H659" s="15">
        <f t="shared" si="50"/>
        <v>65965.87</v>
      </c>
      <c r="I659" s="13" t="str">
        <f t="shared" si="51"/>
        <v/>
      </c>
      <c r="J659" s="13" t="str">
        <f t="shared" ca="1" si="52"/>
        <v>Overdue</v>
      </c>
      <c r="K659" s="13">
        <f t="shared" ca="1" si="53"/>
        <v>641</v>
      </c>
      <c r="L659" s="13" t="str">
        <f t="shared" ca="1" si="54"/>
        <v>120+ Days</v>
      </c>
      <c r="M659" s="14">
        <v>45566</v>
      </c>
      <c r="N659" s="14"/>
    </row>
    <row r="660" spans="1:14" x14ac:dyDescent="0.25">
      <c r="A660" s="10" t="s">
        <v>787</v>
      </c>
      <c r="B660" s="10" t="s">
        <v>271</v>
      </c>
      <c r="C660" s="11">
        <v>45575</v>
      </c>
      <c r="D660" s="11">
        <v>45605</v>
      </c>
      <c r="E660" s="11">
        <v>45620</v>
      </c>
      <c r="F660" s="12">
        <v>45259.92</v>
      </c>
      <c r="G660" s="12">
        <v>45259.92</v>
      </c>
      <c r="H660" s="12">
        <f t="shared" si="50"/>
        <v>0</v>
      </c>
      <c r="I660" s="10">
        <f t="shared" si="51"/>
        <v>15</v>
      </c>
      <c r="J660" s="10" t="str">
        <f t="shared" ca="1" si="52"/>
        <v>Paid</v>
      </c>
      <c r="K660" s="10">
        <f t="shared" ca="1" si="53"/>
        <v>0</v>
      </c>
      <c r="L660" s="10" t="str">
        <f t="shared" si="54"/>
        <v>Paid</v>
      </c>
      <c r="M660" s="11">
        <v>45566</v>
      </c>
      <c r="N660" s="11">
        <v>45597</v>
      </c>
    </row>
    <row r="661" spans="1:14" x14ac:dyDescent="0.25">
      <c r="A661" s="13" t="s">
        <v>788</v>
      </c>
      <c r="B661" s="13" t="s">
        <v>150</v>
      </c>
      <c r="C661" s="14">
        <v>45585</v>
      </c>
      <c r="D661" s="14">
        <v>45615</v>
      </c>
      <c r="E661" s="14">
        <v>45632</v>
      </c>
      <c r="F661" s="15">
        <v>125149.27</v>
      </c>
      <c r="G661" s="15">
        <v>125149.27</v>
      </c>
      <c r="H661" s="15">
        <f t="shared" si="50"/>
        <v>0</v>
      </c>
      <c r="I661" s="13">
        <f t="shared" si="51"/>
        <v>17</v>
      </c>
      <c r="J661" s="13" t="str">
        <f t="shared" ca="1" si="52"/>
        <v>Paid</v>
      </c>
      <c r="K661" s="13">
        <f t="shared" ca="1" si="53"/>
        <v>0</v>
      </c>
      <c r="L661" s="13" t="str">
        <f t="shared" si="54"/>
        <v>Paid</v>
      </c>
      <c r="M661" s="14">
        <v>45566</v>
      </c>
      <c r="N661" s="14">
        <v>45627</v>
      </c>
    </row>
    <row r="662" spans="1:14" x14ac:dyDescent="0.25">
      <c r="A662" s="10" t="s">
        <v>789</v>
      </c>
      <c r="B662" s="10" t="s">
        <v>111</v>
      </c>
      <c r="C662" s="11">
        <v>45576</v>
      </c>
      <c r="D662" s="11">
        <v>45606</v>
      </c>
      <c r="E662" s="11"/>
      <c r="F662" s="12">
        <v>24282.57</v>
      </c>
      <c r="G662" s="12">
        <v>0</v>
      </c>
      <c r="H662" s="12">
        <f t="shared" si="50"/>
        <v>24282.57</v>
      </c>
      <c r="I662" s="10" t="str">
        <f t="shared" si="51"/>
        <v/>
      </c>
      <c r="J662" s="10" t="str">
        <f t="shared" ca="1" si="52"/>
        <v>Overdue</v>
      </c>
      <c r="K662" s="10">
        <f t="shared" ca="1" si="53"/>
        <v>650</v>
      </c>
      <c r="L662" s="10" t="str">
        <f t="shared" ca="1" si="54"/>
        <v>120+ Days</v>
      </c>
      <c r="M662" s="11">
        <v>45566</v>
      </c>
      <c r="N662" s="11"/>
    </row>
    <row r="663" spans="1:14" x14ac:dyDescent="0.25">
      <c r="A663" s="13" t="s">
        <v>790</v>
      </c>
      <c r="B663" s="13" t="s">
        <v>215</v>
      </c>
      <c r="C663" s="14">
        <v>45586</v>
      </c>
      <c r="D663" s="14">
        <v>45616</v>
      </c>
      <c r="E663" s="14">
        <v>45659</v>
      </c>
      <c r="F663" s="15">
        <v>44702.74</v>
      </c>
      <c r="G663" s="15">
        <v>44702.74</v>
      </c>
      <c r="H663" s="15">
        <f t="shared" si="50"/>
        <v>0</v>
      </c>
      <c r="I663" s="13">
        <f t="shared" si="51"/>
        <v>43</v>
      </c>
      <c r="J663" s="13" t="str">
        <f t="shared" ca="1" si="52"/>
        <v>Paid</v>
      </c>
      <c r="K663" s="13">
        <f t="shared" ca="1" si="53"/>
        <v>0</v>
      </c>
      <c r="L663" s="13" t="str">
        <f t="shared" si="54"/>
        <v>Paid</v>
      </c>
      <c r="M663" s="14">
        <v>45566</v>
      </c>
      <c r="N663" s="14">
        <v>45658</v>
      </c>
    </row>
    <row r="664" spans="1:14" x14ac:dyDescent="0.25">
      <c r="A664" s="10" t="s">
        <v>791</v>
      </c>
      <c r="B664" s="10" t="s">
        <v>230</v>
      </c>
      <c r="C664" s="11">
        <v>45586</v>
      </c>
      <c r="D664" s="11">
        <v>45616</v>
      </c>
      <c r="E664" s="11">
        <v>45660</v>
      </c>
      <c r="F664" s="12">
        <v>82969.17</v>
      </c>
      <c r="G664" s="12">
        <v>58975.38</v>
      </c>
      <c r="H664" s="12">
        <f t="shared" si="50"/>
        <v>23993.79</v>
      </c>
      <c r="I664" s="10">
        <f t="shared" si="51"/>
        <v>44</v>
      </c>
      <c r="J664" s="10" t="str">
        <f t="shared" ca="1" si="52"/>
        <v>Overdue</v>
      </c>
      <c r="K664" s="10">
        <f t="shared" ca="1" si="53"/>
        <v>640</v>
      </c>
      <c r="L664" s="10" t="str">
        <f t="shared" ca="1" si="54"/>
        <v>120+ Days</v>
      </c>
      <c r="M664" s="11">
        <v>45566</v>
      </c>
      <c r="N664" s="11">
        <v>45658</v>
      </c>
    </row>
    <row r="665" spans="1:14" x14ac:dyDescent="0.25">
      <c r="A665" s="13" t="s">
        <v>792</v>
      </c>
      <c r="B665" s="13" t="s">
        <v>125</v>
      </c>
      <c r="C665" s="14">
        <v>45572</v>
      </c>
      <c r="D665" s="14">
        <v>45602</v>
      </c>
      <c r="E665" s="14">
        <v>45620</v>
      </c>
      <c r="F665" s="15">
        <v>73015.350000000006</v>
      </c>
      <c r="G665" s="15">
        <v>39212.550000000003</v>
      </c>
      <c r="H665" s="15">
        <f t="shared" si="50"/>
        <v>33802.800000000003</v>
      </c>
      <c r="I665" s="13">
        <f t="shared" si="51"/>
        <v>18</v>
      </c>
      <c r="J665" s="13" t="str">
        <f t="shared" ca="1" si="52"/>
        <v>Overdue</v>
      </c>
      <c r="K665" s="13">
        <f t="shared" ca="1" si="53"/>
        <v>654</v>
      </c>
      <c r="L665" s="13" t="str">
        <f t="shared" ca="1" si="54"/>
        <v>120+ Days</v>
      </c>
      <c r="M665" s="14">
        <v>45566</v>
      </c>
      <c r="N665" s="14">
        <v>45597</v>
      </c>
    </row>
    <row r="666" spans="1:14" x14ac:dyDescent="0.25">
      <c r="A666" s="10" t="s">
        <v>793</v>
      </c>
      <c r="B666" s="10" t="s">
        <v>278</v>
      </c>
      <c r="C666" s="11">
        <v>45576</v>
      </c>
      <c r="D666" s="11">
        <v>45606</v>
      </c>
      <c r="E666" s="11"/>
      <c r="F666" s="12">
        <v>60170.96</v>
      </c>
      <c r="G666" s="12">
        <v>0</v>
      </c>
      <c r="H666" s="12">
        <f t="shared" si="50"/>
        <v>60170.96</v>
      </c>
      <c r="I666" s="10" t="str">
        <f t="shared" si="51"/>
        <v/>
      </c>
      <c r="J666" s="10" t="str">
        <f t="shared" ca="1" si="52"/>
        <v>Overdue</v>
      </c>
      <c r="K666" s="10">
        <f t="shared" ca="1" si="53"/>
        <v>650</v>
      </c>
      <c r="L666" s="10" t="str">
        <f t="shared" ca="1" si="54"/>
        <v>120+ Days</v>
      </c>
      <c r="M666" s="11">
        <v>45566</v>
      </c>
      <c r="N666" s="11"/>
    </row>
    <row r="667" spans="1:14" x14ac:dyDescent="0.25">
      <c r="A667" s="13" t="s">
        <v>794</v>
      </c>
      <c r="B667" s="13" t="s">
        <v>182</v>
      </c>
      <c r="C667" s="14">
        <v>45590</v>
      </c>
      <c r="D667" s="14">
        <v>45620</v>
      </c>
      <c r="E667" s="14">
        <v>45620</v>
      </c>
      <c r="F667" s="15">
        <v>15253.75</v>
      </c>
      <c r="G667" s="15">
        <v>15253.75</v>
      </c>
      <c r="H667" s="15">
        <f t="shared" si="50"/>
        <v>0</v>
      </c>
      <c r="I667" s="13">
        <f t="shared" si="51"/>
        <v>0</v>
      </c>
      <c r="J667" s="13" t="str">
        <f t="shared" ca="1" si="52"/>
        <v>Paid</v>
      </c>
      <c r="K667" s="13">
        <f t="shared" ca="1" si="53"/>
        <v>0</v>
      </c>
      <c r="L667" s="13" t="str">
        <f t="shared" si="54"/>
        <v>Paid</v>
      </c>
      <c r="M667" s="14">
        <v>45566</v>
      </c>
      <c r="N667" s="14">
        <v>45597</v>
      </c>
    </row>
    <row r="668" spans="1:14" x14ac:dyDescent="0.25">
      <c r="A668" s="10" t="s">
        <v>795</v>
      </c>
      <c r="B668" s="10" t="s">
        <v>153</v>
      </c>
      <c r="C668" s="11">
        <v>45573</v>
      </c>
      <c r="D668" s="11">
        <v>45603</v>
      </c>
      <c r="E668" s="11">
        <v>45630</v>
      </c>
      <c r="F668" s="12">
        <v>13749.45</v>
      </c>
      <c r="G668" s="12">
        <v>13749.45</v>
      </c>
      <c r="H668" s="12">
        <f t="shared" si="50"/>
        <v>0</v>
      </c>
      <c r="I668" s="10">
        <f t="shared" si="51"/>
        <v>27</v>
      </c>
      <c r="J668" s="10" t="str">
        <f t="shared" ca="1" si="52"/>
        <v>Paid</v>
      </c>
      <c r="K668" s="10">
        <f t="shared" ca="1" si="53"/>
        <v>0</v>
      </c>
      <c r="L668" s="10" t="str">
        <f t="shared" si="54"/>
        <v>Paid</v>
      </c>
      <c r="M668" s="11">
        <v>45566</v>
      </c>
      <c r="N668" s="11">
        <v>45627</v>
      </c>
    </row>
    <row r="669" spans="1:14" x14ac:dyDescent="0.25">
      <c r="A669" s="13" t="s">
        <v>796</v>
      </c>
      <c r="B669" s="13" t="s">
        <v>244</v>
      </c>
      <c r="C669" s="14">
        <v>45576</v>
      </c>
      <c r="D669" s="14">
        <v>45606</v>
      </c>
      <c r="E669" s="14"/>
      <c r="F669" s="15">
        <v>63685.22</v>
      </c>
      <c r="G669" s="15">
        <v>0</v>
      </c>
      <c r="H669" s="15">
        <f t="shared" si="50"/>
        <v>63685.22</v>
      </c>
      <c r="I669" s="13" t="str">
        <f t="shared" si="51"/>
        <v/>
      </c>
      <c r="J669" s="13" t="str">
        <f t="shared" ca="1" si="52"/>
        <v>Overdue</v>
      </c>
      <c r="K669" s="13">
        <f t="shared" ca="1" si="53"/>
        <v>650</v>
      </c>
      <c r="L669" s="13" t="str">
        <f t="shared" ca="1" si="54"/>
        <v>120+ Days</v>
      </c>
      <c r="M669" s="14">
        <v>45566</v>
      </c>
      <c r="N669" s="14"/>
    </row>
    <row r="670" spans="1:14" x14ac:dyDescent="0.25">
      <c r="A670" s="10" t="s">
        <v>797</v>
      </c>
      <c r="B670" s="10" t="s">
        <v>134</v>
      </c>
      <c r="C670" s="11">
        <v>45584</v>
      </c>
      <c r="D670" s="11">
        <v>45614</v>
      </c>
      <c r="E670" s="11">
        <v>45644</v>
      </c>
      <c r="F670" s="12">
        <v>26199.46</v>
      </c>
      <c r="G670" s="12">
        <v>26199.46</v>
      </c>
      <c r="H670" s="12">
        <f t="shared" si="50"/>
        <v>0</v>
      </c>
      <c r="I670" s="10">
        <f t="shared" si="51"/>
        <v>30</v>
      </c>
      <c r="J670" s="10" t="str">
        <f t="shared" ca="1" si="52"/>
        <v>Paid</v>
      </c>
      <c r="K670" s="10">
        <f t="shared" ca="1" si="53"/>
        <v>0</v>
      </c>
      <c r="L670" s="10" t="str">
        <f t="shared" si="54"/>
        <v>Paid</v>
      </c>
      <c r="M670" s="11">
        <v>45566</v>
      </c>
      <c r="N670" s="11">
        <v>45627</v>
      </c>
    </row>
    <row r="671" spans="1:14" x14ac:dyDescent="0.25">
      <c r="A671" s="13" t="s">
        <v>798</v>
      </c>
      <c r="B671" s="13" t="s">
        <v>76</v>
      </c>
      <c r="C671" s="14">
        <v>45586</v>
      </c>
      <c r="D671" s="14">
        <v>45616</v>
      </c>
      <c r="E671" s="14">
        <v>45620</v>
      </c>
      <c r="F671" s="15">
        <v>42886.1</v>
      </c>
      <c r="G671" s="15">
        <v>42886.1</v>
      </c>
      <c r="H671" s="15">
        <f t="shared" si="50"/>
        <v>0</v>
      </c>
      <c r="I671" s="13">
        <f t="shared" si="51"/>
        <v>4</v>
      </c>
      <c r="J671" s="13" t="str">
        <f t="shared" ca="1" si="52"/>
        <v>Paid</v>
      </c>
      <c r="K671" s="13">
        <f t="shared" ca="1" si="53"/>
        <v>0</v>
      </c>
      <c r="L671" s="13" t="str">
        <f t="shared" si="54"/>
        <v>Paid</v>
      </c>
      <c r="M671" s="14">
        <v>45566</v>
      </c>
      <c r="N671" s="14">
        <v>45597</v>
      </c>
    </row>
    <row r="672" spans="1:14" x14ac:dyDescent="0.25">
      <c r="A672" s="10" t="s">
        <v>799</v>
      </c>
      <c r="B672" s="10" t="s">
        <v>107</v>
      </c>
      <c r="C672" s="11">
        <v>45587</v>
      </c>
      <c r="D672" s="11">
        <v>45617</v>
      </c>
      <c r="E672" s="11">
        <v>45623</v>
      </c>
      <c r="F672" s="12">
        <v>85511.96</v>
      </c>
      <c r="G672" s="12">
        <v>85511.96</v>
      </c>
      <c r="H672" s="12">
        <f t="shared" si="50"/>
        <v>0</v>
      </c>
      <c r="I672" s="10">
        <f t="shared" si="51"/>
        <v>6</v>
      </c>
      <c r="J672" s="10" t="str">
        <f t="shared" ca="1" si="52"/>
        <v>Paid</v>
      </c>
      <c r="K672" s="10">
        <f t="shared" ca="1" si="53"/>
        <v>0</v>
      </c>
      <c r="L672" s="10" t="str">
        <f t="shared" si="54"/>
        <v>Paid</v>
      </c>
      <c r="M672" s="11">
        <v>45566</v>
      </c>
      <c r="N672" s="11">
        <v>45597</v>
      </c>
    </row>
    <row r="673" spans="1:14" x14ac:dyDescent="0.25">
      <c r="A673" s="13" t="s">
        <v>800</v>
      </c>
      <c r="B673" s="13" t="s">
        <v>271</v>
      </c>
      <c r="C673" s="14">
        <v>45585</v>
      </c>
      <c r="D673" s="14">
        <v>45615</v>
      </c>
      <c r="E673" s="14"/>
      <c r="F673" s="15">
        <v>40118.239999999998</v>
      </c>
      <c r="G673" s="15">
        <v>0</v>
      </c>
      <c r="H673" s="15">
        <f t="shared" si="50"/>
        <v>40118.239999999998</v>
      </c>
      <c r="I673" s="13" t="str">
        <f t="shared" si="51"/>
        <v/>
      </c>
      <c r="J673" s="13" t="str">
        <f t="shared" ca="1" si="52"/>
        <v>Overdue</v>
      </c>
      <c r="K673" s="13">
        <f t="shared" ca="1" si="53"/>
        <v>641</v>
      </c>
      <c r="L673" s="13" t="str">
        <f t="shared" ca="1" si="54"/>
        <v>120+ Days</v>
      </c>
      <c r="M673" s="14">
        <v>45566</v>
      </c>
      <c r="N673" s="14"/>
    </row>
    <row r="674" spans="1:14" x14ac:dyDescent="0.25">
      <c r="A674" s="10" t="s">
        <v>801</v>
      </c>
      <c r="B674" s="10" t="s">
        <v>115</v>
      </c>
      <c r="C674" s="11">
        <v>45576</v>
      </c>
      <c r="D674" s="11">
        <v>45606</v>
      </c>
      <c r="E674" s="11"/>
      <c r="F674" s="12">
        <v>38289.370000000003</v>
      </c>
      <c r="G674" s="12">
        <v>0</v>
      </c>
      <c r="H674" s="12">
        <f t="shared" si="50"/>
        <v>38289.370000000003</v>
      </c>
      <c r="I674" s="10" t="str">
        <f t="shared" si="51"/>
        <v/>
      </c>
      <c r="J674" s="10" t="str">
        <f t="shared" ca="1" si="52"/>
        <v>Overdue</v>
      </c>
      <c r="K674" s="10">
        <f t="shared" ca="1" si="53"/>
        <v>650</v>
      </c>
      <c r="L674" s="10" t="str">
        <f t="shared" ca="1" si="54"/>
        <v>120+ Days</v>
      </c>
      <c r="M674" s="11">
        <v>45566</v>
      </c>
      <c r="N674" s="11"/>
    </row>
    <row r="675" spans="1:14" x14ac:dyDescent="0.25">
      <c r="A675" s="13" t="s">
        <v>802</v>
      </c>
      <c r="B675" s="13" t="s">
        <v>125</v>
      </c>
      <c r="C675" s="14">
        <v>45576</v>
      </c>
      <c r="D675" s="14">
        <v>45606</v>
      </c>
      <c r="E675" s="14">
        <v>45609</v>
      </c>
      <c r="F675" s="15">
        <v>74167.679999999993</v>
      </c>
      <c r="G675" s="15">
        <v>74167.679999999993</v>
      </c>
      <c r="H675" s="15">
        <f t="shared" si="50"/>
        <v>0</v>
      </c>
      <c r="I675" s="13">
        <f t="shared" si="51"/>
        <v>3</v>
      </c>
      <c r="J675" s="13" t="str">
        <f t="shared" ca="1" si="52"/>
        <v>Paid</v>
      </c>
      <c r="K675" s="13">
        <f t="shared" ca="1" si="53"/>
        <v>0</v>
      </c>
      <c r="L675" s="13" t="str">
        <f t="shared" si="54"/>
        <v>Paid</v>
      </c>
      <c r="M675" s="14">
        <v>45566</v>
      </c>
      <c r="N675" s="14">
        <v>45597</v>
      </c>
    </row>
    <row r="676" spans="1:14" x14ac:dyDescent="0.25">
      <c r="A676" s="10" t="s">
        <v>803</v>
      </c>
      <c r="B676" s="10" t="s">
        <v>127</v>
      </c>
      <c r="C676" s="11">
        <v>45591</v>
      </c>
      <c r="D676" s="11">
        <v>45621</v>
      </c>
      <c r="E676" s="11">
        <v>45626</v>
      </c>
      <c r="F676" s="12">
        <v>27671.17</v>
      </c>
      <c r="G676" s="12">
        <v>27671.17</v>
      </c>
      <c r="H676" s="12">
        <f t="shared" si="50"/>
        <v>0</v>
      </c>
      <c r="I676" s="10">
        <f t="shared" si="51"/>
        <v>5</v>
      </c>
      <c r="J676" s="10" t="str">
        <f t="shared" ca="1" si="52"/>
        <v>Paid</v>
      </c>
      <c r="K676" s="10">
        <f t="shared" ca="1" si="53"/>
        <v>0</v>
      </c>
      <c r="L676" s="10" t="str">
        <f t="shared" si="54"/>
        <v>Paid</v>
      </c>
      <c r="M676" s="11">
        <v>45566</v>
      </c>
      <c r="N676" s="11">
        <v>45597</v>
      </c>
    </row>
    <row r="677" spans="1:14" x14ac:dyDescent="0.25">
      <c r="A677" s="13" t="s">
        <v>804</v>
      </c>
      <c r="B677" s="13" t="s">
        <v>271</v>
      </c>
      <c r="C677" s="14">
        <v>45589</v>
      </c>
      <c r="D677" s="14">
        <v>45619</v>
      </c>
      <c r="E677" s="14"/>
      <c r="F677" s="15">
        <v>22400.33</v>
      </c>
      <c r="G677" s="15">
        <v>0</v>
      </c>
      <c r="H677" s="15">
        <f t="shared" si="50"/>
        <v>22400.33</v>
      </c>
      <c r="I677" s="13" t="str">
        <f t="shared" si="51"/>
        <v/>
      </c>
      <c r="J677" s="13" t="str">
        <f t="shared" ca="1" si="52"/>
        <v>Overdue</v>
      </c>
      <c r="K677" s="13">
        <f t="shared" ca="1" si="53"/>
        <v>637</v>
      </c>
      <c r="L677" s="13" t="str">
        <f t="shared" ca="1" si="54"/>
        <v>120+ Days</v>
      </c>
      <c r="M677" s="14">
        <v>45566</v>
      </c>
      <c r="N677" s="14"/>
    </row>
    <row r="678" spans="1:14" x14ac:dyDescent="0.25">
      <c r="A678" s="10" t="s">
        <v>805</v>
      </c>
      <c r="B678" s="10" t="s">
        <v>85</v>
      </c>
      <c r="C678" s="11">
        <v>45566</v>
      </c>
      <c r="D678" s="11">
        <v>45596</v>
      </c>
      <c r="E678" s="11">
        <v>45616</v>
      </c>
      <c r="F678" s="12">
        <v>35030.28</v>
      </c>
      <c r="G678" s="12">
        <v>35030.28</v>
      </c>
      <c r="H678" s="12">
        <f t="shared" si="50"/>
        <v>0</v>
      </c>
      <c r="I678" s="10">
        <f t="shared" si="51"/>
        <v>20</v>
      </c>
      <c r="J678" s="10" t="str">
        <f t="shared" ca="1" si="52"/>
        <v>Paid</v>
      </c>
      <c r="K678" s="10">
        <f t="shared" ca="1" si="53"/>
        <v>0</v>
      </c>
      <c r="L678" s="10" t="str">
        <f t="shared" si="54"/>
        <v>Paid</v>
      </c>
      <c r="M678" s="11">
        <v>45566</v>
      </c>
      <c r="N678" s="11">
        <v>45597</v>
      </c>
    </row>
    <row r="679" spans="1:14" x14ac:dyDescent="0.25">
      <c r="A679" s="13" t="s">
        <v>806</v>
      </c>
      <c r="B679" s="13" t="s">
        <v>271</v>
      </c>
      <c r="C679" s="14">
        <v>45578</v>
      </c>
      <c r="D679" s="14">
        <v>45608</v>
      </c>
      <c r="E679" s="14"/>
      <c r="F679" s="15">
        <v>44808.94</v>
      </c>
      <c r="G679" s="15">
        <v>0</v>
      </c>
      <c r="H679" s="15">
        <f t="shared" si="50"/>
        <v>44808.94</v>
      </c>
      <c r="I679" s="13" t="str">
        <f t="shared" si="51"/>
        <v/>
      </c>
      <c r="J679" s="13" t="str">
        <f t="shared" ca="1" si="52"/>
        <v>Overdue</v>
      </c>
      <c r="K679" s="13">
        <f t="shared" ca="1" si="53"/>
        <v>648</v>
      </c>
      <c r="L679" s="13" t="str">
        <f t="shared" ca="1" si="54"/>
        <v>120+ Days</v>
      </c>
      <c r="M679" s="14">
        <v>45566</v>
      </c>
      <c r="N679" s="14"/>
    </row>
    <row r="680" spans="1:14" x14ac:dyDescent="0.25">
      <c r="A680" s="10" t="s">
        <v>807</v>
      </c>
      <c r="B680" s="10" t="s">
        <v>146</v>
      </c>
      <c r="C680" s="11">
        <v>45567</v>
      </c>
      <c r="D680" s="11">
        <v>45597</v>
      </c>
      <c r="E680" s="11">
        <v>45597</v>
      </c>
      <c r="F680" s="12">
        <v>13442.84</v>
      </c>
      <c r="G680" s="12">
        <v>13442.84</v>
      </c>
      <c r="H680" s="12">
        <f t="shared" si="50"/>
        <v>0</v>
      </c>
      <c r="I680" s="10">
        <f t="shared" si="51"/>
        <v>0</v>
      </c>
      <c r="J680" s="10" t="str">
        <f t="shared" ca="1" si="52"/>
        <v>Paid</v>
      </c>
      <c r="K680" s="10">
        <f t="shared" ca="1" si="53"/>
        <v>0</v>
      </c>
      <c r="L680" s="10" t="str">
        <f t="shared" si="54"/>
        <v>Paid</v>
      </c>
      <c r="M680" s="11">
        <v>45566</v>
      </c>
      <c r="N680" s="11">
        <v>45597</v>
      </c>
    </row>
    <row r="681" spans="1:14" x14ac:dyDescent="0.25">
      <c r="A681" s="13" t="s">
        <v>808</v>
      </c>
      <c r="B681" s="13" t="s">
        <v>224</v>
      </c>
      <c r="C681" s="14">
        <v>45572</v>
      </c>
      <c r="D681" s="14">
        <v>45602</v>
      </c>
      <c r="E681" s="14"/>
      <c r="F681" s="15">
        <v>37745.120000000003</v>
      </c>
      <c r="G681" s="15">
        <v>0</v>
      </c>
      <c r="H681" s="15">
        <f t="shared" si="50"/>
        <v>37745.120000000003</v>
      </c>
      <c r="I681" s="13" t="str">
        <f t="shared" si="51"/>
        <v/>
      </c>
      <c r="J681" s="13" t="str">
        <f t="shared" ca="1" si="52"/>
        <v>Overdue</v>
      </c>
      <c r="K681" s="13">
        <f t="shared" ca="1" si="53"/>
        <v>654</v>
      </c>
      <c r="L681" s="13" t="str">
        <f t="shared" ca="1" si="54"/>
        <v>120+ Days</v>
      </c>
      <c r="M681" s="14">
        <v>45566</v>
      </c>
      <c r="N681" s="14"/>
    </row>
    <row r="682" spans="1:14" x14ac:dyDescent="0.25">
      <c r="A682" s="10" t="s">
        <v>809</v>
      </c>
      <c r="B682" s="10" t="s">
        <v>169</v>
      </c>
      <c r="C682" s="11">
        <v>45576</v>
      </c>
      <c r="D682" s="11">
        <v>45606</v>
      </c>
      <c r="E682" s="11">
        <v>45619</v>
      </c>
      <c r="F682" s="12">
        <v>22633.919999999998</v>
      </c>
      <c r="G682" s="12">
        <v>22633.919999999998</v>
      </c>
      <c r="H682" s="12">
        <f t="shared" si="50"/>
        <v>0</v>
      </c>
      <c r="I682" s="10">
        <f t="shared" si="51"/>
        <v>13</v>
      </c>
      <c r="J682" s="10" t="str">
        <f t="shared" ca="1" si="52"/>
        <v>Paid</v>
      </c>
      <c r="K682" s="10">
        <f t="shared" ca="1" si="53"/>
        <v>0</v>
      </c>
      <c r="L682" s="10" t="str">
        <f t="shared" si="54"/>
        <v>Paid</v>
      </c>
      <c r="M682" s="11">
        <v>45566</v>
      </c>
      <c r="N682" s="11">
        <v>45597</v>
      </c>
    </row>
    <row r="683" spans="1:14" x14ac:dyDescent="0.25">
      <c r="A683" s="13" t="s">
        <v>810</v>
      </c>
      <c r="B683" s="13" t="s">
        <v>76</v>
      </c>
      <c r="C683" s="14">
        <v>45566</v>
      </c>
      <c r="D683" s="14">
        <v>45596</v>
      </c>
      <c r="E683" s="14">
        <v>45597</v>
      </c>
      <c r="F683" s="15">
        <v>21926.04</v>
      </c>
      <c r="G683" s="15">
        <v>21926.04</v>
      </c>
      <c r="H683" s="15">
        <f t="shared" si="50"/>
        <v>0</v>
      </c>
      <c r="I683" s="13">
        <f t="shared" si="51"/>
        <v>1</v>
      </c>
      <c r="J683" s="13" t="str">
        <f t="shared" ca="1" si="52"/>
        <v>Paid</v>
      </c>
      <c r="K683" s="13">
        <f t="shared" ca="1" si="53"/>
        <v>0</v>
      </c>
      <c r="L683" s="13" t="str">
        <f t="shared" si="54"/>
        <v>Paid</v>
      </c>
      <c r="M683" s="14">
        <v>45566</v>
      </c>
      <c r="N683" s="14">
        <v>45597</v>
      </c>
    </row>
    <row r="684" spans="1:14" x14ac:dyDescent="0.25">
      <c r="A684" s="10" t="s">
        <v>811</v>
      </c>
      <c r="B684" s="10" t="s">
        <v>150</v>
      </c>
      <c r="C684" s="11">
        <v>45572</v>
      </c>
      <c r="D684" s="11">
        <v>45602</v>
      </c>
      <c r="E684" s="11">
        <v>45603</v>
      </c>
      <c r="F684" s="12">
        <v>30260.29</v>
      </c>
      <c r="G684" s="12">
        <v>30260.29</v>
      </c>
      <c r="H684" s="12">
        <f t="shared" si="50"/>
        <v>0</v>
      </c>
      <c r="I684" s="10">
        <f t="shared" si="51"/>
        <v>1</v>
      </c>
      <c r="J684" s="10" t="str">
        <f t="shared" ca="1" si="52"/>
        <v>Paid</v>
      </c>
      <c r="K684" s="10">
        <f t="shared" ca="1" si="53"/>
        <v>0</v>
      </c>
      <c r="L684" s="10" t="str">
        <f t="shared" si="54"/>
        <v>Paid</v>
      </c>
      <c r="M684" s="11">
        <v>45566</v>
      </c>
      <c r="N684" s="11">
        <v>45597</v>
      </c>
    </row>
    <row r="685" spans="1:14" x14ac:dyDescent="0.25">
      <c r="A685" s="13" t="s">
        <v>812</v>
      </c>
      <c r="B685" s="13" t="s">
        <v>76</v>
      </c>
      <c r="C685" s="14">
        <v>45586</v>
      </c>
      <c r="D685" s="14">
        <v>45616</v>
      </c>
      <c r="E685" s="14">
        <v>45616</v>
      </c>
      <c r="F685" s="15">
        <v>32884.050000000003</v>
      </c>
      <c r="G685" s="15">
        <v>32884.050000000003</v>
      </c>
      <c r="H685" s="15">
        <f t="shared" si="50"/>
        <v>0</v>
      </c>
      <c r="I685" s="13">
        <f t="shared" si="51"/>
        <v>0</v>
      </c>
      <c r="J685" s="13" t="str">
        <f t="shared" ca="1" si="52"/>
        <v>Paid</v>
      </c>
      <c r="K685" s="13">
        <f t="shared" ca="1" si="53"/>
        <v>0</v>
      </c>
      <c r="L685" s="13" t="str">
        <f t="shared" si="54"/>
        <v>Paid</v>
      </c>
      <c r="M685" s="14">
        <v>45566</v>
      </c>
      <c r="N685" s="14">
        <v>45597</v>
      </c>
    </row>
    <row r="686" spans="1:14" x14ac:dyDescent="0.25">
      <c r="A686" s="10" t="s">
        <v>813</v>
      </c>
      <c r="B686" s="10" t="s">
        <v>119</v>
      </c>
      <c r="C686" s="11">
        <v>45571</v>
      </c>
      <c r="D686" s="11">
        <v>45601</v>
      </c>
      <c r="E686" s="11">
        <v>45670</v>
      </c>
      <c r="F686" s="12">
        <v>84102.2</v>
      </c>
      <c r="G686" s="12">
        <v>39540</v>
      </c>
      <c r="H686" s="12">
        <f t="shared" si="50"/>
        <v>44562.2</v>
      </c>
      <c r="I686" s="10">
        <f t="shared" si="51"/>
        <v>69</v>
      </c>
      <c r="J686" s="10" t="str">
        <f t="shared" ca="1" si="52"/>
        <v>Overdue</v>
      </c>
      <c r="K686" s="10">
        <f t="shared" ca="1" si="53"/>
        <v>655</v>
      </c>
      <c r="L686" s="10" t="str">
        <f t="shared" ca="1" si="54"/>
        <v>120+ Days</v>
      </c>
      <c r="M686" s="11">
        <v>45566</v>
      </c>
      <c r="N686" s="11">
        <v>45658</v>
      </c>
    </row>
    <row r="687" spans="1:14" x14ac:dyDescent="0.25">
      <c r="A687" s="13" t="s">
        <v>814</v>
      </c>
      <c r="B687" s="13" t="s">
        <v>74</v>
      </c>
      <c r="C687" s="14">
        <v>45580</v>
      </c>
      <c r="D687" s="14">
        <v>45610</v>
      </c>
      <c r="E687" s="14">
        <v>45640</v>
      </c>
      <c r="F687" s="15">
        <v>33463.5</v>
      </c>
      <c r="G687" s="15">
        <v>33463.5</v>
      </c>
      <c r="H687" s="15">
        <f t="shared" si="50"/>
        <v>0</v>
      </c>
      <c r="I687" s="13">
        <f t="shared" si="51"/>
        <v>30</v>
      </c>
      <c r="J687" s="13" t="str">
        <f t="shared" ca="1" si="52"/>
        <v>Paid</v>
      </c>
      <c r="K687" s="13">
        <f t="shared" ca="1" si="53"/>
        <v>0</v>
      </c>
      <c r="L687" s="13" t="str">
        <f t="shared" si="54"/>
        <v>Paid</v>
      </c>
      <c r="M687" s="14">
        <v>45566</v>
      </c>
      <c r="N687" s="14">
        <v>45627</v>
      </c>
    </row>
    <row r="688" spans="1:14" x14ac:dyDescent="0.25">
      <c r="A688" s="10" t="s">
        <v>815</v>
      </c>
      <c r="B688" s="10" t="s">
        <v>340</v>
      </c>
      <c r="C688" s="11">
        <v>45568</v>
      </c>
      <c r="D688" s="11">
        <v>45598</v>
      </c>
      <c r="E688" s="11"/>
      <c r="F688" s="12">
        <v>14394.8</v>
      </c>
      <c r="G688" s="12">
        <v>0</v>
      </c>
      <c r="H688" s="12">
        <f t="shared" si="50"/>
        <v>14394.8</v>
      </c>
      <c r="I688" s="10" t="str">
        <f t="shared" si="51"/>
        <v/>
      </c>
      <c r="J688" s="10" t="str">
        <f t="shared" ca="1" si="52"/>
        <v>Overdue</v>
      </c>
      <c r="K688" s="10">
        <f t="shared" ca="1" si="53"/>
        <v>658</v>
      </c>
      <c r="L688" s="10" t="str">
        <f t="shared" ca="1" si="54"/>
        <v>120+ Days</v>
      </c>
      <c r="M688" s="11">
        <v>45566</v>
      </c>
      <c r="N688" s="11"/>
    </row>
    <row r="689" spans="1:14" x14ac:dyDescent="0.25">
      <c r="A689" s="13" t="s">
        <v>816</v>
      </c>
      <c r="B689" s="13" t="s">
        <v>449</v>
      </c>
      <c r="C689" s="14">
        <v>45581</v>
      </c>
      <c r="D689" s="14">
        <v>45611</v>
      </c>
      <c r="E689" s="14"/>
      <c r="F689" s="15">
        <v>75212.679999999993</v>
      </c>
      <c r="G689" s="15">
        <v>0</v>
      </c>
      <c r="H689" s="15">
        <f t="shared" si="50"/>
        <v>75212.679999999993</v>
      </c>
      <c r="I689" s="13" t="str">
        <f t="shared" si="51"/>
        <v/>
      </c>
      <c r="J689" s="13" t="str">
        <f t="shared" ca="1" si="52"/>
        <v>Overdue</v>
      </c>
      <c r="K689" s="13">
        <f t="shared" ca="1" si="53"/>
        <v>645</v>
      </c>
      <c r="L689" s="13" t="str">
        <f t="shared" ca="1" si="54"/>
        <v>120+ Days</v>
      </c>
      <c r="M689" s="14">
        <v>45566</v>
      </c>
      <c r="N689" s="14"/>
    </row>
    <row r="690" spans="1:14" x14ac:dyDescent="0.25">
      <c r="A690" s="10" t="s">
        <v>817</v>
      </c>
      <c r="B690" s="10" t="s">
        <v>159</v>
      </c>
      <c r="C690" s="11">
        <v>45589</v>
      </c>
      <c r="D690" s="11">
        <v>45619</v>
      </c>
      <c r="E690" s="11">
        <v>45686</v>
      </c>
      <c r="F690" s="12">
        <v>26119.47</v>
      </c>
      <c r="G690" s="12">
        <v>26119.47</v>
      </c>
      <c r="H690" s="12">
        <f t="shared" si="50"/>
        <v>0</v>
      </c>
      <c r="I690" s="10">
        <f t="shared" si="51"/>
        <v>67</v>
      </c>
      <c r="J690" s="10" t="str">
        <f t="shared" ca="1" si="52"/>
        <v>Paid</v>
      </c>
      <c r="K690" s="10">
        <f t="shared" ca="1" si="53"/>
        <v>0</v>
      </c>
      <c r="L690" s="10" t="str">
        <f t="shared" si="54"/>
        <v>Paid</v>
      </c>
      <c r="M690" s="11">
        <v>45566</v>
      </c>
      <c r="N690" s="11">
        <v>45658</v>
      </c>
    </row>
    <row r="691" spans="1:14" x14ac:dyDescent="0.25">
      <c r="A691" s="13" t="s">
        <v>818</v>
      </c>
      <c r="B691" s="13" t="s">
        <v>184</v>
      </c>
      <c r="C691" s="14">
        <v>45575</v>
      </c>
      <c r="D691" s="14">
        <v>45605</v>
      </c>
      <c r="E691" s="14">
        <v>45652</v>
      </c>
      <c r="F691" s="15">
        <v>14529.52</v>
      </c>
      <c r="G691" s="15">
        <v>14529.52</v>
      </c>
      <c r="H691" s="15">
        <f t="shared" si="50"/>
        <v>0</v>
      </c>
      <c r="I691" s="13">
        <f t="shared" si="51"/>
        <v>47</v>
      </c>
      <c r="J691" s="13" t="str">
        <f t="shared" ca="1" si="52"/>
        <v>Paid</v>
      </c>
      <c r="K691" s="13">
        <f t="shared" ca="1" si="53"/>
        <v>0</v>
      </c>
      <c r="L691" s="13" t="str">
        <f t="shared" si="54"/>
        <v>Paid</v>
      </c>
      <c r="M691" s="14">
        <v>45566</v>
      </c>
      <c r="N691" s="14">
        <v>45627</v>
      </c>
    </row>
    <row r="692" spans="1:14" x14ac:dyDescent="0.25">
      <c r="A692" s="10" t="s">
        <v>819</v>
      </c>
      <c r="B692" s="10" t="s">
        <v>85</v>
      </c>
      <c r="C692" s="11">
        <v>45566</v>
      </c>
      <c r="D692" s="11">
        <v>45596</v>
      </c>
      <c r="E692" s="11">
        <v>45623</v>
      </c>
      <c r="F692" s="12">
        <v>18887.900000000001</v>
      </c>
      <c r="G692" s="12">
        <v>18887.900000000001</v>
      </c>
      <c r="H692" s="12">
        <f t="shared" si="50"/>
        <v>0</v>
      </c>
      <c r="I692" s="10">
        <f t="shared" si="51"/>
        <v>27</v>
      </c>
      <c r="J692" s="10" t="str">
        <f t="shared" ca="1" si="52"/>
        <v>Paid</v>
      </c>
      <c r="K692" s="10">
        <f t="shared" ca="1" si="53"/>
        <v>0</v>
      </c>
      <c r="L692" s="10" t="str">
        <f t="shared" si="54"/>
        <v>Paid</v>
      </c>
      <c r="M692" s="11">
        <v>45566</v>
      </c>
      <c r="N692" s="11">
        <v>45597</v>
      </c>
    </row>
    <row r="693" spans="1:14" x14ac:dyDescent="0.25">
      <c r="A693" s="13" t="s">
        <v>820</v>
      </c>
      <c r="B693" s="13" t="s">
        <v>127</v>
      </c>
      <c r="C693" s="14">
        <v>45585</v>
      </c>
      <c r="D693" s="14">
        <v>45615</v>
      </c>
      <c r="E693" s="14">
        <v>45636</v>
      </c>
      <c r="F693" s="15">
        <v>31221.3</v>
      </c>
      <c r="G693" s="15">
        <v>31221.3</v>
      </c>
      <c r="H693" s="15">
        <f t="shared" si="50"/>
        <v>0</v>
      </c>
      <c r="I693" s="13">
        <f t="shared" si="51"/>
        <v>21</v>
      </c>
      <c r="J693" s="13" t="str">
        <f t="shared" ca="1" si="52"/>
        <v>Paid</v>
      </c>
      <c r="K693" s="13">
        <f t="shared" ca="1" si="53"/>
        <v>0</v>
      </c>
      <c r="L693" s="13" t="str">
        <f t="shared" si="54"/>
        <v>Paid</v>
      </c>
      <c r="M693" s="14">
        <v>45566</v>
      </c>
      <c r="N693" s="14">
        <v>45627</v>
      </c>
    </row>
    <row r="694" spans="1:14" x14ac:dyDescent="0.25">
      <c r="A694" s="10" t="s">
        <v>821</v>
      </c>
      <c r="B694" s="10" t="s">
        <v>271</v>
      </c>
      <c r="C694" s="11">
        <v>45580</v>
      </c>
      <c r="D694" s="11">
        <v>45610</v>
      </c>
      <c r="E694" s="11">
        <v>45625</v>
      </c>
      <c r="F694" s="12">
        <v>41361.120000000003</v>
      </c>
      <c r="G694" s="12">
        <v>41361.120000000003</v>
      </c>
      <c r="H694" s="12">
        <f t="shared" si="50"/>
        <v>0</v>
      </c>
      <c r="I694" s="10">
        <f t="shared" si="51"/>
        <v>15</v>
      </c>
      <c r="J694" s="10" t="str">
        <f t="shared" ca="1" si="52"/>
        <v>Paid</v>
      </c>
      <c r="K694" s="10">
        <f t="shared" ca="1" si="53"/>
        <v>0</v>
      </c>
      <c r="L694" s="10" t="str">
        <f t="shared" si="54"/>
        <v>Paid</v>
      </c>
      <c r="M694" s="11">
        <v>45566</v>
      </c>
      <c r="N694" s="11">
        <v>45597</v>
      </c>
    </row>
    <row r="695" spans="1:14" x14ac:dyDescent="0.25">
      <c r="A695" s="13" t="s">
        <v>822</v>
      </c>
      <c r="B695" s="13" t="s">
        <v>70</v>
      </c>
      <c r="C695" s="14">
        <v>45584</v>
      </c>
      <c r="D695" s="14">
        <v>45614</v>
      </c>
      <c r="E695" s="14">
        <v>45633</v>
      </c>
      <c r="F695" s="15">
        <v>61173.279999999999</v>
      </c>
      <c r="G695" s="15">
        <v>61173.279999999999</v>
      </c>
      <c r="H695" s="15">
        <f t="shared" si="50"/>
        <v>0</v>
      </c>
      <c r="I695" s="13">
        <f t="shared" si="51"/>
        <v>19</v>
      </c>
      <c r="J695" s="13" t="str">
        <f t="shared" ca="1" si="52"/>
        <v>Paid</v>
      </c>
      <c r="K695" s="13">
        <f t="shared" ca="1" si="53"/>
        <v>0</v>
      </c>
      <c r="L695" s="13" t="str">
        <f t="shared" si="54"/>
        <v>Paid</v>
      </c>
      <c r="M695" s="14">
        <v>45566</v>
      </c>
      <c r="N695" s="14">
        <v>45627</v>
      </c>
    </row>
    <row r="696" spans="1:14" x14ac:dyDescent="0.25">
      <c r="A696" s="10" t="s">
        <v>823</v>
      </c>
      <c r="B696" s="10" t="s">
        <v>87</v>
      </c>
      <c r="C696" s="11">
        <v>45581</v>
      </c>
      <c r="D696" s="11">
        <v>45611</v>
      </c>
      <c r="E696" s="11">
        <v>45624</v>
      </c>
      <c r="F696" s="12">
        <v>42872.06</v>
      </c>
      <c r="G696" s="12">
        <v>42872.06</v>
      </c>
      <c r="H696" s="12">
        <f t="shared" si="50"/>
        <v>0</v>
      </c>
      <c r="I696" s="10">
        <f t="shared" si="51"/>
        <v>13</v>
      </c>
      <c r="J696" s="10" t="str">
        <f t="shared" ca="1" si="52"/>
        <v>Paid</v>
      </c>
      <c r="K696" s="10">
        <f t="shared" ca="1" si="53"/>
        <v>0</v>
      </c>
      <c r="L696" s="10" t="str">
        <f t="shared" si="54"/>
        <v>Paid</v>
      </c>
      <c r="M696" s="11">
        <v>45566</v>
      </c>
      <c r="N696" s="11">
        <v>45597</v>
      </c>
    </row>
    <row r="697" spans="1:14" x14ac:dyDescent="0.25">
      <c r="A697" s="13" t="s">
        <v>824</v>
      </c>
      <c r="B697" s="13" t="s">
        <v>134</v>
      </c>
      <c r="C697" s="14">
        <v>45591</v>
      </c>
      <c r="D697" s="14">
        <v>45621</v>
      </c>
      <c r="E697" s="14">
        <v>45626</v>
      </c>
      <c r="F697" s="15">
        <v>8000</v>
      </c>
      <c r="G697" s="15">
        <v>8000</v>
      </c>
      <c r="H697" s="15">
        <f t="shared" si="50"/>
        <v>0</v>
      </c>
      <c r="I697" s="13">
        <f t="shared" si="51"/>
        <v>5</v>
      </c>
      <c r="J697" s="13" t="str">
        <f t="shared" ca="1" si="52"/>
        <v>Paid</v>
      </c>
      <c r="K697" s="13">
        <f t="shared" ca="1" si="53"/>
        <v>0</v>
      </c>
      <c r="L697" s="13" t="str">
        <f t="shared" si="54"/>
        <v>Paid</v>
      </c>
      <c r="M697" s="14">
        <v>45566</v>
      </c>
      <c r="N697" s="14">
        <v>45597</v>
      </c>
    </row>
    <row r="698" spans="1:14" x14ac:dyDescent="0.25">
      <c r="A698" s="10" t="s">
        <v>825</v>
      </c>
      <c r="B698" s="10" t="s">
        <v>222</v>
      </c>
      <c r="C698" s="11">
        <v>45609</v>
      </c>
      <c r="D698" s="11">
        <v>45639</v>
      </c>
      <c r="E698" s="11">
        <v>45682</v>
      </c>
      <c r="F698" s="12">
        <v>24165.05</v>
      </c>
      <c r="G698" s="12">
        <v>24165.05</v>
      </c>
      <c r="H698" s="12">
        <f t="shared" si="50"/>
        <v>0</v>
      </c>
      <c r="I698" s="10">
        <f t="shared" si="51"/>
        <v>43</v>
      </c>
      <c r="J698" s="10" t="str">
        <f t="shared" ca="1" si="52"/>
        <v>Paid</v>
      </c>
      <c r="K698" s="10">
        <f t="shared" ca="1" si="53"/>
        <v>0</v>
      </c>
      <c r="L698" s="10" t="str">
        <f t="shared" si="54"/>
        <v>Paid</v>
      </c>
      <c r="M698" s="11">
        <v>45597</v>
      </c>
      <c r="N698" s="11">
        <v>45658</v>
      </c>
    </row>
    <row r="699" spans="1:14" x14ac:dyDescent="0.25">
      <c r="A699" s="13" t="s">
        <v>826</v>
      </c>
      <c r="B699" s="13" t="s">
        <v>125</v>
      </c>
      <c r="C699" s="14">
        <v>45613</v>
      </c>
      <c r="D699" s="14">
        <v>45643</v>
      </c>
      <c r="E699" s="14">
        <v>45643</v>
      </c>
      <c r="F699" s="15">
        <v>72261.81</v>
      </c>
      <c r="G699" s="15">
        <v>72261.81</v>
      </c>
      <c r="H699" s="15">
        <f t="shared" si="50"/>
        <v>0</v>
      </c>
      <c r="I699" s="13">
        <f t="shared" si="51"/>
        <v>0</v>
      </c>
      <c r="J699" s="13" t="str">
        <f t="shared" ca="1" si="52"/>
        <v>Paid</v>
      </c>
      <c r="K699" s="13">
        <f t="shared" ca="1" si="53"/>
        <v>0</v>
      </c>
      <c r="L699" s="13" t="str">
        <f t="shared" si="54"/>
        <v>Paid</v>
      </c>
      <c r="M699" s="14">
        <v>45597</v>
      </c>
      <c r="N699" s="14">
        <v>45627</v>
      </c>
    </row>
    <row r="700" spans="1:14" x14ac:dyDescent="0.25">
      <c r="A700" s="10" t="s">
        <v>827</v>
      </c>
      <c r="B700" s="10" t="s">
        <v>85</v>
      </c>
      <c r="C700" s="11">
        <v>45597</v>
      </c>
      <c r="D700" s="11">
        <v>45627</v>
      </c>
      <c r="E700" s="11">
        <v>45649</v>
      </c>
      <c r="F700" s="12">
        <v>57663</v>
      </c>
      <c r="G700" s="12">
        <v>57663</v>
      </c>
      <c r="H700" s="12">
        <f t="shared" si="50"/>
        <v>0</v>
      </c>
      <c r="I700" s="10">
        <f t="shared" si="51"/>
        <v>22</v>
      </c>
      <c r="J700" s="10" t="str">
        <f t="shared" ca="1" si="52"/>
        <v>Paid</v>
      </c>
      <c r="K700" s="10">
        <f t="shared" ca="1" si="53"/>
        <v>0</v>
      </c>
      <c r="L700" s="10" t="str">
        <f t="shared" si="54"/>
        <v>Paid</v>
      </c>
      <c r="M700" s="11">
        <v>45597</v>
      </c>
      <c r="N700" s="11">
        <v>45627</v>
      </c>
    </row>
    <row r="701" spans="1:14" x14ac:dyDescent="0.25">
      <c r="A701" s="13" t="s">
        <v>828</v>
      </c>
      <c r="B701" s="13" t="s">
        <v>314</v>
      </c>
      <c r="C701" s="14">
        <v>45598</v>
      </c>
      <c r="D701" s="14">
        <v>45628</v>
      </c>
      <c r="E701" s="14">
        <v>45672</v>
      </c>
      <c r="F701" s="15">
        <v>15670.11</v>
      </c>
      <c r="G701" s="15">
        <v>15670.11</v>
      </c>
      <c r="H701" s="15">
        <f t="shared" si="50"/>
        <v>0</v>
      </c>
      <c r="I701" s="13">
        <f t="shared" si="51"/>
        <v>44</v>
      </c>
      <c r="J701" s="13" t="str">
        <f t="shared" ca="1" si="52"/>
        <v>Paid</v>
      </c>
      <c r="K701" s="13">
        <f t="shared" ca="1" si="53"/>
        <v>0</v>
      </c>
      <c r="L701" s="13" t="str">
        <f t="shared" si="54"/>
        <v>Paid</v>
      </c>
      <c r="M701" s="14">
        <v>45597</v>
      </c>
      <c r="N701" s="14">
        <v>45658</v>
      </c>
    </row>
    <row r="702" spans="1:14" x14ac:dyDescent="0.25">
      <c r="A702" s="10" t="s">
        <v>829</v>
      </c>
      <c r="B702" s="10" t="s">
        <v>79</v>
      </c>
      <c r="C702" s="11">
        <v>45603</v>
      </c>
      <c r="D702" s="11">
        <v>45633</v>
      </c>
      <c r="E702" s="11">
        <v>45672</v>
      </c>
      <c r="F702" s="12">
        <v>54247.8</v>
      </c>
      <c r="G702" s="12">
        <v>54247.8</v>
      </c>
      <c r="H702" s="12">
        <f t="shared" si="50"/>
        <v>0</v>
      </c>
      <c r="I702" s="10">
        <f t="shared" si="51"/>
        <v>39</v>
      </c>
      <c r="J702" s="10" t="str">
        <f t="shared" ca="1" si="52"/>
        <v>Paid</v>
      </c>
      <c r="K702" s="10">
        <f t="shared" ca="1" si="53"/>
        <v>0</v>
      </c>
      <c r="L702" s="10" t="str">
        <f t="shared" si="54"/>
        <v>Paid</v>
      </c>
      <c r="M702" s="11">
        <v>45597</v>
      </c>
      <c r="N702" s="11">
        <v>45658</v>
      </c>
    </row>
    <row r="703" spans="1:14" x14ac:dyDescent="0.25">
      <c r="A703" s="13" t="s">
        <v>830</v>
      </c>
      <c r="B703" s="13" t="s">
        <v>119</v>
      </c>
      <c r="C703" s="14">
        <v>45608</v>
      </c>
      <c r="D703" s="14">
        <v>45638</v>
      </c>
      <c r="E703" s="14"/>
      <c r="F703" s="15">
        <v>61672.08</v>
      </c>
      <c r="G703" s="15">
        <v>0</v>
      </c>
      <c r="H703" s="15">
        <f t="shared" si="50"/>
        <v>61672.08</v>
      </c>
      <c r="I703" s="13" t="str">
        <f t="shared" si="51"/>
        <v/>
      </c>
      <c r="J703" s="13" t="str">
        <f t="shared" ca="1" si="52"/>
        <v>Overdue</v>
      </c>
      <c r="K703" s="13">
        <f t="shared" ca="1" si="53"/>
        <v>618</v>
      </c>
      <c r="L703" s="13" t="str">
        <f t="shared" ca="1" si="54"/>
        <v>120+ Days</v>
      </c>
      <c r="M703" s="14">
        <v>45597</v>
      </c>
      <c r="N703" s="14"/>
    </row>
    <row r="704" spans="1:14" x14ac:dyDescent="0.25">
      <c r="A704" s="10" t="s">
        <v>831</v>
      </c>
      <c r="B704" s="10" t="s">
        <v>230</v>
      </c>
      <c r="C704" s="11">
        <v>45623</v>
      </c>
      <c r="D704" s="11">
        <v>45653</v>
      </c>
      <c r="E704" s="11">
        <v>45653</v>
      </c>
      <c r="F704" s="12">
        <v>28468.81</v>
      </c>
      <c r="G704" s="12">
        <v>28468.81</v>
      </c>
      <c r="H704" s="12">
        <f t="shared" si="50"/>
        <v>0</v>
      </c>
      <c r="I704" s="10">
        <f t="shared" si="51"/>
        <v>0</v>
      </c>
      <c r="J704" s="10" t="str">
        <f t="shared" ca="1" si="52"/>
        <v>Paid</v>
      </c>
      <c r="K704" s="10">
        <f t="shared" ca="1" si="53"/>
        <v>0</v>
      </c>
      <c r="L704" s="10" t="str">
        <f t="shared" si="54"/>
        <v>Paid</v>
      </c>
      <c r="M704" s="11">
        <v>45597</v>
      </c>
      <c r="N704" s="11">
        <v>45627</v>
      </c>
    </row>
    <row r="705" spans="1:14" x14ac:dyDescent="0.25">
      <c r="A705" s="13" t="s">
        <v>832</v>
      </c>
      <c r="B705" s="13" t="s">
        <v>95</v>
      </c>
      <c r="C705" s="14">
        <v>45623</v>
      </c>
      <c r="D705" s="14">
        <v>45653</v>
      </c>
      <c r="E705" s="14"/>
      <c r="F705" s="15">
        <v>26063.11</v>
      </c>
      <c r="G705" s="15">
        <v>0</v>
      </c>
      <c r="H705" s="15">
        <f t="shared" si="50"/>
        <v>26063.11</v>
      </c>
      <c r="I705" s="13" t="str">
        <f t="shared" si="51"/>
        <v/>
      </c>
      <c r="J705" s="13" t="str">
        <f t="shared" ca="1" si="52"/>
        <v>Overdue</v>
      </c>
      <c r="K705" s="13">
        <f t="shared" ca="1" si="53"/>
        <v>603</v>
      </c>
      <c r="L705" s="13" t="str">
        <f t="shared" ca="1" si="54"/>
        <v>120+ Days</v>
      </c>
      <c r="M705" s="14">
        <v>45597</v>
      </c>
      <c r="N705" s="14"/>
    </row>
    <row r="706" spans="1:14" x14ac:dyDescent="0.25">
      <c r="A706" s="10" t="s">
        <v>833</v>
      </c>
      <c r="B706" s="10" t="s">
        <v>74</v>
      </c>
      <c r="C706" s="11">
        <v>45600</v>
      </c>
      <c r="D706" s="11">
        <v>45630</v>
      </c>
      <c r="E706" s="11">
        <v>45651</v>
      </c>
      <c r="F706" s="12">
        <v>60122.68</v>
      </c>
      <c r="G706" s="12">
        <v>60122.68</v>
      </c>
      <c r="H706" s="12">
        <f t="shared" ref="H706:H769" si="55">MAX(0,F706-G706)</f>
        <v>0</v>
      </c>
      <c r="I706" s="10">
        <f t="shared" ref="I706:I769" si="56">IF(E706="","",MAX(0,E706-D706))</f>
        <v>21</v>
      </c>
      <c r="J706" s="10" t="str">
        <f t="shared" ref="J706:J769" ca="1" si="57">IF(H706=0,"Paid",IF(D706&lt;TODAY(),"Overdue","Open"))</f>
        <v>Paid</v>
      </c>
      <c r="K706" s="10">
        <f t="shared" ref="K706:K769" ca="1" si="58">IF(H706=0,0,MAX(0,TODAY()-D706))</f>
        <v>0</v>
      </c>
      <c r="L706" s="10" t="str">
        <f t="shared" ref="L706:L769" si="59">IF(H706=0,"Paid",IF(K706&lt;=30,"0-30 Days",IF(K706&lt;=60,"31-60 Days",IF(K706&lt;=90,"61-90 Days",IF(K706&lt;=120,"91-120 Days","120+ Days")))))</f>
        <v>Paid</v>
      </c>
      <c r="M706" s="11">
        <v>45597</v>
      </c>
      <c r="N706" s="11">
        <v>45627</v>
      </c>
    </row>
    <row r="707" spans="1:14" x14ac:dyDescent="0.25">
      <c r="A707" s="13" t="s">
        <v>834</v>
      </c>
      <c r="B707" s="13" t="s">
        <v>182</v>
      </c>
      <c r="C707" s="14">
        <v>45602</v>
      </c>
      <c r="D707" s="14">
        <v>45632</v>
      </c>
      <c r="E707" s="14">
        <v>45636</v>
      </c>
      <c r="F707" s="15">
        <v>52427.66</v>
      </c>
      <c r="G707" s="15">
        <v>52427.66</v>
      </c>
      <c r="H707" s="15">
        <f t="shared" si="55"/>
        <v>0</v>
      </c>
      <c r="I707" s="13">
        <f t="shared" si="56"/>
        <v>4</v>
      </c>
      <c r="J707" s="13" t="str">
        <f t="shared" ca="1" si="57"/>
        <v>Paid</v>
      </c>
      <c r="K707" s="13">
        <f t="shared" ca="1" si="58"/>
        <v>0</v>
      </c>
      <c r="L707" s="13" t="str">
        <f t="shared" si="59"/>
        <v>Paid</v>
      </c>
      <c r="M707" s="14">
        <v>45597</v>
      </c>
      <c r="N707" s="14">
        <v>45627</v>
      </c>
    </row>
    <row r="708" spans="1:14" x14ac:dyDescent="0.25">
      <c r="A708" s="10" t="s">
        <v>835</v>
      </c>
      <c r="B708" s="10" t="s">
        <v>340</v>
      </c>
      <c r="C708" s="11">
        <v>45610</v>
      </c>
      <c r="D708" s="11">
        <v>45640</v>
      </c>
      <c r="E708" s="11">
        <v>45661</v>
      </c>
      <c r="F708" s="12">
        <v>162609.57999999999</v>
      </c>
      <c r="G708" s="12">
        <v>162609.57999999999</v>
      </c>
      <c r="H708" s="12">
        <f t="shared" si="55"/>
        <v>0</v>
      </c>
      <c r="I708" s="10">
        <f t="shared" si="56"/>
        <v>21</v>
      </c>
      <c r="J708" s="10" t="str">
        <f t="shared" ca="1" si="57"/>
        <v>Paid</v>
      </c>
      <c r="K708" s="10">
        <f t="shared" ca="1" si="58"/>
        <v>0</v>
      </c>
      <c r="L708" s="10" t="str">
        <f t="shared" si="59"/>
        <v>Paid</v>
      </c>
      <c r="M708" s="11">
        <v>45597</v>
      </c>
      <c r="N708" s="11">
        <v>45658</v>
      </c>
    </row>
    <row r="709" spans="1:14" x14ac:dyDescent="0.25">
      <c r="A709" s="13" t="s">
        <v>836</v>
      </c>
      <c r="B709" s="13" t="s">
        <v>101</v>
      </c>
      <c r="C709" s="14">
        <v>45604</v>
      </c>
      <c r="D709" s="14">
        <v>45634</v>
      </c>
      <c r="E709" s="14">
        <v>45684</v>
      </c>
      <c r="F709" s="15">
        <v>49316.959999999999</v>
      </c>
      <c r="G709" s="15">
        <v>49316.959999999999</v>
      </c>
      <c r="H709" s="15">
        <f t="shared" si="55"/>
        <v>0</v>
      </c>
      <c r="I709" s="13">
        <f t="shared" si="56"/>
        <v>50</v>
      </c>
      <c r="J709" s="13" t="str">
        <f t="shared" ca="1" si="57"/>
        <v>Paid</v>
      </c>
      <c r="K709" s="13">
        <f t="shared" ca="1" si="58"/>
        <v>0</v>
      </c>
      <c r="L709" s="13" t="str">
        <f t="shared" si="59"/>
        <v>Paid</v>
      </c>
      <c r="M709" s="14">
        <v>45597</v>
      </c>
      <c r="N709" s="14">
        <v>45658</v>
      </c>
    </row>
    <row r="710" spans="1:14" x14ac:dyDescent="0.25">
      <c r="A710" s="10" t="s">
        <v>837</v>
      </c>
      <c r="B710" s="10" t="s">
        <v>169</v>
      </c>
      <c r="C710" s="11">
        <v>45617</v>
      </c>
      <c r="D710" s="11">
        <v>45647</v>
      </c>
      <c r="E710" s="11">
        <v>45659</v>
      </c>
      <c r="F710" s="12">
        <v>50291.78</v>
      </c>
      <c r="G710" s="12">
        <v>50291.78</v>
      </c>
      <c r="H710" s="12">
        <f t="shared" si="55"/>
        <v>0</v>
      </c>
      <c r="I710" s="10">
        <f t="shared" si="56"/>
        <v>12</v>
      </c>
      <c r="J710" s="10" t="str">
        <f t="shared" ca="1" si="57"/>
        <v>Paid</v>
      </c>
      <c r="K710" s="10">
        <f t="shared" ca="1" si="58"/>
        <v>0</v>
      </c>
      <c r="L710" s="10" t="str">
        <f t="shared" si="59"/>
        <v>Paid</v>
      </c>
      <c r="M710" s="11">
        <v>45597</v>
      </c>
      <c r="N710" s="11">
        <v>45658</v>
      </c>
    </row>
    <row r="711" spans="1:14" x14ac:dyDescent="0.25">
      <c r="A711" s="13" t="s">
        <v>838</v>
      </c>
      <c r="B711" s="13" t="s">
        <v>159</v>
      </c>
      <c r="C711" s="14">
        <v>45602</v>
      </c>
      <c r="D711" s="14">
        <v>45632</v>
      </c>
      <c r="E711" s="14">
        <v>45696</v>
      </c>
      <c r="F711" s="15">
        <v>40213.519999999997</v>
      </c>
      <c r="G711" s="15">
        <v>40213.519999999997</v>
      </c>
      <c r="H711" s="15">
        <f t="shared" si="55"/>
        <v>0</v>
      </c>
      <c r="I711" s="13">
        <f t="shared" si="56"/>
        <v>64</v>
      </c>
      <c r="J711" s="13" t="str">
        <f t="shared" ca="1" si="57"/>
        <v>Paid</v>
      </c>
      <c r="K711" s="13">
        <f t="shared" ca="1" si="58"/>
        <v>0</v>
      </c>
      <c r="L711" s="13" t="str">
        <f t="shared" si="59"/>
        <v>Paid</v>
      </c>
      <c r="M711" s="14">
        <v>45597</v>
      </c>
      <c r="N711" s="14">
        <v>45689</v>
      </c>
    </row>
    <row r="712" spans="1:14" x14ac:dyDescent="0.25">
      <c r="A712" s="10" t="s">
        <v>839</v>
      </c>
      <c r="B712" s="10" t="s">
        <v>97</v>
      </c>
      <c r="C712" s="11">
        <v>45604</v>
      </c>
      <c r="D712" s="11">
        <v>45634</v>
      </c>
      <c r="E712" s="11">
        <v>45651</v>
      </c>
      <c r="F712" s="12">
        <v>29815.51</v>
      </c>
      <c r="G712" s="12">
        <v>12054.27</v>
      </c>
      <c r="H712" s="12">
        <f t="shared" si="55"/>
        <v>17761.239999999998</v>
      </c>
      <c r="I712" s="10">
        <f t="shared" si="56"/>
        <v>17</v>
      </c>
      <c r="J712" s="10" t="str">
        <f t="shared" ca="1" si="57"/>
        <v>Overdue</v>
      </c>
      <c r="K712" s="10">
        <f t="shared" ca="1" si="58"/>
        <v>622</v>
      </c>
      <c r="L712" s="10" t="str">
        <f t="shared" ca="1" si="59"/>
        <v>120+ Days</v>
      </c>
      <c r="M712" s="11">
        <v>45597</v>
      </c>
      <c r="N712" s="11">
        <v>45627</v>
      </c>
    </row>
    <row r="713" spans="1:14" x14ac:dyDescent="0.25">
      <c r="A713" s="13" t="s">
        <v>840</v>
      </c>
      <c r="B713" s="13" t="s">
        <v>131</v>
      </c>
      <c r="C713" s="14">
        <v>45608</v>
      </c>
      <c r="D713" s="14">
        <v>45638</v>
      </c>
      <c r="E713" s="14">
        <v>45661</v>
      </c>
      <c r="F713" s="15">
        <v>24780.49</v>
      </c>
      <c r="G713" s="15">
        <v>24780.49</v>
      </c>
      <c r="H713" s="15">
        <f t="shared" si="55"/>
        <v>0</v>
      </c>
      <c r="I713" s="13">
        <f t="shared" si="56"/>
        <v>23</v>
      </c>
      <c r="J713" s="13" t="str">
        <f t="shared" ca="1" si="57"/>
        <v>Paid</v>
      </c>
      <c r="K713" s="13">
        <f t="shared" ca="1" si="58"/>
        <v>0</v>
      </c>
      <c r="L713" s="13" t="str">
        <f t="shared" si="59"/>
        <v>Paid</v>
      </c>
      <c r="M713" s="14">
        <v>45597</v>
      </c>
      <c r="N713" s="14">
        <v>45658</v>
      </c>
    </row>
    <row r="714" spans="1:14" x14ac:dyDescent="0.25">
      <c r="A714" s="10" t="s">
        <v>841</v>
      </c>
      <c r="B714" s="10" t="s">
        <v>180</v>
      </c>
      <c r="C714" s="11">
        <v>45602</v>
      </c>
      <c r="D714" s="11">
        <v>45632</v>
      </c>
      <c r="E714" s="11">
        <v>45644</v>
      </c>
      <c r="F714" s="12">
        <v>27859.57</v>
      </c>
      <c r="G714" s="12">
        <v>21561.63</v>
      </c>
      <c r="H714" s="12">
        <f t="shared" si="55"/>
        <v>6297.9399999999987</v>
      </c>
      <c r="I714" s="10">
        <f t="shared" si="56"/>
        <v>12</v>
      </c>
      <c r="J714" s="10" t="str">
        <f t="shared" ca="1" si="57"/>
        <v>Overdue</v>
      </c>
      <c r="K714" s="10">
        <f t="shared" ca="1" si="58"/>
        <v>624</v>
      </c>
      <c r="L714" s="10" t="str">
        <f t="shared" ca="1" si="59"/>
        <v>120+ Days</v>
      </c>
      <c r="M714" s="11">
        <v>45597</v>
      </c>
      <c r="N714" s="11">
        <v>45627</v>
      </c>
    </row>
    <row r="715" spans="1:14" x14ac:dyDescent="0.25">
      <c r="A715" s="13" t="s">
        <v>842</v>
      </c>
      <c r="B715" s="13" t="s">
        <v>83</v>
      </c>
      <c r="C715" s="14">
        <v>45617</v>
      </c>
      <c r="D715" s="14">
        <v>45647</v>
      </c>
      <c r="E715" s="14">
        <v>45655</v>
      </c>
      <c r="F715" s="15">
        <v>52331.27</v>
      </c>
      <c r="G715" s="15">
        <v>27545.46</v>
      </c>
      <c r="H715" s="15">
        <f t="shared" si="55"/>
        <v>24785.809999999998</v>
      </c>
      <c r="I715" s="13">
        <f t="shared" si="56"/>
        <v>8</v>
      </c>
      <c r="J715" s="13" t="str">
        <f t="shared" ca="1" si="57"/>
        <v>Overdue</v>
      </c>
      <c r="K715" s="13">
        <f t="shared" ca="1" si="58"/>
        <v>609</v>
      </c>
      <c r="L715" s="13" t="str">
        <f t="shared" ca="1" si="59"/>
        <v>120+ Days</v>
      </c>
      <c r="M715" s="14">
        <v>45597</v>
      </c>
      <c r="N715" s="14">
        <v>45627</v>
      </c>
    </row>
    <row r="716" spans="1:14" x14ac:dyDescent="0.25">
      <c r="A716" s="10" t="s">
        <v>843</v>
      </c>
      <c r="B716" s="10" t="s">
        <v>101</v>
      </c>
      <c r="C716" s="11">
        <v>45619</v>
      </c>
      <c r="D716" s="11">
        <v>45649</v>
      </c>
      <c r="E716" s="11">
        <v>45716</v>
      </c>
      <c r="F716" s="12">
        <v>61750.21</v>
      </c>
      <c r="G716" s="12">
        <v>22150.57</v>
      </c>
      <c r="H716" s="12">
        <f t="shared" si="55"/>
        <v>39599.64</v>
      </c>
      <c r="I716" s="10">
        <f t="shared" si="56"/>
        <v>67</v>
      </c>
      <c r="J716" s="10" t="str">
        <f t="shared" ca="1" si="57"/>
        <v>Overdue</v>
      </c>
      <c r="K716" s="10">
        <f t="shared" ca="1" si="58"/>
        <v>607</v>
      </c>
      <c r="L716" s="10" t="str">
        <f t="shared" ca="1" si="59"/>
        <v>120+ Days</v>
      </c>
      <c r="M716" s="11">
        <v>45597</v>
      </c>
      <c r="N716" s="11">
        <v>45689</v>
      </c>
    </row>
    <row r="717" spans="1:14" x14ac:dyDescent="0.25">
      <c r="A717" s="13" t="s">
        <v>844</v>
      </c>
      <c r="B717" s="13" t="s">
        <v>72</v>
      </c>
      <c r="C717" s="14">
        <v>45600</v>
      </c>
      <c r="D717" s="14">
        <v>45630</v>
      </c>
      <c r="E717" s="14"/>
      <c r="F717" s="15">
        <v>40529.53</v>
      </c>
      <c r="G717" s="15">
        <v>0</v>
      </c>
      <c r="H717" s="15">
        <f t="shared" si="55"/>
        <v>40529.53</v>
      </c>
      <c r="I717" s="13" t="str">
        <f t="shared" si="56"/>
        <v/>
      </c>
      <c r="J717" s="13" t="str">
        <f t="shared" ca="1" si="57"/>
        <v>Overdue</v>
      </c>
      <c r="K717" s="13">
        <f t="shared" ca="1" si="58"/>
        <v>626</v>
      </c>
      <c r="L717" s="13" t="str">
        <f t="shared" ca="1" si="59"/>
        <v>120+ Days</v>
      </c>
      <c r="M717" s="14">
        <v>45597</v>
      </c>
      <c r="N717" s="14"/>
    </row>
    <row r="718" spans="1:14" x14ac:dyDescent="0.25">
      <c r="A718" s="10" t="s">
        <v>845</v>
      </c>
      <c r="B718" s="10" t="s">
        <v>74</v>
      </c>
      <c r="C718" s="11">
        <v>45621</v>
      </c>
      <c r="D718" s="11">
        <v>45651</v>
      </c>
      <c r="E718" s="11">
        <v>45700</v>
      </c>
      <c r="F718" s="12">
        <v>44492.82</v>
      </c>
      <c r="G718" s="12">
        <v>35557.379999999997</v>
      </c>
      <c r="H718" s="12">
        <f t="shared" si="55"/>
        <v>8935.4400000000023</v>
      </c>
      <c r="I718" s="10">
        <f t="shared" si="56"/>
        <v>49</v>
      </c>
      <c r="J718" s="10" t="str">
        <f t="shared" ca="1" si="57"/>
        <v>Overdue</v>
      </c>
      <c r="K718" s="10">
        <f t="shared" ca="1" si="58"/>
        <v>605</v>
      </c>
      <c r="L718" s="10" t="str">
        <f t="shared" ca="1" si="59"/>
        <v>120+ Days</v>
      </c>
      <c r="M718" s="11">
        <v>45597</v>
      </c>
      <c r="N718" s="11">
        <v>45689</v>
      </c>
    </row>
    <row r="719" spans="1:14" x14ac:dyDescent="0.25">
      <c r="A719" s="13" t="s">
        <v>846</v>
      </c>
      <c r="B719" s="13" t="s">
        <v>314</v>
      </c>
      <c r="C719" s="14">
        <v>45609</v>
      </c>
      <c r="D719" s="14">
        <v>45639</v>
      </c>
      <c r="E719" s="14">
        <v>45660</v>
      </c>
      <c r="F719" s="15">
        <v>26933.279999999999</v>
      </c>
      <c r="G719" s="15">
        <v>26933.279999999999</v>
      </c>
      <c r="H719" s="15">
        <f t="shared" si="55"/>
        <v>0</v>
      </c>
      <c r="I719" s="13">
        <f t="shared" si="56"/>
        <v>21</v>
      </c>
      <c r="J719" s="13" t="str">
        <f t="shared" ca="1" si="57"/>
        <v>Paid</v>
      </c>
      <c r="K719" s="13">
        <f t="shared" ca="1" si="58"/>
        <v>0</v>
      </c>
      <c r="L719" s="13" t="str">
        <f t="shared" si="59"/>
        <v>Paid</v>
      </c>
      <c r="M719" s="14">
        <v>45597</v>
      </c>
      <c r="N719" s="14">
        <v>45658</v>
      </c>
    </row>
    <row r="720" spans="1:14" x14ac:dyDescent="0.25">
      <c r="A720" s="10" t="s">
        <v>847</v>
      </c>
      <c r="B720" s="10" t="s">
        <v>230</v>
      </c>
      <c r="C720" s="11">
        <v>45605</v>
      </c>
      <c r="D720" s="11">
        <v>45635</v>
      </c>
      <c r="E720" s="11">
        <v>45635</v>
      </c>
      <c r="F720" s="12">
        <v>38329.07</v>
      </c>
      <c r="G720" s="12">
        <v>38329.07</v>
      </c>
      <c r="H720" s="12">
        <f t="shared" si="55"/>
        <v>0</v>
      </c>
      <c r="I720" s="10">
        <f t="shared" si="56"/>
        <v>0</v>
      </c>
      <c r="J720" s="10" t="str">
        <f t="shared" ca="1" si="57"/>
        <v>Paid</v>
      </c>
      <c r="K720" s="10">
        <f t="shared" ca="1" si="58"/>
        <v>0</v>
      </c>
      <c r="L720" s="10" t="str">
        <f t="shared" si="59"/>
        <v>Paid</v>
      </c>
      <c r="M720" s="11">
        <v>45597</v>
      </c>
      <c r="N720" s="11">
        <v>45627</v>
      </c>
    </row>
    <row r="721" spans="1:14" x14ac:dyDescent="0.25">
      <c r="A721" s="13" t="s">
        <v>848</v>
      </c>
      <c r="B721" s="13" t="s">
        <v>233</v>
      </c>
      <c r="C721" s="14">
        <v>45611</v>
      </c>
      <c r="D721" s="14">
        <v>45641</v>
      </c>
      <c r="E721" s="14">
        <v>45681</v>
      </c>
      <c r="F721" s="15">
        <v>58625.69</v>
      </c>
      <c r="G721" s="15">
        <v>58625.69</v>
      </c>
      <c r="H721" s="15">
        <f t="shared" si="55"/>
        <v>0</v>
      </c>
      <c r="I721" s="13">
        <f t="shared" si="56"/>
        <v>40</v>
      </c>
      <c r="J721" s="13" t="str">
        <f t="shared" ca="1" si="57"/>
        <v>Paid</v>
      </c>
      <c r="K721" s="13">
        <f t="shared" ca="1" si="58"/>
        <v>0</v>
      </c>
      <c r="L721" s="13" t="str">
        <f t="shared" si="59"/>
        <v>Paid</v>
      </c>
      <c r="M721" s="14">
        <v>45597</v>
      </c>
      <c r="N721" s="14">
        <v>45658</v>
      </c>
    </row>
    <row r="722" spans="1:14" x14ac:dyDescent="0.25">
      <c r="A722" s="10" t="s">
        <v>849</v>
      </c>
      <c r="B722" s="10" t="s">
        <v>215</v>
      </c>
      <c r="C722" s="11">
        <v>45605</v>
      </c>
      <c r="D722" s="11">
        <v>45635</v>
      </c>
      <c r="E722" s="11"/>
      <c r="F722" s="12">
        <v>44999.42</v>
      </c>
      <c r="G722" s="12">
        <v>0</v>
      </c>
      <c r="H722" s="12">
        <f t="shared" si="55"/>
        <v>44999.42</v>
      </c>
      <c r="I722" s="10" t="str">
        <f t="shared" si="56"/>
        <v/>
      </c>
      <c r="J722" s="10" t="str">
        <f t="shared" ca="1" si="57"/>
        <v>Overdue</v>
      </c>
      <c r="K722" s="10">
        <f t="shared" ca="1" si="58"/>
        <v>621</v>
      </c>
      <c r="L722" s="10" t="str">
        <f t="shared" ca="1" si="59"/>
        <v>120+ Days</v>
      </c>
      <c r="M722" s="11">
        <v>45597</v>
      </c>
      <c r="N722" s="11"/>
    </row>
    <row r="723" spans="1:14" x14ac:dyDescent="0.25">
      <c r="A723" s="13" t="s">
        <v>850</v>
      </c>
      <c r="B723" s="13" t="s">
        <v>79</v>
      </c>
      <c r="C723" s="14">
        <v>45602</v>
      </c>
      <c r="D723" s="14">
        <v>45632</v>
      </c>
      <c r="E723" s="14">
        <v>45658</v>
      </c>
      <c r="F723" s="15">
        <v>21651.69</v>
      </c>
      <c r="G723" s="15">
        <v>21651.69</v>
      </c>
      <c r="H723" s="15">
        <f t="shared" si="55"/>
        <v>0</v>
      </c>
      <c r="I723" s="13">
        <f t="shared" si="56"/>
        <v>26</v>
      </c>
      <c r="J723" s="13" t="str">
        <f t="shared" ca="1" si="57"/>
        <v>Paid</v>
      </c>
      <c r="K723" s="13">
        <f t="shared" ca="1" si="58"/>
        <v>0</v>
      </c>
      <c r="L723" s="13" t="str">
        <f t="shared" si="59"/>
        <v>Paid</v>
      </c>
      <c r="M723" s="14">
        <v>45597</v>
      </c>
      <c r="N723" s="14">
        <v>45658</v>
      </c>
    </row>
    <row r="724" spans="1:14" x14ac:dyDescent="0.25">
      <c r="A724" s="10" t="s">
        <v>851</v>
      </c>
      <c r="B724" s="10" t="s">
        <v>449</v>
      </c>
      <c r="C724" s="11">
        <v>45620</v>
      </c>
      <c r="D724" s="11">
        <v>45650</v>
      </c>
      <c r="E724" s="11">
        <v>45715</v>
      </c>
      <c r="F724" s="12">
        <v>110026.09</v>
      </c>
      <c r="G724" s="12">
        <v>110026.09</v>
      </c>
      <c r="H724" s="12">
        <f t="shared" si="55"/>
        <v>0</v>
      </c>
      <c r="I724" s="10">
        <f t="shared" si="56"/>
        <v>65</v>
      </c>
      <c r="J724" s="10" t="str">
        <f t="shared" ca="1" si="57"/>
        <v>Paid</v>
      </c>
      <c r="K724" s="10">
        <f t="shared" ca="1" si="58"/>
        <v>0</v>
      </c>
      <c r="L724" s="10" t="str">
        <f t="shared" si="59"/>
        <v>Paid</v>
      </c>
      <c r="M724" s="11">
        <v>45597</v>
      </c>
      <c r="N724" s="11">
        <v>45689</v>
      </c>
    </row>
    <row r="725" spans="1:14" x14ac:dyDescent="0.25">
      <c r="A725" s="13" t="s">
        <v>852</v>
      </c>
      <c r="B725" s="13" t="s">
        <v>198</v>
      </c>
      <c r="C725" s="14">
        <v>45623</v>
      </c>
      <c r="D725" s="14">
        <v>45653</v>
      </c>
      <c r="E725" s="14"/>
      <c r="F725" s="15">
        <v>23077.79</v>
      </c>
      <c r="G725" s="15">
        <v>0</v>
      </c>
      <c r="H725" s="15">
        <f t="shared" si="55"/>
        <v>23077.79</v>
      </c>
      <c r="I725" s="13" t="str">
        <f t="shared" si="56"/>
        <v/>
      </c>
      <c r="J725" s="13" t="str">
        <f t="shared" ca="1" si="57"/>
        <v>Overdue</v>
      </c>
      <c r="K725" s="13">
        <f t="shared" ca="1" si="58"/>
        <v>603</v>
      </c>
      <c r="L725" s="13" t="str">
        <f t="shared" ca="1" si="59"/>
        <v>120+ Days</v>
      </c>
      <c r="M725" s="14">
        <v>45597</v>
      </c>
      <c r="N725" s="14"/>
    </row>
    <row r="726" spans="1:14" x14ac:dyDescent="0.25">
      <c r="A726" s="10" t="s">
        <v>853</v>
      </c>
      <c r="B726" s="10" t="s">
        <v>449</v>
      </c>
      <c r="C726" s="11">
        <v>45607</v>
      </c>
      <c r="D726" s="11">
        <v>45637</v>
      </c>
      <c r="E726" s="11">
        <v>45663</v>
      </c>
      <c r="F726" s="12">
        <v>22078.74</v>
      </c>
      <c r="G726" s="12">
        <v>22078.74</v>
      </c>
      <c r="H726" s="12">
        <f t="shared" si="55"/>
        <v>0</v>
      </c>
      <c r="I726" s="10">
        <f t="shared" si="56"/>
        <v>26</v>
      </c>
      <c r="J726" s="10" t="str">
        <f t="shared" ca="1" si="57"/>
        <v>Paid</v>
      </c>
      <c r="K726" s="10">
        <f t="shared" ca="1" si="58"/>
        <v>0</v>
      </c>
      <c r="L726" s="10" t="str">
        <f t="shared" si="59"/>
        <v>Paid</v>
      </c>
      <c r="M726" s="11">
        <v>45597</v>
      </c>
      <c r="N726" s="11">
        <v>45658</v>
      </c>
    </row>
    <row r="727" spans="1:14" x14ac:dyDescent="0.25">
      <c r="A727" s="13" t="s">
        <v>854</v>
      </c>
      <c r="B727" s="13" t="s">
        <v>274</v>
      </c>
      <c r="C727" s="14">
        <v>45602</v>
      </c>
      <c r="D727" s="14">
        <v>45632</v>
      </c>
      <c r="E727" s="14">
        <v>45677</v>
      </c>
      <c r="F727" s="15">
        <v>51786.33</v>
      </c>
      <c r="G727" s="15">
        <v>51786.33</v>
      </c>
      <c r="H727" s="15">
        <f t="shared" si="55"/>
        <v>0</v>
      </c>
      <c r="I727" s="13">
        <f t="shared" si="56"/>
        <v>45</v>
      </c>
      <c r="J727" s="13" t="str">
        <f t="shared" ca="1" si="57"/>
        <v>Paid</v>
      </c>
      <c r="K727" s="13">
        <f t="shared" ca="1" si="58"/>
        <v>0</v>
      </c>
      <c r="L727" s="13" t="str">
        <f t="shared" si="59"/>
        <v>Paid</v>
      </c>
      <c r="M727" s="14">
        <v>45597</v>
      </c>
      <c r="N727" s="14">
        <v>45658</v>
      </c>
    </row>
    <row r="728" spans="1:14" x14ac:dyDescent="0.25">
      <c r="A728" s="10" t="s">
        <v>855</v>
      </c>
      <c r="B728" s="10" t="s">
        <v>150</v>
      </c>
      <c r="C728" s="11">
        <v>45610</v>
      </c>
      <c r="D728" s="11">
        <v>45640</v>
      </c>
      <c r="E728" s="11"/>
      <c r="F728" s="12">
        <v>34810.32</v>
      </c>
      <c r="G728" s="12">
        <v>0</v>
      </c>
      <c r="H728" s="12">
        <f t="shared" si="55"/>
        <v>34810.32</v>
      </c>
      <c r="I728" s="10" t="str">
        <f t="shared" si="56"/>
        <v/>
      </c>
      <c r="J728" s="10" t="str">
        <f t="shared" ca="1" si="57"/>
        <v>Overdue</v>
      </c>
      <c r="K728" s="10">
        <f t="shared" ca="1" si="58"/>
        <v>616</v>
      </c>
      <c r="L728" s="10" t="str">
        <f t="shared" ca="1" si="59"/>
        <v>120+ Days</v>
      </c>
      <c r="M728" s="11">
        <v>45597</v>
      </c>
      <c r="N728" s="11"/>
    </row>
    <row r="729" spans="1:14" x14ac:dyDescent="0.25">
      <c r="A729" s="13" t="s">
        <v>856</v>
      </c>
      <c r="B729" s="13" t="s">
        <v>113</v>
      </c>
      <c r="C729" s="14">
        <v>45607</v>
      </c>
      <c r="D729" s="14">
        <v>45637</v>
      </c>
      <c r="E729" s="14"/>
      <c r="F729" s="15">
        <v>52534.1</v>
      </c>
      <c r="G729" s="15">
        <v>0</v>
      </c>
      <c r="H729" s="15">
        <f t="shared" si="55"/>
        <v>52534.1</v>
      </c>
      <c r="I729" s="13" t="str">
        <f t="shared" si="56"/>
        <v/>
      </c>
      <c r="J729" s="13" t="str">
        <f t="shared" ca="1" si="57"/>
        <v>Overdue</v>
      </c>
      <c r="K729" s="13">
        <f t="shared" ca="1" si="58"/>
        <v>619</v>
      </c>
      <c r="L729" s="13" t="str">
        <f t="shared" ca="1" si="59"/>
        <v>120+ Days</v>
      </c>
      <c r="M729" s="14">
        <v>45597</v>
      </c>
      <c r="N729" s="14"/>
    </row>
    <row r="730" spans="1:14" x14ac:dyDescent="0.25">
      <c r="A730" s="10" t="s">
        <v>857</v>
      </c>
      <c r="B730" s="10" t="s">
        <v>146</v>
      </c>
      <c r="C730" s="11">
        <v>45607</v>
      </c>
      <c r="D730" s="11">
        <v>45637</v>
      </c>
      <c r="E730" s="11">
        <v>45637</v>
      </c>
      <c r="F730" s="12">
        <v>21484.9</v>
      </c>
      <c r="G730" s="12">
        <v>21484.9</v>
      </c>
      <c r="H730" s="12">
        <f t="shared" si="55"/>
        <v>0</v>
      </c>
      <c r="I730" s="10">
        <f t="shared" si="56"/>
        <v>0</v>
      </c>
      <c r="J730" s="10" t="str">
        <f t="shared" ca="1" si="57"/>
        <v>Paid</v>
      </c>
      <c r="K730" s="10">
        <f t="shared" ca="1" si="58"/>
        <v>0</v>
      </c>
      <c r="L730" s="10" t="str">
        <f t="shared" si="59"/>
        <v>Paid</v>
      </c>
      <c r="M730" s="11">
        <v>45597</v>
      </c>
      <c r="N730" s="11">
        <v>45627</v>
      </c>
    </row>
    <row r="731" spans="1:14" x14ac:dyDescent="0.25">
      <c r="A731" s="13" t="s">
        <v>858</v>
      </c>
      <c r="B731" s="13" t="s">
        <v>188</v>
      </c>
      <c r="C731" s="14">
        <v>45612</v>
      </c>
      <c r="D731" s="14">
        <v>45642</v>
      </c>
      <c r="E731" s="14">
        <v>45646</v>
      </c>
      <c r="F731" s="15">
        <v>58830.14</v>
      </c>
      <c r="G731" s="15">
        <v>58830.14</v>
      </c>
      <c r="H731" s="15">
        <f t="shared" si="55"/>
        <v>0</v>
      </c>
      <c r="I731" s="13">
        <f t="shared" si="56"/>
        <v>4</v>
      </c>
      <c r="J731" s="13" t="str">
        <f t="shared" ca="1" si="57"/>
        <v>Paid</v>
      </c>
      <c r="K731" s="13">
        <f t="shared" ca="1" si="58"/>
        <v>0</v>
      </c>
      <c r="L731" s="13" t="str">
        <f t="shared" si="59"/>
        <v>Paid</v>
      </c>
      <c r="M731" s="14">
        <v>45597</v>
      </c>
      <c r="N731" s="14">
        <v>45627</v>
      </c>
    </row>
    <row r="732" spans="1:14" x14ac:dyDescent="0.25">
      <c r="A732" s="10" t="s">
        <v>859</v>
      </c>
      <c r="B732" s="10" t="s">
        <v>278</v>
      </c>
      <c r="C732" s="11">
        <v>45619</v>
      </c>
      <c r="D732" s="11">
        <v>45649</v>
      </c>
      <c r="E732" s="11">
        <v>45701</v>
      </c>
      <c r="F732" s="12">
        <v>81036.759999999995</v>
      </c>
      <c r="G732" s="12">
        <v>81036.759999999995</v>
      </c>
      <c r="H732" s="12">
        <f t="shared" si="55"/>
        <v>0</v>
      </c>
      <c r="I732" s="10">
        <f t="shared" si="56"/>
        <v>52</v>
      </c>
      <c r="J732" s="10" t="str">
        <f t="shared" ca="1" si="57"/>
        <v>Paid</v>
      </c>
      <c r="K732" s="10">
        <f t="shared" ca="1" si="58"/>
        <v>0</v>
      </c>
      <c r="L732" s="10" t="str">
        <f t="shared" si="59"/>
        <v>Paid</v>
      </c>
      <c r="M732" s="11">
        <v>45597</v>
      </c>
      <c r="N732" s="11">
        <v>45689</v>
      </c>
    </row>
    <row r="733" spans="1:14" x14ac:dyDescent="0.25">
      <c r="A733" s="13" t="s">
        <v>860</v>
      </c>
      <c r="B733" s="13" t="s">
        <v>150</v>
      </c>
      <c r="C733" s="14">
        <v>45603</v>
      </c>
      <c r="D733" s="14">
        <v>45633</v>
      </c>
      <c r="E733" s="14">
        <v>45641</v>
      </c>
      <c r="F733" s="15">
        <v>90803.87</v>
      </c>
      <c r="G733" s="15">
        <v>90803.87</v>
      </c>
      <c r="H733" s="15">
        <f t="shared" si="55"/>
        <v>0</v>
      </c>
      <c r="I733" s="13">
        <f t="shared" si="56"/>
        <v>8</v>
      </c>
      <c r="J733" s="13" t="str">
        <f t="shared" ca="1" si="57"/>
        <v>Paid</v>
      </c>
      <c r="K733" s="13">
        <f t="shared" ca="1" si="58"/>
        <v>0</v>
      </c>
      <c r="L733" s="13" t="str">
        <f t="shared" si="59"/>
        <v>Paid</v>
      </c>
      <c r="M733" s="14">
        <v>45597</v>
      </c>
      <c r="N733" s="14">
        <v>45627</v>
      </c>
    </row>
    <row r="734" spans="1:14" x14ac:dyDescent="0.25">
      <c r="A734" s="10" t="s">
        <v>861</v>
      </c>
      <c r="B734" s="10" t="s">
        <v>161</v>
      </c>
      <c r="C734" s="11">
        <v>45600</v>
      </c>
      <c r="D734" s="11">
        <v>45630</v>
      </c>
      <c r="E734" s="11">
        <v>45646</v>
      </c>
      <c r="F734" s="12">
        <v>23402.9</v>
      </c>
      <c r="G734" s="12">
        <v>23402.9</v>
      </c>
      <c r="H734" s="12">
        <f t="shared" si="55"/>
        <v>0</v>
      </c>
      <c r="I734" s="10">
        <f t="shared" si="56"/>
        <v>16</v>
      </c>
      <c r="J734" s="10" t="str">
        <f t="shared" ca="1" si="57"/>
        <v>Paid</v>
      </c>
      <c r="K734" s="10">
        <f t="shared" ca="1" si="58"/>
        <v>0</v>
      </c>
      <c r="L734" s="10" t="str">
        <f t="shared" si="59"/>
        <v>Paid</v>
      </c>
      <c r="M734" s="11">
        <v>45597</v>
      </c>
      <c r="N734" s="11">
        <v>45627</v>
      </c>
    </row>
    <row r="735" spans="1:14" x14ac:dyDescent="0.25">
      <c r="A735" s="13" t="s">
        <v>862</v>
      </c>
      <c r="B735" s="13" t="s">
        <v>274</v>
      </c>
      <c r="C735" s="14">
        <v>45615</v>
      </c>
      <c r="D735" s="14">
        <v>45645</v>
      </c>
      <c r="E735" s="14">
        <v>45656</v>
      </c>
      <c r="F735" s="15">
        <v>24813.16</v>
      </c>
      <c r="G735" s="15">
        <v>24813.16</v>
      </c>
      <c r="H735" s="15">
        <f t="shared" si="55"/>
        <v>0</v>
      </c>
      <c r="I735" s="13">
        <f t="shared" si="56"/>
        <v>11</v>
      </c>
      <c r="J735" s="13" t="str">
        <f t="shared" ca="1" si="57"/>
        <v>Paid</v>
      </c>
      <c r="K735" s="13">
        <f t="shared" ca="1" si="58"/>
        <v>0</v>
      </c>
      <c r="L735" s="13" t="str">
        <f t="shared" si="59"/>
        <v>Paid</v>
      </c>
      <c r="M735" s="14">
        <v>45597</v>
      </c>
      <c r="N735" s="14">
        <v>45627</v>
      </c>
    </row>
    <row r="736" spans="1:14" x14ac:dyDescent="0.25">
      <c r="A736" s="10" t="s">
        <v>863</v>
      </c>
      <c r="B736" s="10" t="s">
        <v>138</v>
      </c>
      <c r="C736" s="11">
        <v>45610</v>
      </c>
      <c r="D736" s="11">
        <v>45640</v>
      </c>
      <c r="E736" s="11">
        <v>45647</v>
      </c>
      <c r="F736" s="12">
        <v>50542.83</v>
      </c>
      <c r="G736" s="12">
        <v>50542.83</v>
      </c>
      <c r="H736" s="12">
        <f t="shared" si="55"/>
        <v>0</v>
      </c>
      <c r="I736" s="10">
        <f t="shared" si="56"/>
        <v>7</v>
      </c>
      <c r="J736" s="10" t="str">
        <f t="shared" ca="1" si="57"/>
        <v>Paid</v>
      </c>
      <c r="K736" s="10">
        <f t="shared" ca="1" si="58"/>
        <v>0</v>
      </c>
      <c r="L736" s="10" t="str">
        <f t="shared" si="59"/>
        <v>Paid</v>
      </c>
      <c r="M736" s="11">
        <v>45597</v>
      </c>
      <c r="N736" s="11">
        <v>45627</v>
      </c>
    </row>
    <row r="737" spans="1:14" x14ac:dyDescent="0.25">
      <c r="A737" s="13" t="s">
        <v>864</v>
      </c>
      <c r="B737" s="13" t="s">
        <v>188</v>
      </c>
      <c r="C737" s="14">
        <v>45613</v>
      </c>
      <c r="D737" s="14">
        <v>45643</v>
      </c>
      <c r="E737" s="14">
        <v>45643</v>
      </c>
      <c r="F737" s="15">
        <v>52299.040000000001</v>
      </c>
      <c r="G737" s="15">
        <v>52299.040000000001</v>
      </c>
      <c r="H737" s="15">
        <f t="shared" si="55"/>
        <v>0</v>
      </c>
      <c r="I737" s="13">
        <f t="shared" si="56"/>
        <v>0</v>
      </c>
      <c r="J737" s="13" t="str">
        <f t="shared" ca="1" si="57"/>
        <v>Paid</v>
      </c>
      <c r="K737" s="13">
        <f t="shared" ca="1" si="58"/>
        <v>0</v>
      </c>
      <c r="L737" s="13" t="str">
        <f t="shared" si="59"/>
        <v>Paid</v>
      </c>
      <c r="M737" s="14">
        <v>45597</v>
      </c>
      <c r="N737" s="14">
        <v>45627</v>
      </c>
    </row>
    <row r="738" spans="1:14" x14ac:dyDescent="0.25">
      <c r="A738" s="10" t="s">
        <v>865</v>
      </c>
      <c r="B738" s="10" t="s">
        <v>220</v>
      </c>
      <c r="C738" s="11">
        <v>45616</v>
      </c>
      <c r="D738" s="11">
        <v>45646</v>
      </c>
      <c r="E738" s="11">
        <v>45646</v>
      </c>
      <c r="F738" s="12">
        <v>13463.33</v>
      </c>
      <c r="G738" s="12">
        <v>13463.33</v>
      </c>
      <c r="H738" s="12">
        <f t="shared" si="55"/>
        <v>0</v>
      </c>
      <c r="I738" s="10">
        <f t="shared" si="56"/>
        <v>0</v>
      </c>
      <c r="J738" s="10" t="str">
        <f t="shared" ca="1" si="57"/>
        <v>Paid</v>
      </c>
      <c r="K738" s="10">
        <f t="shared" ca="1" si="58"/>
        <v>0</v>
      </c>
      <c r="L738" s="10" t="str">
        <f t="shared" si="59"/>
        <v>Paid</v>
      </c>
      <c r="M738" s="11">
        <v>45597</v>
      </c>
      <c r="N738" s="11">
        <v>45627</v>
      </c>
    </row>
    <row r="739" spans="1:14" x14ac:dyDescent="0.25">
      <c r="A739" s="13" t="s">
        <v>866</v>
      </c>
      <c r="B739" s="13" t="s">
        <v>314</v>
      </c>
      <c r="C739" s="14">
        <v>45599</v>
      </c>
      <c r="D739" s="14">
        <v>45629</v>
      </c>
      <c r="E739" s="14"/>
      <c r="F739" s="15">
        <v>18449.490000000002</v>
      </c>
      <c r="G739" s="15">
        <v>0</v>
      </c>
      <c r="H739" s="15">
        <f t="shared" si="55"/>
        <v>18449.490000000002</v>
      </c>
      <c r="I739" s="13" t="str">
        <f t="shared" si="56"/>
        <v/>
      </c>
      <c r="J739" s="13" t="str">
        <f t="shared" ca="1" si="57"/>
        <v>Overdue</v>
      </c>
      <c r="K739" s="13">
        <f t="shared" ca="1" si="58"/>
        <v>627</v>
      </c>
      <c r="L739" s="13" t="str">
        <f t="shared" ca="1" si="59"/>
        <v>120+ Days</v>
      </c>
      <c r="M739" s="14">
        <v>45597</v>
      </c>
      <c r="N739" s="14"/>
    </row>
    <row r="740" spans="1:14" x14ac:dyDescent="0.25">
      <c r="A740" s="10" t="s">
        <v>867</v>
      </c>
      <c r="B740" s="10" t="s">
        <v>111</v>
      </c>
      <c r="C740" s="11">
        <v>45623</v>
      </c>
      <c r="D740" s="11">
        <v>45653</v>
      </c>
      <c r="E740" s="11">
        <v>45673</v>
      </c>
      <c r="F740" s="12">
        <v>47478.14</v>
      </c>
      <c r="G740" s="12">
        <v>47478.14</v>
      </c>
      <c r="H740" s="12">
        <f t="shared" si="55"/>
        <v>0</v>
      </c>
      <c r="I740" s="10">
        <f t="shared" si="56"/>
        <v>20</v>
      </c>
      <c r="J740" s="10" t="str">
        <f t="shared" ca="1" si="57"/>
        <v>Paid</v>
      </c>
      <c r="K740" s="10">
        <f t="shared" ca="1" si="58"/>
        <v>0</v>
      </c>
      <c r="L740" s="10" t="str">
        <f t="shared" si="59"/>
        <v>Paid</v>
      </c>
      <c r="M740" s="11">
        <v>45597</v>
      </c>
      <c r="N740" s="11">
        <v>45658</v>
      </c>
    </row>
    <row r="741" spans="1:14" x14ac:dyDescent="0.25">
      <c r="A741" s="13" t="s">
        <v>868</v>
      </c>
      <c r="B741" s="13" t="s">
        <v>153</v>
      </c>
      <c r="C741" s="14">
        <v>45601</v>
      </c>
      <c r="D741" s="14">
        <v>45631</v>
      </c>
      <c r="E741" s="14"/>
      <c r="F741" s="15">
        <v>57746.1</v>
      </c>
      <c r="G741" s="15">
        <v>0</v>
      </c>
      <c r="H741" s="15">
        <f t="shared" si="55"/>
        <v>57746.1</v>
      </c>
      <c r="I741" s="13" t="str">
        <f t="shared" si="56"/>
        <v/>
      </c>
      <c r="J741" s="13" t="str">
        <f t="shared" ca="1" si="57"/>
        <v>Overdue</v>
      </c>
      <c r="K741" s="13">
        <f t="shared" ca="1" si="58"/>
        <v>625</v>
      </c>
      <c r="L741" s="13" t="str">
        <f t="shared" ca="1" si="59"/>
        <v>120+ Days</v>
      </c>
      <c r="M741" s="14">
        <v>45597</v>
      </c>
      <c r="N741" s="14"/>
    </row>
    <row r="742" spans="1:14" x14ac:dyDescent="0.25">
      <c r="A742" s="10" t="s">
        <v>869</v>
      </c>
      <c r="B742" s="10" t="s">
        <v>161</v>
      </c>
      <c r="C742" s="11">
        <v>45614</v>
      </c>
      <c r="D742" s="11">
        <v>45644</v>
      </c>
      <c r="E742" s="11">
        <v>45653</v>
      </c>
      <c r="F742" s="12">
        <v>45112.15</v>
      </c>
      <c r="G742" s="12">
        <v>45112.15</v>
      </c>
      <c r="H742" s="12">
        <f t="shared" si="55"/>
        <v>0</v>
      </c>
      <c r="I742" s="10">
        <f t="shared" si="56"/>
        <v>9</v>
      </c>
      <c r="J742" s="10" t="str">
        <f t="shared" ca="1" si="57"/>
        <v>Paid</v>
      </c>
      <c r="K742" s="10">
        <f t="shared" ca="1" si="58"/>
        <v>0</v>
      </c>
      <c r="L742" s="10" t="str">
        <f t="shared" si="59"/>
        <v>Paid</v>
      </c>
      <c r="M742" s="11">
        <v>45597</v>
      </c>
      <c r="N742" s="11">
        <v>45627</v>
      </c>
    </row>
    <row r="743" spans="1:14" x14ac:dyDescent="0.25">
      <c r="A743" s="13" t="s">
        <v>870</v>
      </c>
      <c r="B743" s="13" t="s">
        <v>138</v>
      </c>
      <c r="C743" s="14">
        <v>45620</v>
      </c>
      <c r="D743" s="14">
        <v>45650</v>
      </c>
      <c r="E743" s="14">
        <v>45650</v>
      </c>
      <c r="F743" s="15">
        <v>30685.43</v>
      </c>
      <c r="G743" s="15">
        <v>30685.43</v>
      </c>
      <c r="H743" s="15">
        <f t="shared" si="55"/>
        <v>0</v>
      </c>
      <c r="I743" s="13">
        <f t="shared" si="56"/>
        <v>0</v>
      </c>
      <c r="J743" s="13" t="str">
        <f t="shared" ca="1" si="57"/>
        <v>Paid</v>
      </c>
      <c r="K743" s="13">
        <f t="shared" ca="1" si="58"/>
        <v>0</v>
      </c>
      <c r="L743" s="13" t="str">
        <f t="shared" si="59"/>
        <v>Paid</v>
      </c>
      <c r="M743" s="14">
        <v>45597</v>
      </c>
      <c r="N743" s="14">
        <v>45627</v>
      </c>
    </row>
    <row r="744" spans="1:14" x14ac:dyDescent="0.25">
      <c r="A744" s="10" t="s">
        <v>871</v>
      </c>
      <c r="B744" s="10" t="s">
        <v>113</v>
      </c>
      <c r="C744" s="11">
        <v>45615</v>
      </c>
      <c r="D744" s="11">
        <v>45645</v>
      </c>
      <c r="E744" s="11">
        <v>45645</v>
      </c>
      <c r="F744" s="12">
        <v>36253.519999999997</v>
      </c>
      <c r="G744" s="12">
        <v>36253.519999999997</v>
      </c>
      <c r="H744" s="12">
        <f t="shared" si="55"/>
        <v>0</v>
      </c>
      <c r="I744" s="10">
        <f t="shared" si="56"/>
        <v>0</v>
      </c>
      <c r="J744" s="10" t="str">
        <f t="shared" ca="1" si="57"/>
        <v>Paid</v>
      </c>
      <c r="K744" s="10">
        <f t="shared" ca="1" si="58"/>
        <v>0</v>
      </c>
      <c r="L744" s="10" t="str">
        <f t="shared" si="59"/>
        <v>Paid</v>
      </c>
      <c r="M744" s="11">
        <v>45597</v>
      </c>
      <c r="N744" s="11">
        <v>45627</v>
      </c>
    </row>
    <row r="745" spans="1:14" x14ac:dyDescent="0.25">
      <c r="A745" s="13" t="s">
        <v>872</v>
      </c>
      <c r="B745" s="13" t="s">
        <v>159</v>
      </c>
      <c r="C745" s="14">
        <v>45601</v>
      </c>
      <c r="D745" s="14">
        <v>45631</v>
      </c>
      <c r="E745" s="14"/>
      <c r="F745" s="15">
        <v>26509.39</v>
      </c>
      <c r="G745" s="15">
        <v>0</v>
      </c>
      <c r="H745" s="15">
        <f t="shared" si="55"/>
        <v>26509.39</v>
      </c>
      <c r="I745" s="13" t="str">
        <f t="shared" si="56"/>
        <v/>
      </c>
      <c r="J745" s="13" t="str">
        <f t="shared" ca="1" si="57"/>
        <v>Overdue</v>
      </c>
      <c r="K745" s="13">
        <f t="shared" ca="1" si="58"/>
        <v>625</v>
      </c>
      <c r="L745" s="13" t="str">
        <f t="shared" ca="1" si="59"/>
        <v>120+ Days</v>
      </c>
      <c r="M745" s="14">
        <v>45597</v>
      </c>
      <c r="N745" s="14"/>
    </row>
    <row r="746" spans="1:14" x14ac:dyDescent="0.25">
      <c r="A746" s="10" t="s">
        <v>873</v>
      </c>
      <c r="B746" s="10" t="s">
        <v>76</v>
      </c>
      <c r="C746" s="11">
        <v>45621</v>
      </c>
      <c r="D746" s="11">
        <v>45651</v>
      </c>
      <c r="E746" s="11">
        <v>45651</v>
      </c>
      <c r="F746" s="12">
        <v>65405.57</v>
      </c>
      <c r="G746" s="12">
        <v>65405.57</v>
      </c>
      <c r="H746" s="12">
        <f t="shared" si="55"/>
        <v>0</v>
      </c>
      <c r="I746" s="10">
        <f t="shared" si="56"/>
        <v>0</v>
      </c>
      <c r="J746" s="10" t="str">
        <f t="shared" ca="1" si="57"/>
        <v>Paid</v>
      </c>
      <c r="K746" s="10">
        <f t="shared" ca="1" si="58"/>
        <v>0</v>
      </c>
      <c r="L746" s="10" t="str">
        <f t="shared" si="59"/>
        <v>Paid</v>
      </c>
      <c r="M746" s="11">
        <v>45597</v>
      </c>
      <c r="N746" s="11">
        <v>45627</v>
      </c>
    </row>
    <row r="747" spans="1:14" x14ac:dyDescent="0.25">
      <c r="A747" s="13" t="s">
        <v>874</v>
      </c>
      <c r="B747" s="13" t="s">
        <v>265</v>
      </c>
      <c r="C747" s="14">
        <v>45599</v>
      </c>
      <c r="D747" s="14">
        <v>45629</v>
      </c>
      <c r="E747" s="14">
        <v>45629</v>
      </c>
      <c r="F747" s="15">
        <v>59557.72</v>
      </c>
      <c r="G747" s="15">
        <v>59557.72</v>
      </c>
      <c r="H747" s="15">
        <f t="shared" si="55"/>
        <v>0</v>
      </c>
      <c r="I747" s="13">
        <f t="shared" si="56"/>
        <v>0</v>
      </c>
      <c r="J747" s="13" t="str">
        <f t="shared" ca="1" si="57"/>
        <v>Paid</v>
      </c>
      <c r="K747" s="13">
        <f t="shared" ca="1" si="58"/>
        <v>0</v>
      </c>
      <c r="L747" s="13" t="str">
        <f t="shared" si="59"/>
        <v>Paid</v>
      </c>
      <c r="M747" s="14">
        <v>45597</v>
      </c>
      <c r="N747" s="14">
        <v>45627</v>
      </c>
    </row>
    <row r="748" spans="1:14" x14ac:dyDescent="0.25">
      <c r="A748" s="10" t="s">
        <v>875</v>
      </c>
      <c r="B748" s="10" t="s">
        <v>230</v>
      </c>
      <c r="C748" s="11">
        <v>45623</v>
      </c>
      <c r="D748" s="11">
        <v>45653</v>
      </c>
      <c r="E748" s="11">
        <v>45660</v>
      </c>
      <c r="F748" s="12">
        <v>28412.85</v>
      </c>
      <c r="G748" s="12">
        <v>28412.85</v>
      </c>
      <c r="H748" s="12">
        <f t="shared" si="55"/>
        <v>0</v>
      </c>
      <c r="I748" s="10">
        <f t="shared" si="56"/>
        <v>7</v>
      </c>
      <c r="J748" s="10" t="str">
        <f t="shared" ca="1" si="57"/>
        <v>Paid</v>
      </c>
      <c r="K748" s="10">
        <f t="shared" ca="1" si="58"/>
        <v>0</v>
      </c>
      <c r="L748" s="10" t="str">
        <f t="shared" si="59"/>
        <v>Paid</v>
      </c>
      <c r="M748" s="11">
        <v>45597</v>
      </c>
      <c r="N748" s="11">
        <v>45658</v>
      </c>
    </row>
    <row r="749" spans="1:14" x14ac:dyDescent="0.25">
      <c r="A749" s="13" t="s">
        <v>876</v>
      </c>
      <c r="B749" s="13" t="s">
        <v>150</v>
      </c>
      <c r="C749" s="14">
        <v>45601</v>
      </c>
      <c r="D749" s="14">
        <v>45631</v>
      </c>
      <c r="E749" s="14">
        <v>45631</v>
      </c>
      <c r="F749" s="15">
        <v>71569.48</v>
      </c>
      <c r="G749" s="15">
        <v>71569.48</v>
      </c>
      <c r="H749" s="15">
        <f t="shared" si="55"/>
        <v>0</v>
      </c>
      <c r="I749" s="13">
        <f t="shared" si="56"/>
        <v>0</v>
      </c>
      <c r="J749" s="13" t="str">
        <f t="shared" ca="1" si="57"/>
        <v>Paid</v>
      </c>
      <c r="K749" s="13">
        <f t="shared" ca="1" si="58"/>
        <v>0</v>
      </c>
      <c r="L749" s="13" t="str">
        <f t="shared" si="59"/>
        <v>Paid</v>
      </c>
      <c r="M749" s="14">
        <v>45597</v>
      </c>
      <c r="N749" s="14">
        <v>45627</v>
      </c>
    </row>
    <row r="750" spans="1:14" x14ac:dyDescent="0.25">
      <c r="A750" s="10" t="s">
        <v>877</v>
      </c>
      <c r="B750" s="10" t="s">
        <v>99</v>
      </c>
      <c r="C750" s="11">
        <v>45602</v>
      </c>
      <c r="D750" s="11">
        <v>45632</v>
      </c>
      <c r="E750" s="11">
        <v>45638</v>
      </c>
      <c r="F750" s="12">
        <v>29238.91</v>
      </c>
      <c r="G750" s="12">
        <v>29238.91</v>
      </c>
      <c r="H750" s="12">
        <f t="shared" si="55"/>
        <v>0</v>
      </c>
      <c r="I750" s="10">
        <f t="shared" si="56"/>
        <v>6</v>
      </c>
      <c r="J750" s="10" t="str">
        <f t="shared" ca="1" si="57"/>
        <v>Paid</v>
      </c>
      <c r="K750" s="10">
        <f t="shared" ca="1" si="58"/>
        <v>0</v>
      </c>
      <c r="L750" s="10" t="str">
        <f t="shared" si="59"/>
        <v>Paid</v>
      </c>
      <c r="M750" s="11">
        <v>45597</v>
      </c>
      <c r="N750" s="11">
        <v>45627</v>
      </c>
    </row>
    <row r="751" spans="1:14" x14ac:dyDescent="0.25">
      <c r="A751" s="13" t="s">
        <v>878</v>
      </c>
      <c r="B751" s="13" t="s">
        <v>79</v>
      </c>
      <c r="C751" s="14">
        <v>45614</v>
      </c>
      <c r="D751" s="14">
        <v>45644</v>
      </c>
      <c r="E751" s="14">
        <v>45701</v>
      </c>
      <c r="F751" s="15">
        <v>11167.14</v>
      </c>
      <c r="G751" s="15">
        <v>11167.14</v>
      </c>
      <c r="H751" s="15">
        <f t="shared" si="55"/>
        <v>0</v>
      </c>
      <c r="I751" s="13">
        <f t="shared" si="56"/>
        <v>57</v>
      </c>
      <c r="J751" s="13" t="str">
        <f t="shared" ca="1" si="57"/>
        <v>Paid</v>
      </c>
      <c r="K751" s="13">
        <f t="shared" ca="1" si="58"/>
        <v>0</v>
      </c>
      <c r="L751" s="13" t="str">
        <f t="shared" si="59"/>
        <v>Paid</v>
      </c>
      <c r="M751" s="14">
        <v>45597</v>
      </c>
      <c r="N751" s="14">
        <v>45689</v>
      </c>
    </row>
    <row r="752" spans="1:14" x14ac:dyDescent="0.25">
      <c r="A752" s="10" t="s">
        <v>879</v>
      </c>
      <c r="B752" s="10" t="s">
        <v>134</v>
      </c>
      <c r="C752" s="11">
        <v>45616</v>
      </c>
      <c r="D752" s="11">
        <v>45646</v>
      </c>
      <c r="E752" s="11">
        <v>45659</v>
      </c>
      <c r="F752" s="12">
        <v>104508.62</v>
      </c>
      <c r="G752" s="12">
        <v>63201.52</v>
      </c>
      <c r="H752" s="12">
        <f t="shared" si="55"/>
        <v>41307.1</v>
      </c>
      <c r="I752" s="10">
        <f t="shared" si="56"/>
        <v>13</v>
      </c>
      <c r="J752" s="10" t="str">
        <f t="shared" ca="1" si="57"/>
        <v>Overdue</v>
      </c>
      <c r="K752" s="10">
        <f t="shared" ca="1" si="58"/>
        <v>610</v>
      </c>
      <c r="L752" s="10" t="str">
        <f t="shared" ca="1" si="59"/>
        <v>120+ Days</v>
      </c>
      <c r="M752" s="11">
        <v>45597</v>
      </c>
      <c r="N752" s="11">
        <v>45658</v>
      </c>
    </row>
    <row r="753" spans="1:14" x14ac:dyDescent="0.25">
      <c r="A753" s="13" t="s">
        <v>880</v>
      </c>
      <c r="B753" s="13" t="s">
        <v>117</v>
      </c>
      <c r="C753" s="14">
        <v>45613</v>
      </c>
      <c r="D753" s="14">
        <v>45643</v>
      </c>
      <c r="E753" s="14">
        <v>45651</v>
      </c>
      <c r="F753" s="15">
        <v>25665.5</v>
      </c>
      <c r="G753" s="15">
        <v>25665.5</v>
      </c>
      <c r="H753" s="15">
        <f t="shared" si="55"/>
        <v>0</v>
      </c>
      <c r="I753" s="13">
        <f t="shared" si="56"/>
        <v>8</v>
      </c>
      <c r="J753" s="13" t="str">
        <f t="shared" ca="1" si="57"/>
        <v>Paid</v>
      </c>
      <c r="K753" s="13">
        <f t="shared" ca="1" si="58"/>
        <v>0</v>
      </c>
      <c r="L753" s="13" t="str">
        <f t="shared" si="59"/>
        <v>Paid</v>
      </c>
      <c r="M753" s="14">
        <v>45597</v>
      </c>
      <c r="N753" s="14">
        <v>45627</v>
      </c>
    </row>
    <row r="754" spans="1:14" x14ac:dyDescent="0.25">
      <c r="A754" s="10" t="s">
        <v>881</v>
      </c>
      <c r="B754" s="10" t="s">
        <v>111</v>
      </c>
      <c r="C754" s="11">
        <v>45613</v>
      </c>
      <c r="D754" s="11">
        <v>45643</v>
      </c>
      <c r="E754" s="11">
        <v>45662</v>
      </c>
      <c r="F754" s="12">
        <v>26319.47</v>
      </c>
      <c r="G754" s="12">
        <v>26319.47</v>
      </c>
      <c r="H754" s="12">
        <f t="shared" si="55"/>
        <v>0</v>
      </c>
      <c r="I754" s="10">
        <f t="shared" si="56"/>
        <v>19</v>
      </c>
      <c r="J754" s="10" t="str">
        <f t="shared" ca="1" si="57"/>
        <v>Paid</v>
      </c>
      <c r="K754" s="10">
        <f t="shared" ca="1" si="58"/>
        <v>0</v>
      </c>
      <c r="L754" s="10" t="str">
        <f t="shared" si="59"/>
        <v>Paid</v>
      </c>
      <c r="M754" s="11">
        <v>45597</v>
      </c>
      <c r="N754" s="11">
        <v>45658</v>
      </c>
    </row>
    <row r="755" spans="1:14" x14ac:dyDescent="0.25">
      <c r="A755" s="13" t="s">
        <v>882</v>
      </c>
      <c r="B755" s="13" t="s">
        <v>184</v>
      </c>
      <c r="C755" s="14">
        <v>45618</v>
      </c>
      <c r="D755" s="14">
        <v>45648</v>
      </c>
      <c r="E755" s="14">
        <v>45671</v>
      </c>
      <c r="F755" s="15">
        <v>44455.81</v>
      </c>
      <c r="G755" s="15">
        <v>44455.81</v>
      </c>
      <c r="H755" s="15">
        <f t="shared" si="55"/>
        <v>0</v>
      </c>
      <c r="I755" s="13">
        <f t="shared" si="56"/>
        <v>23</v>
      </c>
      <c r="J755" s="13" t="str">
        <f t="shared" ca="1" si="57"/>
        <v>Paid</v>
      </c>
      <c r="K755" s="13">
        <f t="shared" ca="1" si="58"/>
        <v>0</v>
      </c>
      <c r="L755" s="13" t="str">
        <f t="shared" si="59"/>
        <v>Paid</v>
      </c>
      <c r="M755" s="14">
        <v>45597</v>
      </c>
      <c r="N755" s="14">
        <v>45658</v>
      </c>
    </row>
    <row r="756" spans="1:14" x14ac:dyDescent="0.25">
      <c r="A756" s="10" t="s">
        <v>883</v>
      </c>
      <c r="B756" s="10" t="s">
        <v>89</v>
      </c>
      <c r="C756" s="11">
        <v>45600</v>
      </c>
      <c r="D756" s="11">
        <v>45630</v>
      </c>
      <c r="E756" s="11">
        <v>45673</v>
      </c>
      <c r="F756" s="12">
        <v>61594.12</v>
      </c>
      <c r="G756" s="12">
        <v>61594.12</v>
      </c>
      <c r="H756" s="12">
        <f t="shared" si="55"/>
        <v>0</v>
      </c>
      <c r="I756" s="10">
        <f t="shared" si="56"/>
        <v>43</v>
      </c>
      <c r="J756" s="10" t="str">
        <f t="shared" ca="1" si="57"/>
        <v>Paid</v>
      </c>
      <c r="K756" s="10">
        <f t="shared" ca="1" si="58"/>
        <v>0</v>
      </c>
      <c r="L756" s="10" t="str">
        <f t="shared" si="59"/>
        <v>Paid</v>
      </c>
      <c r="M756" s="11">
        <v>45597</v>
      </c>
      <c r="N756" s="11">
        <v>45658</v>
      </c>
    </row>
    <row r="757" spans="1:14" x14ac:dyDescent="0.25">
      <c r="A757" s="13" t="s">
        <v>884</v>
      </c>
      <c r="B757" s="13" t="s">
        <v>119</v>
      </c>
      <c r="C757" s="14">
        <v>45602</v>
      </c>
      <c r="D757" s="14">
        <v>45632</v>
      </c>
      <c r="E757" s="14">
        <v>45632</v>
      </c>
      <c r="F757" s="15">
        <v>25200.76</v>
      </c>
      <c r="G757" s="15">
        <v>25200.76</v>
      </c>
      <c r="H757" s="15">
        <f t="shared" si="55"/>
        <v>0</v>
      </c>
      <c r="I757" s="13">
        <f t="shared" si="56"/>
        <v>0</v>
      </c>
      <c r="J757" s="13" t="str">
        <f t="shared" ca="1" si="57"/>
        <v>Paid</v>
      </c>
      <c r="K757" s="13">
        <f t="shared" ca="1" si="58"/>
        <v>0</v>
      </c>
      <c r="L757" s="13" t="str">
        <f t="shared" si="59"/>
        <v>Paid</v>
      </c>
      <c r="M757" s="14">
        <v>45597</v>
      </c>
      <c r="N757" s="14">
        <v>45627</v>
      </c>
    </row>
    <row r="758" spans="1:14" x14ac:dyDescent="0.25">
      <c r="A758" s="10" t="s">
        <v>885</v>
      </c>
      <c r="B758" s="10" t="s">
        <v>136</v>
      </c>
      <c r="C758" s="11">
        <v>45598</v>
      </c>
      <c r="D758" s="11">
        <v>45628</v>
      </c>
      <c r="E758" s="11">
        <v>45680</v>
      </c>
      <c r="F758" s="12">
        <v>30616.97</v>
      </c>
      <c r="G758" s="12">
        <v>30616.97</v>
      </c>
      <c r="H758" s="12">
        <f t="shared" si="55"/>
        <v>0</v>
      </c>
      <c r="I758" s="10">
        <f t="shared" si="56"/>
        <v>52</v>
      </c>
      <c r="J758" s="10" t="str">
        <f t="shared" ca="1" si="57"/>
        <v>Paid</v>
      </c>
      <c r="K758" s="10">
        <f t="shared" ca="1" si="58"/>
        <v>0</v>
      </c>
      <c r="L758" s="10" t="str">
        <f t="shared" si="59"/>
        <v>Paid</v>
      </c>
      <c r="M758" s="11">
        <v>45597</v>
      </c>
      <c r="N758" s="11">
        <v>45658</v>
      </c>
    </row>
    <row r="759" spans="1:14" x14ac:dyDescent="0.25">
      <c r="A759" s="13" t="s">
        <v>886</v>
      </c>
      <c r="B759" s="13" t="s">
        <v>93</v>
      </c>
      <c r="C759" s="14">
        <v>45643</v>
      </c>
      <c r="D759" s="14">
        <v>45673</v>
      </c>
      <c r="E759" s="14">
        <v>45700</v>
      </c>
      <c r="F759" s="15">
        <v>37501.61</v>
      </c>
      <c r="G759" s="15">
        <v>37501.61</v>
      </c>
      <c r="H759" s="15">
        <f t="shared" si="55"/>
        <v>0</v>
      </c>
      <c r="I759" s="13">
        <f t="shared" si="56"/>
        <v>27</v>
      </c>
      <c r="J759" s="13" t="str">
        <f t="shared" ca="1" si="57"/>
        <v>Paid</v>
      </c>
      <c r="K759" s="13">
        <f t="shared" ca="1" si="58"/>
        <v>0</v>
      </c>
      <c r="L759" s="13" t="str">
        <f t="shared" si="59"/>
        <v>Paid</v>
      </c>
      <c r="M759" s="14">
        <v>45627</v>
      </c>
      <c r="N759" s="14">
        <v>45689</v>
      </c>
    </row>
    <row r="760" spans="1:14" x14ac:dyDescent="0.25">
      <c r="A760" s="10" t="s">
        <v>887</v>
      </c>
      <c r="B760" s="10" t="s">
        <v>138</v>
      </c>
      <c r="C760" s="11">
        <v>45651</v>
      </c>
      <c r="D760" s="11">
        <v>45681</v>
      </c>
      <c r="E760" s="11">
        <v>45692</v>
      </c>
      <c r="F760" s="12">
        <v>27688.82</v>
      </c>
      <c r="G760" s="12">
        <v>27688.82</v>
      </c>
      <c r="H760" s="12">
        <f t="shared" si="55"/>
        <v>0</v>
      </c>
      <c r="I760" s="10">
        <f t="shared" si="56"/>
        <v>11</v>
      </c>
      <c r="J760" s="10" t="str">
        <f t="shared" ca="1" si="57"/>
        <v>Paid</v>
      </c>
      <c r="K760" s="10">
        <f t="shared" ca="1" si="58"/>
        <v>0</v>
      </c>
      <c r="L760" s="10" t="str">
        <f t="shared" si="59"/>
        <v>Paid</v>
      </c>
      <c r="M760" s="11">
        <v>45627</v>
      </c>
      <c r="N760" s="11">
        <v>45689</v>
      </c>
    </row>
    <row r="761" spans="1:14" x14ac:dyDescent="0.25">
      <c r="A761" s="13" t="s">
        <v>888</v>
      </c>
      <c r="B761" s="13" t="s">
        <v>79</v>
      </c>
      <c r="C761" s="14">
        <v>45637</v>
      </c>
      <c r="D761" s="14">
        <v>45667</v>
      </c>
      <c r="E761" s="14">
        <v>45685</v>
      </c>
      <c r="F761" s="15">
        <v>24801.46</v>
      </c>
      <c r="G761" s="15">
        <v>24801.46</v>
      </c>
      <c r="H761" s="15">
        <f t="shared" si="55"/>
        <v>0</v>
      </c>
      <c r="I761" s="13">
        <f t="shared" si="56"/>
        <v>18</v>
      </c>
      <c r="J761" s="13" t="str">
        <f t="shared" ca="1" si="57"/>
        <v>Paid</v>
      </c>
      <c r="K761" s="13">
        <f t="shared" ca="1" si="58"/>
        <v>0</v>
      </c>
      <c r="L761" s="13" t="str">
        <f t="shared" si="59"/>
        <v>Paid</v>
      </c>
      <c r="M761" s="14">
        <v>45627</v>
      </c>
      <c r="N761" s="14">
        <v>45658</v>
      </c>
    </row>
    <row r="762" spans="1:14" x14ac:dyDescent="0.25">
      <c r="A762" s="10" t="s">
        <v>889</v>
      </c>
      <c r="B762" s="10" t="s">
        <v>79</v>
      </c>
      <c r="C762" s="11">
        <v>45648</v>
      </c>
      <c r="D762" s="11">
        <v>45678</v>
      </c>
      <c r="E762" s="11">
        <v>45703</v>
      </c>
      <c r="F762" s="12">
        <v>36339.050000000003</v>
      </c>
      <c r="G762" s="12">
        <v>36339.050000000003</v>
      </c>
      <c r="H762" s="12">
        <f t="shared" si="55"/>
        <v>0</v>
      </c>
      <c r="I762" s="10">
        <f t="shared" si="56"/>
        <v>25</v>
      </c>
      <c r="J762" s="10" t="str">
        <f t="shared" ca="1" si="57"/>
        <v>Paid</v>
      </c>
      <c r="K762" s="10">
        <f t="shared" ca="1" si="58"/>
        <v>0</v>
      </c>
      <c r="L762" s="10" t="str">
        <f t="shared" si="59"/>
        <v>Paid</v>
      </c>
      <c r="M762" s="11">
        <v>45627</v>
      </c>
      <c r="N762" s="11">
        <v>45689</v>
      </c>
    </row>
    <row r="763" spans="1:14" x14ac:dyDescent="0.25">
      <c r="A763" s="13" t="s">
        <v>890</v>
      </c>
      <c r="B763" s="13" t="s">
        <v>169</v>
      </c>
      <c r="C763" s="14">
        <v>45633</v>
      </c>
      <c r="D763" s="14">
        <v>45663</v>
      </c>
      <c r="E763" s="14">
        <v>45663</v>
      </c>
      <c r="F763" s="15">
        <v>44029.19</v>
      </c>
      <c r="G763" s="15">
        <v>44029.19</v>
      </c>
      <c r="H763" s="15">
        <f t="shared" si="55"/>
        <v>0</v>
      </c>
      <c r="I763" s="13">
        <f t="shared" si="56"/>
        <v>0</v>
      </c>
      <c r="J763" s="13" t="str">
        <f t="shared" ca="1" si="57"/>
        <v>Paid</v>
      </c>
      <c r="K763" s="13">
        <f t="shared" ca="1" si="58"/>
        <v>0</v>
      </c>
      <c r="L763" s="13" t="str">
        <f t="shared" si="59"/>
        <v>Paid</v>
      </c>
      <c r="M763" s="14">
        <v>45627</v>
      </c>
      <c r="N763" s="14">
        <v>45658</v>
      </c>
    </row>
    <row r="764" spans="1:14" x14ac:dyDescent="0.25">
      <c r="A764" s="10" t="s">
        <v>891</v>
      </c>
      <c r="B764" s="10" t="s">
        <v>107</v>
      </c>
      <c r="C764" s="11">
        <v>45632</v>
      </c>
      <c r="D764" s="11">
        <v>45662</v>
      </c>
      <c r="E764" s="11">
        <v>45689</v>
      </c>
      <c r="F764" s="12">
        <v>91336.17</v>
      </c>
      <c r="G764" s="12">
        <v>91336.17</v>
      </c>
      <c r="H764" s="12">
        <f t="shared" si="55"/>
        <v>0</v>
      </c>
      <c r="I764" s="10">
        <f t="shared" si="56"/>
        <v>27</v>
      </c>
      <c r="J764" s="10" t="str">
        <f t="shared" ca="1" si="57"/>
        <v>Paid</v>
      </c>
      <c r="K764" s="10">
        <f t="shared" ca="1" si="58"/>
        <v>0</v>
      </c>
      <c r="L764" s="10" t="str">
        <f t="shared" si="59"/>
        <v>Paid</v>
      </c>
      <c r="M764" s="11">
        <v>45627</v>
      </c>
      <c r="N764" s="11">
        <v>45689</v>
      </c>
    </row>
    <row r="765" spans="1:14" x14ac:dyDescent="0.25">
      <c r="A765" s="13" t="s">
        <v>892</v>
      </c>
      <c r="B765" s="13" t="s">
        <v>93</v>
      </c>
      <c r="C765" s="14">
        <v>45631</v>
      </c>
      <c r="D765" s="14">
        <v>45661</v>
      </c>
      <c r="E765" s="14">
        <v>45688</v>
      </c>
      <c r="F765" s="15">
        <v>54306.6</v>
      </c>
      <c r="G765" s="15">
        <v>54306.6</v>
      </c>
      <c r="H765" s="15">
        <f t="shared" si="55"/>
        <v>0</v>
      </c>
      <c r="I765" s="13">
        <f t="shared" si="56"/>
        <v>27</v>
      </c>
      <c r="J765" s="13" t="str">
        <f t="shared" ca="1" si="57"/>
        <v>Paid</v>
      </c>
      <c r="K765" s="13">
        <f t="shared" ca="1" si="58"/>
        <v>0</v>
      </c>
      <c r="L765" s="13" t="str">
        <f t="shared" si="59"/>
        <v>Paid</v>
      </c>
      <c r="M765" s="14">
        <v>45627</v>
      </c>
      <c r="N765" s="14">
        <v>45658</v>
      </c>
    </row>
    <row r="766" spans="1:14" x14ac:dyDescent="0.25">
      <c r="A766" s="10" t="s">
        <v>893</v>
      </c>
      <c r="B766" s="10" t="s">
        <v>222</v>
      </c>
      <c r="C766" s="11">
        <v>45635</v>
      </c>
      <c r="D766" s="11">
        <v>45665</v>
      </c>
      <c r="E766" s="11">
        <v>45674</v>
      </c>
      <c r="F766" s="12">
        <v>29232.37</v>
      </c>
      <c r="G766" s="12">
        <v>29232.37</v>
      </c>
      <c r="H766" s="12">
        <f t="shared" si="55"/>
        <v>0</v>
      </c>
      <c r="I766" s="10">
        <f t="shared" si="56"/>
        <v>9</v>
      </c>
      <c r="J766" s="10" t="str">
        <f t="shared" ca="1" si="57"/>
        <v>Paid</v>
      </c>
      <c r="K766" s="10">
        <f t="shared" ca="1" si="58"/>
        <v>0</v>
      </c>
      <c r="L766" s="10" t="str">
        <f t="shared" si="59"/>
        <v>Paid</v>
      </c>
      <c r="M766" s="11">
        <v>45627</v>
      </c>
      <c r="N766" s="11">
        <v>45658</v>
      </c>
    </row>
    <row r="767" spans="1:14" x14ac:dyDescent="0.25">
      <c r="A767" s="13" t="s">
        <v>894</v>
      </c>
      <c r="B767" s="13" t="s">
        <v>89</v>
      </c>
      <c r="C767" s="14">
        <v>45637</v>
      </c>
      <c r="D767" s="14">
        <v>45667</v>
      </c>
      <c r="E767" s="14">
        <v>45689</v>
      </c>
      <c r="F767" s="15">
        <v>137594.13</v>
      </c>
      <c r="G767" s="15">
        <v>137594.13</v>
      </c>
      <c r="H767" s="15">
        <f t="shared" si="55"/>
        <v>0</v>
      </c>
      <c r="I767" s="13">
        <f t="shared" si="56"/>
        <v>22</v>
      </c>
      <c r="J767" s="13" t="str">
        <f t="shared" ca="1" si="57"/>
        <v>Paid</v>
      </c>
      <c r="K767" s="13">
        <f t="shared" ca="1" si="58"/>
        <v>0</v>
      </c>
      <c r="L767" s="13" t="str">
        <f t="shared" si="59"/>
        <v>Paid</v>
      </c>
      <c r="M767" s="14">
        <v>45627</v>
      </c>
      <c r="N767" s="14">
        <v>45689</v>
      </c>
    </row>
    <row r="768" spans="1:14" x14ac:dyDescent="0.25">
      <c r="A768" s="10" t="s">
        <v>895</v>
      </c>
      <c r="B768" s="10" t="s">
        <v>79</v>
      </c>
      <c r="C768" s="11">
        <v>45641</v>
      </c>
      <c r="D768" s="11">
        <v>45671</v>
      </c>
      <c r="E768" s="11"/>
      <c r="F768" s="12">
        <v>55727.59</v>
      </c>
      <c r="G768" s="12">
        <v>0</v>
      </c>
      <c r="H768" s="12">
        <f t="shared" si="55"/>
        <v>55727.59</v>
      </c>
      <c r="I768" s="10" t="str">
        <f t="shared" si="56"/>
        <v/>
      </c>
      <c r="J768" s="10" t="str">
        <f t="shared" ca="1" si="57"/>
        <v>Overdue</v>
      </c>
      <c r="K768" s="10">
        <f t="shared" ca="1" si="58"/>
        <v>585</v>
      </c>
      <c r="L768" s="10" t="str">
        <f t="shared" ca="1" si="59"/>
        <v>120+ Days</v>
      </c>
      <c r="M768" s="11">
        <v>45627</v>
      </c>
      <c r="N768" s="11"/>
    </row>
    <row r="769" spans="1:14" x14ac:dyDescent="0.25">
      <c r="A769" s="13" t="s">
        <v>896</v>
      </c>
      <c r="B769" s="13" t="s">
        <v>115</v>
      </c>
      <c r="C769" s="14">
        <v>45653</v>
      </c>
      <c r="D769" s="14">
        <v>45683</v>
      </c>
      <c r="E769" s="14"/>
      <c r="F769" s="15">
        <v>16296.28</v>
      </c>
      <c r="G769" s="15">
        <v>0</v>
      </c>
      <c r="H769" s="15">
        <f t="shared" si="55"/>
        <v>16296.28</v>
      </c>
      <c r="I769" s="13" t="str">
        <f t="shared" si="56"/>
        <v/>
      </c>
      <c r="J769" s="13" t="str">
        <f t="shared" ca="1" si="57"/>
        <v>Overdue</v>
      </c>
      <c r="K769" s="13">
        <f t="shared" ca="1" si="58"/>
        <v>573</v>
      </c>
      <c r="L769" s="13" t="str">
        <f t="shared" ca="1" si="59"/>
        <v>120+ Days</v>
      </c>
      <c r="M769" s="14">
        <v>45627</v>
      </c>
      <c r="N769" s="14"/>
    </row>
    <row r="770" spans="1:14" x14ac:dyDescent="0.25">
      <c r="A770" s="10" t="s">
        <v>897</v>
      </c>
      <c r="B770" s="10" t="s">
        <v>449</v>
      </c>
      <c r="C770" s="11">
        <v>45644</v>
      </c>
      <c r="D770" s="11">
        <v>45674</v>
      </c>
      <c r="E770" s="11">
        <v>45697</v>
      </c>
      <c r="F770" s="12">
        <v>12893.45</v>
      </c>
      <c r="G770" s="12">
        <v>12893.45</v>
      </c>
      <c r="H770" s="12">
        <f t="shared" ref="H770:H833" si="60">MAX(0,F770-G770)</f>
        <v>0</v>
      </c>
      <c r="I770" s="10">
        <f t="shared" ref="I770:I833" si="61">IF(E770="","",MAX(0,E770-D770))</f>
        <v>23</v>
      </c>
      <c r="J770" s="10" t="str">
        <f t="shared" ref="J770:J833" ca="1" si="62">IF(H770=0,"Paid",IF(D770&lt;TODAY(),"Overdue","Open"))</f>
        <v>Paid</v>
      </c>
      <c r="K770" s="10">
        <f t="shared" ref="K770:K833" ca="1" si="63">IF(H770=0,0,MAX(0,TODAY()-D770))</f>
        <v>0</v>
      </c>
      <c r="L770" s="10" t="str">
        <f t="shared" ref="L770:L833" si="64">IF(H770=0,"Paid",IF(K770&lt;=30,"0-30 Days",IF(K770&lt;=60,"31-60 Days",IF(K770&lt;=90,"61-90 Days",IF(K770&lt;=120,"91-120 Days","120+ Days")))))</f>
        <v>Paid</v>
      </c>
      <c r="M770" s="11">
        <v>45627</v>
      </c>
      <c r="N770" s="11">
        <v>45689</v>
      </c>
    </row>
    <row r="771" spans="1:14" x14ac:dyDescent="0.25">
      <c r="A771" s="13" t="s">
        <v>898</v>
      </c>
      <c r="B771" s="13" t="s">
        <v>159</v>
      </c>
      <c r="C771" s="14">
        <v>45636</v>
      </c>
      <c r="D771" s="14">
        <v>45666</v>
      </c>
      <c r="E771" s="14">
        <v>45738</v>
      </c>
      <c r="F771" s="15">
        <v>57342.49</v>
      </c>
      <c r="G771" s="15">
        <v>21344.52</v>
      </c>
      <c r="H771" s="15">
        <f t="shared" si="60"/>
        <v>35997.97</v>
      </c>
      <c r="I771" s="13">
        <f t="shared" si="61"/>
        <v>72</v>
      </c>
      <c r="J771" s="13" t="str">
        <f t="shared" ca="1" si="62"/>
        <v>Overdue</v>
      </c>
      <c r="K771" s="13">
        <f t="shared" ca="1" si="63"/>
        <v>590</v>
      </c>
      <c r="L771" s="13" t="str">
        <f t="shared" ca="1" si="64"/>
        <v>120+ Days</v>
      </c>
      <c r="M771" s="14">
        <v>45627</v>
      </c>
      <c r="N771" s="14">
        <v>45717</v>
      </c>
    </row>
    <row r="772" spans="1:14" x14ac:dyDescent="0.25">
      <c r="A772" s="10" t="s">
        <v>899</v>
      </c>
      <c r="B772" s="10" t="s">
        <v>140</v>
      </c>
      <c r="C772" s="11">
        <v>45635</v>
      </c>
      <c r="D772" s="11">
        <v>45665</v>
      </c>
      <c r="E772" s="11">
        <v>45665</v>
      </c>
      <c r="F772" s="12">
        <v>40752.21</v>
      </c>
      <c r="G772" s="12">
        <v>40752.21</v>
      </c>
      <c r="H772" s="12">
        <f t="shared" si="60"/>
        <v>0</v>
      </c>
      <c r="I772" s="10">
        <f t="shared" si="61"/>
        <v>0</v>
      </c>
      <c r="J772" s="10" t="str">
        <f t="shared" ca="1" si="62"/>
        <v>Paid</v>
      </c>
      <c r="K772" s="10">
        <f t="shared" ca="1" si="63"/>
        <v>0</v>
      </c>
      <c r="L772" s="10" t="str">
        <f t="shared" si="64"/>
        <v>Paid</v>
      </c>
      <c r="M772" s="11">
        <v>45627</v>
      </c>
      <c r="N772" s="11">
        <v>45658</v>
      </c>
    </row>
    <row r="773" spans="1:14" x14ac:dyDescent="0.25">
      <c r="A773" s="13" t="s">
        <v>900</v>
      </c>
      <c r="B773" s="13" t="s">
        <v>331</v>
      </c>
      <c r="C773" s="14">
        <v>45648</v>
      </c>
      <c r="D773" s="14">
        <v>45678</v>
      </c>
      <c r="E773" s="14">
        <v>45711</v>
      </c>
      <c r="F773" s="15">
        <v>26983.24</v>
      </c>
      <c r="G773" s="15">
        <v>26983.24</v>
      </c>
      <c r="H773" s="15">
        <f t="shared" si="60"/>
        <v>0</v>
      </c>
      <c r="I773" s="13">
        <f t="shared" si="61"/>
        <v>33</v>
      </c>
      <c r="J773" s="13" t="str">
        <f t="shared" ca="1" si="62"/>
        <v>Paid</v>
      </c>
      <c r="K773" s="13">
        <f t="shared" ca="1" si="63"/>
        <v>0</v>
      </c>
      <c r="L773" s="13" t="str">
        <f t="shared" si="64"/>
        <v>Paid</v>
      </c>
      <c r="M773" s="14">
        <v>45627</v>
      </c>
      <c r="N773" s="14">
        <v>45689</v>
      </c>
    </row>
    <row r="774" spans="1:14" x14ac:dyDescent="0.25">
      <c r="A774" s="10" t="s">
        <v>901</v>
      </c>
      <c r="B774" s="10" t="s">
        <v>274</v>
      </c>
      <c r="C774" s="11">
        <v>45637</v>
      </c>
      <c r="D774" s="11">
        <v>45667</v>
      </c>
      <c r="E774" s="11"/>
      <c r="F774" s="12">
        <v>28502.85</v>
      </c>
      <c r="G774" s="12">
        <v>0</v>
      </c>
      <c r="H774" s="12">
        <f t="shared" si="60"/>
        <v>28502.85</v>
      </c>
      <c r="I774" s="10" t="str">
        <f t="shared" si="61"/>
        <v/>
      </c>
      <c r="J774" s="10" t="str">
        <f t="shared" ca="1" si="62"/>
        <v>Overdue</v>
      </c>
      <c r="K774" s="10">
        <f t="shared" ca="1" si="63"/>
        <v>589</v>
      </c>
      <c r="L774" s="10" t="str">
        <f t="shared" ca="1" si="64"/>
        <v>120+ Days</v>
      </c>
      <c r="M774" s="11">
        <v>45627</v>
      </c>
      <c r="N774" s="11"/>
    </row>
    <row r="775" spans="1:14" x14ac:dyDescent="0.25">
      <c r="A775" s="13" t="s">
        <v>902</v>
      </c>
      <c r="B775" s="13" t="s">
        <v>134</v>
      </c>
      <c r="C775" s="14">
        <v>45650</v>
      </c>
      <c r="D775" s="14">
        <v>45680</v>
      </c>
      <c r="E775" s="14">
        <v>45693</v>
      </c>
      <c r="F775" s="15">
        <v>19458.41</v>
      </c>
      <c r="G775" s="15">
        <v>19458.41</v>
      </c>
      <c r="H775" s="15">
        <f t="shared" si="60"/>
        <v>0</v>
      </c>
      <c r="I775" s="13">
        <f t="shared" si="61"/>
        <v>13</v>
      </c>
      <c r="J775" s="13" t="str">
        <f t="shared" ca="1" si="62"/>
        <v>Paid</v>
      </c>
      <c r="K775" s="13">
        <f t="shared" ca="1" si="63"/>
        <v>0</v>
      </c>
      <c r="L775" s="13" t="str">
        <f t="shared" si="64"/>
        <v>Paid</v>
      </c>
      <c r="M775" s="14">
        <v>45627</v>
      </c>
      <c r="N775" s="14">
        <v>45689</v>
      </c>
    </row>
    <row r="776" spans="1:14" x14ac:dyDescent="0.25">
      <c r="A776" s="10" t="s">
        <v>903</v>
      </c>
      <c r="B776" s="10" t="s">
        <v>146</v>
      </c>
      <c r="C776" s="11">
        <v>45634</v>
      </c>
      <c r="D776" s="11">
        <v>45664</v>
      </c>
      <c r="E776" s="11">
        <v>45664</v>
      </c>
      <c r="F776" s="12">
        <v>34761.81</v>
      </c>
      <c r="G776" s="12">
        <v>34761.81</v>
      </c>
      <c r="H776" s="12">
        <f t="shared" si="60"/>
        <v>0</v>
      </c>
      <c r="I776" s="10">
        <f t="shared" si="61"/>
        <v>0</v>
      </c>
      <c r="J776" s="10" t="str">
        <f t="shared" ca="1" si="62"/>
        <v>Paid</v>
      </c>
      <c r="K776" s="10">
        <f t="shared" ca="1" si="63"/>
        <v>0</v>
      </c>
      <c r="L776" s="10" t="str">
        <f t="shared" si="64"/>
        <v>Paid</v>
      </c>
      <c r="M776" s="11">
        <v>45627</v>
      </c>
      <c r="N776" s="11">
        <v>45658</v>
      </c>
    </row>
    <row r="777" spans="1:14" x14ac:dyDescent="0.25">
      <c r="A777" s="13" t="s">
        <v>904</v>
      </c>
      <c r="B777" s="13" t="s">
        <v>198</v>
      </c>
      <c r="C777" s="14">
        <v>45629</v>
      </c>
      <c r="D777" s="14">
        <v>45659</v>
      </c>
      <c r="E777" s="14">
        <v>45659</v>
      </c>
      <c r="F777" s="15">
        <v>57219.69</v>
      </c>
      <c r="G777" s="15">
        <v>57219.69</v>
      </c>
      <c r="H777" s="15">
        <f t="shared" si="60"/>
        <v>0</v>
      </c>
      <c r="I777" s="13">
        <f t="shared" si="61"/>
        <v>0</v>
      </c>
      <c r="J777" s="13" t="str">
        <f t="shared" ca="1" si="62"/>
        <v>Paid</v>
      </c>
      <c r="K777" s="13">
        <f t="shared" ca="1" si="63"/>
        <v>0</v>
      </c>
      <c r="L777" s="13" t="str">
        <f t="shared" si="64"/>
        <v>Paid</v>
      </c>
      <c r="M777" s="14">
        <v>45627</v>
      </c>
      <c r="N777" s="14">
        <v>45658</v>
      </c>
    </row>
    <row r="778" spans="1:14" x14ac:dyDescent="0.25">
      <c r="A778" s="10" t="s">
        <v>905</v>
      </c>
      <c r="B778" s="10" t="s">
        <v>72</v>
      </c>
      <c r="C778" s="11">
        <v>45646</v>
      </c>
      <c r="D778" s="11">
        <v>45676</v>
      </c>
      <c r="E778" s="11"/>
      <c r="F778" s="12">
        <v>36137.67</v>
      </c>
      <c r="G778" s="12">
        <v>0</v>
      </c>
      <c r="H778" s="12">
        <f t="shared" si="60"/>
        <v>36137.67</v>
      </c>
      <c r="I778" s="10" t="str">
        <f t="shared" si="61"/>
        <v/>
      </c>
      <c r="J778" s="10" t="str">
        <f t="shared" ca="1" si="62"/>
        <v>Overdue</v>
      </c>
      <c r="K778" s="10">
        <f t="shared" ca="1" si="63"/>
        <v>580</v>
      </c>
      <c r="L778" s="10" t="str">
        <f t="shared" ca="1" si="64"/>
        <v>120+ Days</v>
      </c>
      <c r="M778" s="11">
        <v>45627</v>
      </c>
      <c r="N778" s="11"/>
    </row>
    <row r="779" spans="1:14" x14ac:dyDescent="0.25">
      <c r="A779" s="13" t="s">
        <v>906</v>
      </c>
      <c r="B779" s="13" t="s">
        <v>113</v>
      </c>
      <c r="C779" s="14">
        <v>45647</v>
      </c>
      <c r="D779" s="14">
        <v>45677</v>
      </c>
      <c r="E779" s="14">
        <v>45700</v>
      </c>
      <c r="F779" s="15">
        <v>19414.41</v>
      </c>
      <c r="G779" s="15">
        <v>19414.41</v>
      </c>
      <c r="H779" s="15">
        <f t="shared" si="60"/>
        <v>0</v>
      </c>
      <c r="I779" s="13">
        <f t="shared" si="61"/>
        <v>23</v>
      </c>
      <c r="J779" s="13" t="str">
        <f t="shared" ca="1" si="62"/>
        <v>Paid</v>
      </c>
      <c r="K779" s="13">
        <f t="shared" ca="1" si="63"/>
        <v>0</v>
      </c>
      <c r="L779" s="13" t="str">
        <f t="shared" si="64"/>
        <v>Paid</v>
      </c>
      <c r="M779" s="14">
        <v>45627</v>
      </c>
      <c r="N779" s="14">
        <v>45689</v>
      </c>
    </row>
    <row r="780" spans="1:14" x14ac:dyDescent="0.25">
      <c r="A780" s="10" t="s">
        <v>907</v>
      </c>
      <c r="B780" s="10" t="s">
        <v>93</v>
      </c>
      <c r="C780" s="11">
        <v>45627</v>
      </c>
      <c r="D780" s="11">
        <v>45657</v>
      </c>
      <c r="E780" s="11">
        <v>45672</v>
      </c>
      <c r="F780" s="12">
        <v>41213.1</v>
      </c>
      <c r="G780" s="12">
        <v>41213.1</v>
      </c>
      <c r="H780" s="12">
        <f t="shared" si="60"/>
        <v>0</v>
      </c>
      <c r="I780" s="10">
        <f t="shared" si="61"/>
        <v>15</v>
      </c>
      <c r="J780" s="10" t="str">
        <f t="shared" ca="1" si="62"/>
        <v>Paid</v>
      </c>
      <c r="K780" s="10">
        <f t="shared" ca="1" si="63"/>
        <v>0</v>
      </c>
      <c r="L780" s="10" t="str">
        <f t="shared" si="64"/>
        <v>Paid</v>
      </c>
      <c r="M780" s="11">
        <v>45627</v>
      </c>
      <c r="N780" s="11">
        <v>45658</v>
      </c>
    </row>
    <row r="781" spans="1:14" x14ac:dyDescent="0.25">
      <c r="A781" s="13" t="s">
        <v>908</v>
      </c>
      <c r="B781" s="13" t="s">
        <v>115</v>
      </c>
      <c r="C781" s="14">
        <v>45652</v>
      </c>
      <c r="D781" s="14">
        <v>45682</v>
      </c>
      <c r="E781" s="14">
        <v>45687</v>
      </c>
      <c r="F781" s="15">
        <v>36695.18</v>
      </c>
      <c r="G781" s="15">
        <v>36695.18</v>
      </c>
      <c r="H781" s="15">
        <f t="shared" si="60"/>
        <v>0</v>
      </c>
      <c r="I781" s="13">
        <f t="shared" si="61"/>
        <v>5</v>
      </c>
      <c r="J781" s="13" t="str">
        <f t="shared" ca="1" si="62"/>
        <v>Paid</v>
      </c>
      <c r="K781" s="13">
        <f t="shared" ca="1" si="63"/>
        <v>0</v>
      </c>
      <c r="L781" s="13" t="str">
        <f t="shared" si="64"/>
        <v>Paid</v>
      </c>
      <c r="M781" s="14">
        <v>45627</v>
      </c>
      <c r="N781" s="14">
        <v>45658</v>
      </c>
    </row>
    <row r="782" spans="1:14" x14ac:dyDescent="0.25">
      <c r="A782" s="10" t="s">
        <v>909</v>
      </c>
      <c r="B782" s="10" t="s">
        <v>198</v>
      </c>
      <c r="C782" s="11">
        <v>45631</v>
      </c>
      <c r="D782" s="11">
        <v>45661</v>
      </c>
      <c r="E782" s="11">
        <v>45662</v>
      </c>
      <c r="F782" s="12">
        <v>29122.43</v>
      </c>
      <c r="G782" s="12">
        <v>29122.43</v>
      </c>
      <c r="H782" s="12">
        <f t="shared" si="60"/>
        <v>0</v>
      </c>
      <c r="I782" s="10">
        <f t="shared" si="61"/>
        <v>1</v>
      </c>
      <c r="J782" s="10" t="str">
        <f t="shared" ca="1" si="62"/>
        <v>Paid</v>
      </c>
      <c r="K782" s="10">
        <f t="shared" ca="1" si="63"/>
        <v>0</v>
      </c>
      <c r="L782" s="10" t="str">
        <f t="shared" si="64"/>
        <v>Paid</v>
      </c>
      <c r="M782" s="11">
        <v>45627</v>
      </c>
      <c r="N782" s="11">
        <v>45658</v>
      </c>
    </row>
    <row r="783" spans="1:14" x14ac:dyDescent="0.25">
      <c r="A783" s="13" t="s">
        <v>910</v>
      </c>
      <c r="B783" s="13" t="s">
        <v>278</v>
      </c>
      <c r="C783" s="14">
        <v>45631</v>
      </c>
      <c r="D783" s="14">
        <v>45661</v>
      </c>
      <c r="E783" s="14">
        <v>45739</v>
      </c>
      <c r="F783" s="15">
        <v>49857.13</v>
      </c>
      <c r="G783" s="15">
        <v>49857.13</v>
      </c>
      <c r="H783" s="15">
        <f t="shared" si="60"/>
        <v>0</v>
      </c>
      <c r="I783" s="13">
        <f t="shared" si="61"/>
        <v>78</v>
      </c>
      <c r="J783" s="13" t="str">
        <f t="shared" ca="1" si="62"/>
        <v>Paid</v>
      </c>
      <c r="K783" s="13">
        <f t="shared" ca="1" si="63"/>
        <v>0</v>
      </c>
      <c r="L783" s="13" t="str">
        <f t="shared" si="64"/>
        <v>Paid</v>
      </c>
      <c r="M783" s="14">
        <v>45627</v>
      </c>
      <c r="N783" s="14">
        <v>45717</v>
      </c>
    </row>
    <row r="784" spans="1:14" x14ac:dyDescent="0.25">
      <c r="A784" s="10" t="s">
        <v>911</v>
      </c>
      <c r="B784" s="10" t="s">
        <v>278</v>
      </c>
      <c r="C784" s="11">
        <v>45648</v>
      </c>
      <c r="D784" s="11">
        <v>45678</v>
      </c>
      <c r="E784" s="11">
        <v>45729</v>
      </c>
      <c r="F784" s="12">
        <v>66020.61</v>
      </c>
      <c r="G784" s="12">
        <v>66020.61</v>
      </c>
      <c r="H784" s="12">
        <f t="shared" si="60"/>
        <v>0</v>
      </c>
      <c r="I784" s="10">
        <f t="shared" si="61"/>
        <v>51</v>
      </c>
      <c r="J784" s="10" t="str">
        <f t="shared" ca="1" si="62"/>
        <v>Paid</v>
      </c>
      <c r="K784" s="10">
        <f t="shared" ca="1" si="63"/>
        <v>0</v>
      </c>
      <c r="L784" s="10" t="str">
        <f t="shared" si="64"/>
        <v>Paid</v>
      </c>
      <c r="M784" s="11">
        <v>45627</v>
      </c>
      <c r="N784" s="11">
        <v>45717</v>
      </c>
    </row>
    <row r="785" spans="1:14" x14ac:dyDescent="0.25">
      <c r="A785" s="13" t="s">
        <v>912</v>
      </c>
      <c r="B785" s="13" t="s">
        <v>230</v>
      </c>
      <c r="C785" s="14">
        <v>45639</v>
      </c>
      <c r="D785" s="14">
        <v>45669</v>
      </c>
      <c r="E785" s="14">
        <v>45669</v>
      </c>
      <c r="F785" s="15">
        <v>36619.120000000003</v>
      </c>
      <c r="G785" s="15">
        <v>36619.120000000003</v>
      </c>
      <c r="H785" s="15">
        <f t="shared" si="60"/>
        <v>0</v>
      </c>
      <c r="I785" s="13">
        <f t="shared" si="61"/>
        <v>0</v>
      </c>
      <c r="J785" s="13" t="str">
        <f t="shared" ca="1" si="62"/>
        <v>Paid</v>
      </c>
      <c r="K785" s="13">
        <f t="shared" ca="1" si="63"/>
        <v>0</v>
      </c>
      <c r="L785" s="13" t="str">
        <f t="shared" si="64"/>
        <v>Paid</v>
      </c>
      <c r="M785" s="14">
        <v>45627</v>
      </c>
      <c r="N785" s="14">
        <v>45658</v>
      </c>
    </row>
    <row r="786" spans="1:14" x14ac:dyDescent="0.25">
      <c r="A786" s="10" t="s">
        <v>913</v>
      </c>
      <c r="B786" s="10" t="s">
        <v>220</v>
      </c>
      <c r="C786" s="11">
        <v>45630</v>
      </c>
      <c r="D786" s="11">
        <v>45660</v>
      </c>
      <c r="E786" s="11">
        <v>45683</v>
      </c>
      <c r="F786" s="12">
        <v>29407.88</v>
      </c>
      <c r="G786" s="12">
        <v>29407.88</v>
      </c>
      <c r="H786" s="12">
        <f t="shared" si="60"/>
        <v>0</v>
      </c>
      <c r="I786" s="10">
        <f t="shared" si="61"/>
        <v>23</v>
      </c>
      <c r="J786" s="10" t="str">
        <f t="shared" ca="1" si="62"/>
        <v>Paid</v>
      </c>
      <c r="K786" s="10">
        <f t="shared" ca="1" si="63"/>
        <v>0</v>
      </c>
      <c r="L786" s="10" t="str">
        <f t="shared" si="64"/>
        <v>Paid</v>
      </c>
      <c r="M786" s="11">
        <v>45627</v>
      </c>
      <c r="N786" s="11">
        <v>45658</v>
      </c>
    </row>
    <row r="787" spans="1:14" x14ac:dyDescent="0.25">
      <c r="A787" s="13" t="s">
        <v>914</v>
      </c>
      <c r="B787" s="13" t="s">
        <v>70</v>
      </c>
      <c r="C787" s="14">
        <v>45638</v>
      </c>
      <c r="D787" s="14">
        <v>45668</v>
      </c>
      <c r="E787" s="14">
        <v>45712</v>
      </c>
      <c r="F787" s="15">
        <v>72995.13</v>
      </c>
      <c r="G787" s="15">
        <v>72995.13</v>
      </c>
      <c r="H787" s="15">
        <f t="shared" si="60"/>
        <v>0</v>
      </c>
      <c r="I787" s="13">
        <f t="shared" si="61"/>
        <v>44</v>
      </c>
      <c r="J787" s="13" t="str">
        <f t="shared" ca="1" si="62"/>
        <v>Paid</v>
      </c>
      <c r="K787" s="13">
        <f t="shared" ca="1" si="63"/>
        <v>0</v>
      </c>
      <c r="L787" s="13" t="str">
        <f t="shared" si="64"/>
        <v>Paid</v>
      </c>
      <c r="M787" s="14">
        <v>45627</v>
      </c>
      <c r="N787" s="14">
        <v>45689</v>
      </c>
    </row>
    <row r="788" spans="1:14" x14ac:dyDescent="0.25">
      <c r="A788" s="10" t="s">
        <v>915</v>
      </c>
      <c r="B788" s="10" t="s">
        <v>131</v>
      </c>
      <c r="C788" s="11">
        <v>45642</v>
      </c>
      <c r="D788" s="11">
        <v>45672</v>
      </c>
      <c r="E788" s="11">
        <v>45682</v>
      </c>
      <c r="F788" s="12">
        <v>32547.759999999998</v>
      </c>
      <c r="G788" s="12">
        <v>32547.759999999998</v>
      </c>
      <c r="H788" s="12">
        <f t="shared" si="60"/>
        <v>0</v>
      </c>
      <c r="I788" s="10">
        <f t="shared" si="61"/>
        <v>10</v>
      </c>
      <c r="J788" s="10" t="str">
        <f t="shared" ca="1" si="62"/>
        <v>Paid</v>
      </c>
      <c r="K788" s="10">
        <f t="shared" ca="1" si="63"/>
        <v>0</v>
      </c>
      <c r="L788" s="10" t="str">
        <f t="shared" si="64"/>
        <v>Paid</v>
      </c>
      <c r="M788" s="11">
        <v>45627</v>
      </c>
      <c r="N788" s="11">
        <v>45658</v>
      </c>
    </row>
    <row r="789" spans="1:14" x14ac:dyDescent="0.25">
      <c r="A789" s="13" t="s">
        <v>916</v>
      </c>
      <c r="B789" s="13" t="s">
        <v>101</v>
      </c>
      <c r="C789" s="14">
        <v>45628</v>
      </c>
      <c r="D789" s="14">
        <v>45658</v>
      </c>
      <c r="E789" s="14"/>
      <c r="F789" s="15">
        <v>48503.42</v>
      </c>
      <c r="G789" s="15">
        <v>0</v>
      </c>
      <c r="H789" s="15">
        <f t="shared" si="60"/>
        <v>48503.42</v>
      </c>
      <c r="I789" s="13" t="str">
        <f t="shared" si="61"/>
        <v/>
      </c>
      <c r="J789" s="13" t="str">
        <f t="shared" ca="1" si="62"/>
        <v>Overdue</v>
      </c>
      <c r="K789" s="13">
        <f t="shared" ca="1" si="63"/>
        <v>598</v>
      </c>
      <c r="L789" s="13" t="str">
        <f t="shared" ca="1" si="64"/>
        <v>120+ Days</v>
      </c>
      <c r="M789" s="14">
        <v>45627</v>
      </c>
      <c r="N789" s="14"/>
    </row>
    <row r="790" spans="1:14" x14ac:dyDescent="0.25">
      <c r="A790" s="10" t="s">
        <v>917</v>
      </c>
      <c r="B790" s="10" t="s">
        <v>113</v>
      </c>
      <c r="C790" s="11">
        <v>45628</v>
      </c>
      <c r="D790" s="11">
        <v>45658</v>
      </c>
      <c r="E790" s="11">
        <v>45658</v>
      </c>
      <c r="F790" s="12">
        <v>61235.07</v>
      </c>
      <c r="G790" s="12">
        <v>61235.07</v>
      </c>
      <c r="H790" s="12">
        <f t="shared" si="60"/>
        <v>0</v>
      </c>
      <c r="I790" s="10">
        <f t="shared" si="61"/>
        <v>0</v>
      </c>
      <c r="J790" s="10" t="str">
        <f t="shared" ca="1" si="62"/>
        <v>Paid</v>
      </c>
      <c r="K790" s="10">
        <f t="shared" ca="1" si="63"/>
        <v>0</v>
      </c>
      <c r="L790" s="10" t="str">
        <f t="shared" si="64"/>
        <v>Paid</v>
      </c>
      <c r="M790" s="11">
        <v>45627</v>
      </c>
      <c r="N790" s="11">
        <v>45658</v>
      </c>
    </row>
    <row r="791" spans="1:14" x14ac:dyDescent="0.25">
      <c r="A791" s="13" t="s">
        <v>918</v>
      </c>
      <c r="B791" s="13" t="s">
        <v>87</v>
      </c>
      <c r="C791" s="14">
        <v>45628</v>
      </c>
      <c r="D791" s="14">
        <v>45658</v>
      </c>
      <c r="E791" s="14">
        <v>45658</v>
      </c>
      <c r="F791" s="15">
        <v>58330.73</v>
      </c>
      <c r="G791" s="15">
        <v>58330.73</v>
      </c>
      <c r="H791" s="15">
        <f t="shared" si="60"/>
        <v>0</v>
      </c>
      <c r="I791" s="13">
        <f t="shared" si="61"/>
        <v>0</v>
      </c>
      <c r="J791" s="13" t="str">
        <f t="shared" ca="1" si="62"/>
        <v>Paid</v>
      </c>
      <c r="K791" s="13">
        <f t="shared" ca="1" si="63"/>
        <v>0</v>
      </c>
      <c r="L791" s="13" t="str">
        <f t="shared" si="64"/>
        <v>Paid</v>
      </c>
      <c r="M791" s="14">
        <v>45627</v>
      </c>
      <c r="N791" s="14">
        <v>45658</v>
      </c>
    </row>
    <row r="792" spans="1:14" x14ac:dyDescent="0.25">
      <c r="A792" s="10" t="s">
        <v>919</v>
      </c>
      <c r="B792" s="10" t="s">
        <v>233</v>
      </c>
      <c r="C792" s="11">
        <v>45636</v>
      </c>
      <c r="D792" s="11">
        <v>45666</v>
      </c>
      <c r="E792" s="11">
        <v>45709</v>
      </c>
      <c r="F792" s="12">
        <v>14780.37</v>
      </c>
      <c r="G792" s="12">
        <v>14780.37</v>
      </c>
      <c r="H792" s="12">
        <f t="shared" si="60"/>
        <v>0</v>
      </c>
      <c r="I792" s="10">
        <f t="shared" si="61"/>
        <v>43</v>
      </c>
      <c r="J792" s="10" t="str">
        <f t="shared" ca="1" si="62"/>
        <v>Paid</v>
      </c>
      <c r="K792" s="10">
        <f t="shared" ca="1" si="63"/>
        <v>0</v>
      </c>
      <c r="L792" s="10" t="str">
        <f t="shared" si="64"/>
        <v>Paid</v>
      </c>
      <c r="M792" s="11">
        <v>45627</v>
      </c>
      <c r="N792" s="11">
        <v>45689</v>
      </c>
    </row>
    <row r="793" spans="1:14" x14ac:dyDescent="0.25">
      <c r="A793" s="13" t="s">
        <v>920</v>
      </c>
      <c r="B793" s="13" t="s">
        <v>81</v>
      </c>
      <c r="C793" s="14">
        <v>45627</v>
      </c>
      <c r="D793" s="14">
        <v>45657</v>
      </c>
      <c r="E793" s="14">
        <v>45688</v>
      </c>
      <c r="F793" s="15">
        <v>29539.119999999999</v>
      </c>
      <c r="G793" s="15">
        <v>29539.119999999999</v>
      </c>
      <c r="H793" s="15">
        <f t="shared" si="60"/>
        <v>0</v>
      </c>
      <c r="I793" s="13">
        <f t="shared" si="61"/>
        <v>31</v>
      </c>
      <c r="J793" s="13" t="str">
        <f t="shared" ca="1" si="62"/>
        <v>Paid</v>
      </c>
      <c r="K793" s="13">
        <f t="shared" ca="1" si="63"/>
        <v>0</v>
      </c>
      <c r="L793" s="13" t="str">
        <f t="shared" si="64"/>
        <v>Paid</v>
      </c>
      <c r="M793" s="14">
        <v>45627</v>
      </c>
      <c r="N793" s="14">
        <v>45658</v>
      </c>
    </row>
    <row r="794" spans="1:14" x14ac:dyDescent="0.25">
      <c r="A794" s="10" t="s">
        <v>921</v>
      </c>
      <c r="B794" s="10" t="s">
        <v>97</v>
      </c>
      <c r="C794" s="11">
        <v>45650</v>
      </c>
      <c r="D794" s="11">
        <v>45680</v>
      </c>
      <c r="E794" s="11">
        <v>45680</v>
      </c>
      <c r="F794" s="12">
        <v>29467.64</v>
      </c>
      <c r="G794" s="12">
        <v>29467.64</v>
      </c>
      <c r="H794" s="12">
        <f t="shared" si="60"/>
        <v>0</v>
      </c>
      <c r="I794" s="10">
        <f t="shared" si="61"/>
        <v>0</v>
      </c>
      <c r="J794" s="10" t="str">
        <f t="shared" ca="1" si="62"/>
        <v>Paid</v>
      </c>
      <c r="K794" s="10">
        <f t="shared" ca="1" si="63"/>
        <v>0</v>
      </c>
      <c r="L794" s="10" t="str">
        <f t="shared" si="64"/>
        <v>Paid</v>
      </c>
      <c r="M794" s="11">
        <v>45627</v>
      </c>
      <c r="N794" s="11">
        <v>45658</v>
      </c>
    </row>
    <row r="795" spans="1:14" x14ac:dyDescent="0.25">
      <c r="A795" s="13" t="s">
        <v>922</v>
      </c>
      <c r="B795" s="13" t="s">
        <v>278</v>
      </c>
      <c r="C795" s="14">
        <v>45628</v>
      </c>
      <c r="D795" s="14">
        <v>45658</v>
      </c>
      <c r="E795" s="14">
        <v>45737</v>
      </c>
      <c r="F795" s="15">
        <v>23203.279999999999</v>
      </c>
      <c r="G795" s="15">
        <v>23203.279999999999</v>
      </c>
      <c r="H795" s="15">
        <f t="shared" si="60"/>
        <v>0</v>
      </c>
      <c r="I795" s="13">
        <f t="shared" si="61"/>
        <v>79</v>
      </c>
      <c r="J795" s="13" t="str">
        <f t="shared" ca="1" si="62"/>
        <v>Paid</v>
      </c>
      <c r="K795" s="13">
        <f t="shared" ca="1" si="63"/>
        <v>0</v>
      </c>
      <c r="L795" s="13" t="str">
        <f t="shared" si="64"/>
        <v>Paid</v>
      </c>
      <c r="M795" s="14">
        <v>45627</v>
      </c>
      <c r="N795" s="14">
        <v>45717</v>
      </c>
    </row>
    <row r="796" spans="1:14" x14ac:dyDescent="0.25">
      <c r="A796" s="10" t="s">
        <v>923</v>
      </c>
      <c r="B796" s="10" t="s">
        <v>140</v>
      </c>
      <c r="C796" s="11">
        <v>45629</v>
      </c>
      <c r="D796" s="11">
        <v>45659</v>
      </c>
      <c r="E796" s="11">
        <v>45659</v>
      </c>
      <c r="F796" s="12">
        <v>26481.88</v>
      </c>
      <c r="G796" s="12">
        <v>26481.88</v>
      </c>
      <c r="H796" s="12">
        <f t="shared" si="60"/>
        <v>0</v>
      </c>
      <c r="I796" s="10">
        <f t="shared" si="61"/>
        <v>0</v>
      </c>
      <c r="J796" s="10" t="str">
        <f t="shared" ca="1" si="62"/>
        <v>Paid</v>
      </c>
      <c r="K796" s="10">
        <f t="shared" ca="1" si="63"/>
        <v>0</v>
      </c>
      <c r="L796" s="10" t="str">
        <f t="shared" si="64"/>
        <v>Paid</v>
      </c>
      <c r="M796" s="11">
        <v>45627</v>
      </c>
      <c r="N796" s="11">
        <v>45658</v>
      </c>
    </row>
    <row r="797" spans="1:14" x14ac:dyDescent="0.25">
      <c r="A797" s="13" t="s">
        <v>924</v>
      </c>
      <c r="B797" s="13" t="s">
        <v>161</v>
      </c>
      <c r="C797" s="14">
        <v>45643</v>
      </c>
      <c r="D797" s="14">
        <v>45673</v>
      </c>
      <c r="E797" s="14">
        <v>45699</v>
      </c>
      <c r="F797" s="15">
        <v>104236.24</v>
      </c>
      <c r="G797" s="15">
        <v>104236.24</v>
      </c>
      <c r="H797" s="15">
        <f t="shared" si="60"/>
        <v>0</v>
      </c>
      <c r="I797" s="13">
        <f t="shared" si="61"/>
        <v>26</v>
      </c>
      <c r="J797" s="13" t="str">
        <f t="shared" ca="1" si="62"/>
        <v>Paid</v>
      </c>
      <c r="K797" s="13">
        <f t="shared" ca="1" si="63"/>
        <v>0</v>
      </c>
      <c r="L797" s="13" t="str">
        <f t="shared" si="64"/>
        <v>Paid</v>
      </c>
      <c r="M797" s="14">
        <v>45627</v>
      </c>
      <c r="N797" s="14">
        <v>45689</v>
      </c>
    </row>
    <row r="798" spans="1:14" x14ac:dyDescent="0.25">
      <c r="A798" s="10" t="s">
        <v>925</v>
      </c>
      <c r="B798" s="10" t="s">
        <v>265</v>
      </c>
      <c r="C798" s="11">
        <v>45644</v>
      </c>
      <c r="D798" s="11">
        <v>45674</v>
      </c>
      <c r="E798" s="11"/>
      <c r="F798" s="12">
        <v>115530</v>
      </c>
      <c r="G798" s="12">
        <v>0</v>
      </c>
      <c r="H798" s="12">
        <f t="shared" si="60"/>
        <v>115530</v>
      </c>
      <c r="I798" s="10" t="str">
        <f t="shared" si="61"/>
        <v/>
      </c>
      <c r="J798" s="10" t="str">
        <f t="shared" ca="1" si="62"/>
        <v>Overdue</v>
      </c>
      <c r="K798" s="10">
        <f t="shared" ca="1" si="63"/>
        <v>582</v>
      </c>
      <c r="L798" s="10" t="str">
        <f t="shared" ca="1" si="64"/>
        <v>120+ Days</v>
      </c>
      <c r="M798" s="11">
        <v>45627</v>
      </c>
      <c r="N798" s="11"/>
    </row>
    <row r="799" spans="1:14" x14ac:dyDescent="0.25">
      <c r="A799" s="13" t="s">
        <v>926</v>
      </c>
      <c r="B799" s="13" t="s">
        <v>184</v>
      </c>
      <c r="C799" s="14">
        <v>45645</v>
      </c>
      <c r="D799" s="14">
        <v>45675</v>
      </c>
      <c r="E799" s="14">
        <v>45714</v>
      </c>
      <c r="F799" s="15">
        <v>21833.279999999999</v>
      </c>
      <c r="G799" s="15">
        <v>21833.279999999999</v>
      </c>
      <c r="H799" s="15">
        <f t="shared" si="60"/>
        <v>0</v>
      </c>
      <c r="I799" s="13">
        <f t="shared" si="61"/>
        <v>39</v>
      </c>
      <c r="J799" s="13" t="str">
        <f t="shared" ca="1" si="62"/>
        <v>Paid</v>
      </c>
      <c r="K799" s="13">
        <f t="shared" ca="1" si="63"/>
        <v>0</v>
      </c>
      <c r="L799" s="13" t="str">
        <f t="shared" si="64"/>
        <v>Paid</v>
      </c>
      <c r="M799" s="14">
        <v>45627</v>
      </c>
      <c r="N799" s="14">
        <v>45689</v>
      </c>
    </row>
    <row r="800" spans="1:14" x14ac:dyDescent="0.25">
      <c r="A800" s="10" t="s">
        <v>927</v>
      </c>
      <c r="B800" s="10" t="s">
        <v>119</v>
      </c>
      <c r="C800" s="11">
        <v>45646</v>
      </c>
      <c r="D800" s="11">
        <v>45676</v>
      </c>
      <c r="E800" s="11">
        <v>45694</v>
      </c>
      <c r="F800" s="12">
        <v>36721.089999999997</v>
      </c>
      <c r="G800" s="12">
        <v>36721.089999999997</v>
      </c>
      <c r="H800" s="12">
        <f t="shared" si="60"/>
        <v>0</v>
      </c>
      <c r="I800" s="10">
        <f t="shared" si="61"/>
        <v>18</v>
      </c>
      <c r="J800" s="10" t="str">
        <f t="shared" ca="1" si="62"/>
        <v>Paid</v>
      </c>
      <c r="K800" s="10">
        <f t="shared" ca="1" si="63"/>
        <v>0</v>
      </c>
      <c r="L800" s="10" t="str">
        <f t="shared" si="64"/>
        <v>Paid</v>
      </c>
      <c r="M800" s="11">
        <v>45627</v>
      </c>
      <c r="N800" s="11">
        <v>45689</v>
      </c>
    </row>
    <row r="801" spans="1:14" x14ac:dyDescent="0.25">
      <c r="A801" s="13" t="s">
        <v>928</v>
      </c>
      <c r="B801" s="13" t="s">
        <v>74</v>
      </c>
      <c r="C801" s="14">
        <v>45636</v>
      </c>
      <c r="D801" s="14">
        <v>45666</v>
      </c>
      <c r="E801" s="14">
        <v>45666</v>
      </c>
      <c r="F801" s="15">
        <v>41047.660000000003</v>
      </c>
      <c r="G801" s="15">
        <v>41047.660000000003</v>
      </c>
      <c r="H801" s="15">
        <f t="shared" si="60"/>
        <v>0</v>
      </c>
      <c r="I801" s="13">
        <f t="shared" si="61"/>
        <v>0</v>
      </c>
      <c r="J801" s="13" t="str">
        <f t="shared" ca="1" si="62"/>
        <v>Paid</v>
      </c>
      <c r="K801" s="13">
        <f t="shared" ca="1" si="63"/>
        <v>0</v>
      </c>
      <c r="L801" s="13" t="str">
        <f t="shared" si="64"/>
        <v>Paid</v>
      </c>
      <c r="M801" s="14">
        <v>45627</v>
      </c>
      <c r="N801" s="14">
        <v>45658</v>
      </c>
    </row>
    <row r="802" spans="1:14" x14ac:dyDescent="0.25">
      <c r="A802" s="10" t="s">
        <v>929</v>
      </c>
      <c r="B802" s="10" t="s">
        <v>244</v>
      </c>
      <c r="C802" s="11">
        <v>45627</v>
      </c>
      <c r="D802" s="11">
        <v>45657</v>
      </c>
      <c r="E802" s="11"/>
      <c r="F802" s="12">
        <v>74497.09</v>
      </c>
      <c r="G802" s="12">
        <v>0</v>
      </c>
      <c r="H802" s="12">
        <f t="shared" si="60"/>
        <v>74497.09</v>
      </c>
      <c r="I802" s="10" t="str">
        <f t="shared" si="61"/>
        <v/>
      </c>
      <c r="J802" s="10" t="str">
        <f t="shared" ca="1" si="62"/>
        <v>Overdue</v>
      </c>
      <c r="K802" s="10">
        <f t="shared" ca="1" si="63"/>
        <v>599</v>
      </c>
      <c r="L802" s="10" t="str">
        <f t="shared" ca="1" si="64"/>
        <v>120+ Days</v>
      </c>
      <c r="M802" s="11">
        <v>45627</v>
      </c>
      <c r="N802" s="11"/>
    </row>
    <row r="803" spans="1:14" x14ac:dyDescent="0.25">
      <c r="A803" s="13" t="s">
        <v>930</v>
      </c>
      <c r="B803" s="13" t="s">
        <v>131</v>
      </c>
      <c r="C803" s="14">
        <v>45628</v>
      </c>
      <c r="D803" s="14">
        <v>45658</v>
      </c>
      <c r="E803" s="14">
        <v>45676</v>
      </c>
      <c r="F803" s="15">
        <v>58614.720000000001</v>
      </c>
      <c r="G803" s="15">
        <v>58614.720000000001</v>
      </c>
      <c r="H803" s="15">
        <f t="shared" si="60"/>
        <v>0</v>
      </c>
      <c r="I803" s="13">
        <f t="shared" si="61"/>
        <v>18</v>
      </c>
      <c r="J803" s="13" t="str">
        <f t="shared" ca="1" si="62"/>
        <v>Paid</v>
      </c>
      <c r="K803" s="13">
        <f t="shared" ca="1" si="63"/>
        <v>0</v>
      </c>
      <c r="L803" s="13" t="str">
        <f t="shared" si="64"/>
        <v>Paid</v>
      </c>
      <c r="M803" s="14">
        <v>45627</v>
      </c>
      <c r="N803" s="14">
        <v>45658</v>
      </c>
    </row>
    <row r="804" spans="1:14" x14ac:dyDescent="0.25">
      <c r="A804" s="10" t="s">
        <v>931</v>
      </c>
      <c r="B804" s="10" t="s">
        <v>83</v>
      </c>
      <c r="C804" s="11">
        <v>45634</v>
      </c>
      <c r="D804" s="11">
        <v>45664</v>
      </c>
      <c r="E804" s="11">
        <v>45664</v>
      </c>
      <c r="F804" s="12">
        <v>35091.81</v>
      </c>
      <c r="G804" s="12">
        <v>35091.81</v>
      </c>
      <c r="H804" s="12">
        <f t="shared" si="60"/>
        <v>0</v>
      </c>
      <c r="I804" s="10">
        <f t="shared" si="61"/>
        <v>0</v>
      </c>
      <c r="J804" s="10" t="str">
        <f t="shared" ca="1" si="62"/>
        <v>Paid</v>
      </c>
      <c r="K804" s="10">
        <f t="shared" ca="1" si="63"/>
        <v>0</v>
      </c>
      <c r="L804" s="10" t="str">
        <f t="shared" si="64"/>
        <v>Paid</v>
      </c>
      <c r="M804" s="11">
        <v>45627</v>
      </c>
      <c r="N804" s="11">
        <v>45658</v>
      </c>
    </row>
    <row r="805" spans="1:14" x14ac:dyDescent="0.25">
      <c r="A805" s="13" t="s">
        <v>932</v>
      </c>
      <c r="B805" s="13" t="s">
        <v>244</v>
      </c>
      <c r="C805" s="14">
        <v>45632</v>
      </c>
      <c r="D805" s="14">
        <v>45662</v>
      </c>
      <c r="E805" s="14">
        <v>45737</v>
      </c>
      <c r="F805" s="15">
        <v>45864.74</v>
      </c>
      <c r="G805" s="15">
        <v>45864.74</v>
      </c>
      <c r="H805" s="15">
        <f t="shared" si="60"/>
        <v>0</v>
      </c>
      <c r="I805" s="13">
        <f t="shared" si="61"/>
        <v>75</v>
      </c>
      <c r="J805" s="13" t="str">
        <f t="shared" ca="1" si="62"/>
        <v>Paid</v>
      </c>
      <c r="K805" s="13">
        <f t="shared" ca="1" si="63"/>
        <v>0</v>
      </c>
      <c r="L805" s="13" t="str">
        <f t="shared" si="64"/>
        <v>Paid</v>
      </c>
      <c r="M805" s="14">
        <v>45627</v>
      </c>
      <c r="N805" s="14">
        <v>45717</v>
      </c>
    </row>
    <row r="806" spans="1:14" x14ac:dyDescent="0.25">
      <c r="A806" s="10" t="s">
        <v>933</v>
      </c>
      <c r="B806" s="10" t="s">
        <v>136</v>
      </c>
      <c r="C806" s="11">
        <v>45642</v>
      </c>
      <c r="D806" s="11">
        <v>45672</v>
      </c>
      <c r="E806" s="11"/>
      <c r="F806" s="12">
        <v>43628</v>
      </c>
      <c r="G806" s="12">
        <v>0</v>
      </c>
      <c r="H806" s="12">
        <f t="shared" si="60"/>
        <v>43628</v>
      </c>
      <c r="I806" s="10" t="str">
        <f t="shared" si="61"/>
        <v/>
      </c>
      <c r="J806" s="10" t="str">
        <f t="shared" ca="1" si="62"/>
        <v>Overdue</v>
      </c>
      <c r="K806" s="10">
        <f t="shared" ca="1" si="63"/>
        <v>584</v>
      </c>
      <c r="L806" s="10" t="str">
        <f t="shared" ca="1" si="64"/>
        <v>120+ Days</v>
      </c>
      <c r="M806" s="11">
        <v>45627</v>
      </c>
      <c r="N806" s="11"/>
    </row>
    <row r="807" spans="1:14" x14ac:dyDescent="0.25">
      <c r="A807" s="13" t="s">
        <v>934</v>
      </c>
      <c r="B807" s="13" t="s">
        <v>244</v>
      </c>
      <c r="C807" s="14">
        <v>45629</v>
      </c>
      <c r="D807" s="14">
        <v>45659</v>
      </c>
      <c r="E807" s="14"/>
      <c r="F807" s="15">
        <v>37291.629999999997</v>
      </c>
      <c r="G807" s="15">
        <v>0</v>
      </c>
      <c r="H807" s="15">
        <f t="shared" si="60"/>
        <v>37291.629999999997</v>
      </c>
      <c r="I807" s="13" t="str">
        <f t="shared" si="61"/>
        <v/>
      </c>
      <c r="J807" s="13" t="str">
        <f t="shared" ca="1" si="62"/>
        <v>Overdue</v>
      </c>
      <c r="K807" s="13">
        <f t="shared" ca="1" si="63"/>
        <v>597</v>
      </c>
      <c r="L807" s="13" t="str">
        <f t="shared" ca="1" si="64"/>
        <v>120+ Days</v>
      </c>
      <c r="M807" s="14">
        <v>45627</v>
      </c>
      <c r="N807" s="14"/>
    </row>
    <row r="808" spans="1:14" x14ac:dyDescent="0.25">
      <c r="A808" s="10" t="s">
        <v>935</v>
      </c>
      <c r="B808" s="10" t="s">
        <v>169</v>
      </c>
      <c r="C808" s="11">
        <v>45648</v>
      </c>
      <c r="D808" s="11">
        <v>45678</v>
      </c>
      <c r="E808" s="11"/>
      <c r="F808" s="12">
        <v>46785.95</v>
      </c>
      <c r="G808" s="12">
        <v>0</v>
      </c>
      <c r="H808" s="12">
        <f t="shared" si="60"/>
        <v>46785.95</v>
      </c>
      <c r="I808" s="10" t="str">
        <f t="shared" si="61"/>
        <v/>
      </c>
      <c r="J808" s="10" t="str">
        <f t="shared" ca="1" si="62"/>
        <v>Overdue</v>
      </c>
      <c r="K808" s="10">
        <f t="shared" ca="1" si="63"/>
        <v>578</v>
      </c>
      <c r="L808" s="10" t="str">
        <f t="shared" ca="1" si="64"/>
        <v>120+ Days</v>
      </c>
      <c r="M808" s="11">
        <v>45627</v>
      </c>
      <c r="N808" s="11"/>
    </row>
    <row r="809" spans="1:14" x14ac:dyDescent="0.25">
      <c r="A809" s="13" t="s">
        <v>936</v>
      </c>
      <c r="B809" s="13" t="s">
        <v>244</v>
      </c>
      <c r="C809" s="14">
        <v>45651</v>
      </c>
      <c r="D809" s="14">
        <v>45681</v>
      </c>
      <c r="E809" s="14">
        <v>45736</v>
      </c>
      <c r="F809" s="15">
        <v>26414.68</v>
      </c>
      <c r="G809" s="15">
        <v>26414.68</v>
      </c>
      <c r="H809" s="15">
        <f t="shared" si="60"/>
        <v>0</v>
      </c>
      <c r="I809" s="13">
        <f t="shared" si="61"/>
        <v>55</v>
      </c>
      <c r="J809" s="13" t="str">
        <f t="shared" ca="1" si="62"/>
        <v>Paid</v>
      </c>
      <c r="K809" s="13">
        <f t="shared" ca="1" si="63"/>
        <v>0</v>
      </c>
      <c r="L809" s="13" t="str">
        <f t="shared" si="64"/>
        <v>Paid</v>
      </c>
      <c r="M809" s="14">
        <v>45627</v>
      </c>
      <c r="N809" s="14">
        <v>45717</v>
      </c>
    </row>
    <row r="810" spans="1:14" x14ac:dyDescent="0.25">
      <c r="A810" s="10" t="s">
        <v>937</v>
      </c>
      <c r="B810" s="10" t="s">
        <v>314</v>
      </c>
      <c r="C810" s="11">
        <v>45632</v>
      </c>
      <c r="D810" s="11">
        <v>45662</v>
      </c>
      <c r="E810" s="11">
        <v>45711</v>
      </c>
      <c r="F810" s="12">
        <v>20563.830000000002</v>
      </c>
      <c r="G810" s="12">
        <v>12355.94</v>
      </c>
      <c r="H810" s="12">
        <f t="shared" si="60"/>
        <v>8207.8900000000012</v>
      </c>
      <c r="I810" s="10">
        <f t="shared" si="61"/>
        <v>49</v>
      </c>
      <c r="J810" s="10" t="str">
        <f t="shared" ca="1" si="62"/>
        <v>Overdue</v>
      </c>
      <c r="K810" s="10">
        <f t="shared" ca="1" si="63"/>
        <v>594</v>
      </c>
      <c r="L810" s="10" t="str">
        <f t="shared" ca="1" si="64"/>
        <v>120+ Days</v>
      </c>
      <c r="M810" s="11">
        <v>45627</v>
      </c>
      <c r="N810" s="11">
        <v>45689</v>
      </c>
    </row>
    <row r="811" spans="1:14" x14ac:dyDescent="0.25">
      <c r="A811" s="13" t="s">
        <v>938</v>
      </c>
      <c r="B811" s="13" t="s">
        <v>97</v>
      </c>
      <c r="C811" s="14">
        <v>45629</v>
      </c>
      <c r="D811" s="14">
        <v>45659</v>
      </c>
      <c r="E811" s="14">
        <v>45663</v>
      </c>
      <c r="F811" s="15">
        <v>51307.32</v>
      </c>
      <c r="G811" s="15">
        <v>51307.32</v>
      </c>
      <c r="H811" s="15">
        <f t="shared" si="60"/>
        <v>0</v>
      </c>
      <c r="I811" s="13">
        <f t="shared" si="61"/>
        <v>4</v>
      </c>
      <c r="J811" s="13" t="str">
        <f t="shared" ca="1" si="62"/>
        <v>Paid</v>
      </c>
      <c r="K811" s="13">
        <f t="shared" ca="1" si="63"/>
        <v>0</v>
      </c>
      <c r="L811" s="13" t="str">
        <f t="shared" si="64"/>
        <v>Paid</v>
      </c>
      <c r="M811" s="14">
        <v>45627</v>
      </c>
      <c r="N811" s="14">
        <v>45658</v>
      </c>
    </row>
    <row r="812" spans="1:14" x14ac:dyDescent="0.25">
      <c r="A812" s="10" t="s">
        <v>939</v>
      </c>
      <c r="B812" s="10" t="s">
        <v>111</v>
      </c>
      <c r="C812" s="11">
        <v>45650</v>
      </c>
      <c r="D812" s="11">
        <v>45680</v>
      </c>
      <c r="E812" s="11">
        <v>45690</v>
      </c>
      <c r="F812" s="12">
        <v>24691.31</v>
      </c>
      <c r="G812" s="12">
        <v>24691.31</v>
      </c>
      <c r="H812" s="12">
        <f t="shared" si="60"/>
        <v>0</v>
      </c>
      <c r="I812" s="10">
        <f t="shared" si="61"/>
        <v>10</v>
      </c>
      <c r="J812" s="10" t="str">
        <f t="shared" ca="1" si="62"/>
        <v>Paid</v>
      </c>
      <c r="K812" s="10">
        <f t="shared" ca="1" si="63"/>
        <v>0</v>
      </c>
      <c r="L812" s="10" t="str">
        <f t="shared" si="64"/>
        <v>Paid</v>
      </c>
      <c r="M812" s="11">
        <v>45627</v>
      </c>
      <c r="N812" s="11">
        <v>45689</v>
      </c>
    </row>
    <row r="813" spans="1:14" x14ac:dyDescent="0.25">
      <c r="A813" s="13" t="s">
        <v>940</v>
      </c>
      <c r="B813" s="13" t="s">
        <v>180</v>
      </c>
      <c r="C813" s="14">
        <v>45647</v>
      </c>
      <c r="D813" s="14">
        <v>45677</v>
      </c>
      <c r="E813" s="14">
        <v>45717</v>
      </c>
      <c r="F813" s="15">
        <v>30675.58</v>
      </c>
      <c r="G813" s="15">
        <v>30675.58</v>
      </c>
      <c r="H813" s="15">
        <f t="shared" si="60"/>
        <v>0</v>
      </c>
      <c r="I813" s="13">
        <f t="shared" si="61"/>
        <v>40</v>
      </c>
      <c r="J813" s="13" t="str">
        <f t="shared" ca="1" si="62"/>
        <v>Paid</v>
      </c>
      <c r="K813" s="13">
        <f t="shared" ca="1" si="63"/>
        <v>0</v>
      </c>
      <c r="L813" s="13" t="str">
        <f t="shared" si="64"/>
        <v>Paid</v>
      </c>
      <c r="M813" s="14">
        <v>45627</v>
      </c>
      <c r="N813" s="14">
        <v>45717</v>
      </c>
    </row>
    <row r="814" spans="1:14" x14ac:dyDescent="0.25">
      <c r="A814" s="10" t="s">
        <v>941</v>
      </c>
      <c r="B814" s="10" t="s">
        <v>274</v>
      </c>
      <c r="C814" s="11">
        <v>45627</v>
      </c>
      <c r="D814" s="11">
        <v>45657</v>
      </c>
      <c r="E814" s="11">
        <v>45689</v>
      </c>
      <c r="F814" s="12">
        <v>101437.28</v>
      </c>
      <c r="G814" s="12">
        <v>101437.28</v>
      </c>
      <c r="H814" s="12">
        <f t="shared" si="60"/>
        <v>0</v>
      </c>
      <c r="I814" s="10">
        <f t="shared" si="61"/>
        <v>32</v>
      </c>
      <c r="J814" s="10" t="str">
        <f t="shared" ca="1" si="62"/>
        <v>Paid</v>
      </c>
      <c r="K814" s="10">
        <f t="shared" ca="1" si="63"/>
        <v>0</v>
      </c>
      <c r="L814" s="10" t="str">
        <f t="shared" si="64"/>
        <v>Paid</v>
      </c>
      <c r="M814" s="11">
        <v>45627</v>
      </c>
      <c r="N814" s="11">
        <v>45689</v>
      </c>
    </row>
    <row r="815" spans="1:14" x14ac:dyDescent="0.25">
      <c r="A815" s="13" t="s">
        <v>942</v>
      </c>
      <c r="B815" s="13" t="s">
        <v>171</v>
      </c>
      <c r="C815" s="14">
        <v>45647</v>
      </c>
      <c r="D815" s="14">
        <v>45677</v>
      </c>
      <c r="E815" s="14">
        <v>45681</v>
      </c>
      <c r="F815" s="15">
        <v>23156.97</v>
      </c>
      <c r="G815" s="15">
        <v>23156.97</v>
      </c>
      <c r="H815" s="15">
        <f t="shared" si="60"/>
        <v>0</v>
      </c>
      <c r="I815" s="13">
        <f t="shared" si="61"/>
        <v>4</v>
      </c>
      <c r="J815" s="13" t="str">
        <f t="shared" ca="1" si="62"/>
        <v>Paid</v>
      </c>
      <c r="K815" s="13">
        <f t="shared" ca="1" si="63"/>
        <v>0</v>
      </c>
      <c r="L815" s="13" t="str">
        <f t="shared" si="64"/>
        <v>Paid</v>
      </c>
      <c r="M815" s="14">
        <v>45627</v>
      </c>
      <c r="N815" s="14">
        <v>45658</v>
      </c>
    </row>
    <row r="816" spans="1:14" x14ac:dyDescent="0.25">
      <c r="A816" s="10" t="s">
        <v>943</v>
      </c>
      <c r="B816" s="10" t="s">
        <v>89</v>
      </c>
      <c r="C816" s="11">
        <v>45666</v>
      </c>
      <c r="D816" s="11">
        <v>45696</v>
      </c>
      <c r="E816" s="11">
        <v>45702</v>
      </c>
      <c r="F816" s="12">
        <v>31366.080000000002</v>
      </c>
      <c r="G816" s="12">
        <v>31366.080000000002</v>
      </c>
      <c r="H816" s="12">
        <f t="shared" si="60"/>
        <v>0</v>
      </c>
      <c r="I816" s="10">
        <f t="shared" si="61"/>
        <v>6</v>
      </c>
      <c r="J816" s="10" t="str">
        <f t="shared" ca="1" si="62"/>
        <v>Paid</v>
      </c>
      <c r="K816" s="10">
        <f t="shared" ca="1" si="63"/>
        <v>0</v>
      </c>
      <c r="L816" s="10" t="str">
        <f t="shared" si="64"/>
        <v>Paid</v>
      </c>
      <c r="M816" s="11">
        <v>45658</v>
      </c>
      <c r="N816" s="11">
        <v>45689</v>
      </c>
    </row>
    <row r="817" spans="1:14" x14ac:dyDescent="0.25">
      <c r="A817" s="13" t="s">
        <v>944</v>
      </c>
      <c r="B817" s="13" t="s">
        <v>87</v>
      </c>
      <c r="C817" s="14">
        <v>45659</v>
      </c>
      <c r="D817" s="14">
        <v>45689</v>
      </c>
      <c r="E817" s="14">
        <v>45689</v>
      </c>
      <c r="F817" s="15">
        <v>24294.14</v>
      </c>
      <c r="G817" s="15">
        <v>24294.14</v>
      </c>
      <c r="H817" s="15">
        <f t="shared" si="60"/>
        <v>0</v>
      </c>
      <c r="I817" s="13">
        <f t="shared" si="61"/>
        <v>0</v>
      </c>
      <c r="J817" s="13" t="str">
        <f t="shared" ca="1" si="62"/>
        <v>Paid</v>
      </c>
      <c r="K817" s="13">
        <f t="shared" ca="1" si="63"/>
        <v>0</v>
      </c>
      <c r="L817" s="13" t="str">
        <f t="shared" si="64"/>
        <v>Paid</v>
      </c>
      <c r="M817" s="14">
        <v>45658</v>
      </c>
      <c r="N817" s="14">
        <v>45689</v>
      </c>
    </row>
    <row r="818" spans="1:14" x14ac:dyDescent="0.25">
      <c r="A818" s="10" t="s">
        <v>945</v>
      </c>
      <c r="B818" s="10" t="s">
        <v>115</v>
      </c>
      <c r="C818" s="11">
        <v>45666</v>
      </c>
      <c r="D818" s="11">
        <v>45696</v>
      </c>
      <c r="E818" s="11">
        <v>45699</v>
      </c>
      <c r="F818" s="12">
        <v>68336.820000000007</v>
      </c>
      <c r="G818" s="12">
        <v>68336.820000000007</v>
      </c>
      <c r="H818" s="12">
        <f t="shared" si="60"/>
        <v>0</v>
      </c>
      <c r="I818" s="10">
        <f t="shared" si="61"/>
        <v>3</v>
      </c>
      <c r="J818" s="10" t="str">
        <f t="shared" ca="1" si="62"/>
        <v>Paid</v>
      </c>
      <c r="K818" s="10">
        <f t="shared" ca="1" si="63"/>
        <v>0</v>
      </c>
      <c r="L818" s="10" t="str">
        <f t="shared" si="64"/>
        <v>Paid</v>
      </c>
      <c r="M818" s="11">
        <v>45658</v>
      </c>
      <c r="N818" s="11">
        <v>45689</v>
      </c>
    </row>
    <row r="819" spans="1:14" x14ac:dyDescent="0.25">
      <c r="A819" s="13" t="s">
        <v>946</v>
      </c>
      <c r="B819" s="13" t="s">
        <v>198</v>
      </c>
      <c r="C819" s="14">
        <v>45661</v>
      </c>
      <c r="D819" s="14">
        <v>45691</v>
      </c>
      <c r="E819" s="14">
        <v>45751</v>
      </c>
      <c r="F819" s="15">
        <v>67078.320000000007</v>
      </c>
      <c r="G819" s="15">
        <v>55973.919999999998</v>
      </c>
      <c r="H819" s="15">
        <f t="shared" si="60"/>
        <v>11104.400000000009</v>
      </c>
      <c r="I819" s="13">
        <f t="shared" si="61"/>
        <v>60</v>
      </c>
      <c r="J819" s="13" t="str">
        <f t="shared" ca="1" si="62"/>
        <v>Overdue</v>
      </c>
      <c r="K819" s="13">
        <f t="shared" ca="1" si="63"/>
        <v>565</v>
      </c>
      <c r="L819" s="13" t="str">
        <f t="shared" ca="1" si="64"/>
        <v>120+ Days</v>
      </c>
      <c r="M819" s="14">
        <v>45658</v>
      </c>
      <c r="N819" s="14">
        <v>45748</v>
      </c>
    </row>
    <row r="820" spans="1:14" x14ac:dyDescent="0.25">
      <c r="A820" s="10" t="s">
        <v>947</v>
      </c>
      <c r="B820" s="10" t="s">
        <v>101</v>
      </c>
      <c r="C820" s="11">
        <v>45662</v>
      </c>
      <c r="D820" s="11">
        <v>45692</v>
      </c>
      <c r="E820" s="11">
        <v>45726</v>
      </c>
      <c r="F820" s="12">
        <v>32260.18</v>
      </c>
      <c r="G820" s="12">
        <v>32260.18</v>
      </c>
      <c r="H820" s="12">
        <f t="shared" si="60"/>
        <v>0</v>
      </c>
      <c r="I820" s="10">
        <f t="shared" si="61"/>
        <v>34</v>
      </c>
      <c r="J820" s="10" t="str">
        <f t="shared" ca="1" si="62"/>
        <v>Paid</v>
      </c>
      <c r="K820" s="10">
        <f t="shared" ca="1" si="63"/>
        <v>0</v>
      </c>
      <c r="L820" s="10" t="str">
        <f t="shared" si="64"/>
        <v>Paid</v>
      </c>
      <c r="M820" s="11">
        <v>45658</v>
      </c>
      <c r="N820" s="11">
        <v>45717</v>
      </c>
    </row>
    <row r="821" spans="1:14" x14ac:dyDescent="0.25">
      <c r="A821" s="13" t="s">
        <v>948</v>
      </c>
      <c r="B821" s="13" t="s">
        <v>180</v>
      </c>
      <c r="C821" s="14">
        <v>45671</v>
      </c>
      <c r="D821" s="14">
        <v>45701</v>
      </c>
      <c r="E821" s="14">
        <v>45733</v>
      </c>
      <c r="F821" s="15">
        <v>31616.53</v>
      </c>
      <c r="G821" s="15">
        <v>31616.53</v>
      </c>
      <c r="H821" s="15">
        <f t="shared" si="60"/>
        <v>0</v>
      </c>
      <c r="I821" s="13">
        <f t="shared" si="61"/>
        <v>32</v>
      </c>
      <c r="J821" s="13" t="str">
        <f t="shared" ca="1" si="62"/>
        <v>Paid</v>
      </c>
      <c r="K821" s="13">
        <f t="shared" ca="1" si="63"/>
        <v>0</v>
      </c>
      <c r="L821" s="13" t="str">
        <f t="shared" si="64"/>
        <v>Paid</v>
      </c>
      <c r="M821" s="14">
        <v>45658</v>
      </c>
      <c r="N821" s="14">
        <v>45717</v>
      </c>
    </row>
    <row r="822" spans="1:14" x14ac:dyDescent="0.25">
      <c r="A822" s="10" t="s">
        <v>949</v>
      </c>
      <c r="B822" s="10" t="s">
        <v>159</v>
      </c>
      <c r="C822" s="11">
        <v>45660</v>
      </c>
      <c r="D822" s="11">
        <v>45690</v>
      </c>
      <c r="E822" s="11"/>
      <c r="F822" s="12">
        <v>28237.61</v>
      </c>
      <c r="G822" s="12">
        <v>0</v>
      </c>
      <c r="H822" s="12">
        <f t="shared" si="60"/>
        <v>28237.61</v>
      </c>
      <c r="I822" s="10" t="str">
        <f t="shared" si="61"/>
        <v/>
      </c>
      <c r="J822" s="10" t="str">
        <f t="shared" ca="1" si="62"/>
        <v>Overdue</v>
      </c>
      <c r="K822" s="10">
        <f t="shared" ca="1" si="63"/>
        <v>566</v>
      </c>
      <c r="L822" s="10" t="str">
        <f t="shared" ca="1" si="64"/>
        <v>120+ Days</v>
      </c>
      <c r="M822" s="11">
        <v>45658</v>
      </c>
      <c r="N822" s="11"/>
    </row>
    <row r="823" spans="1:14" x14ac:dyDescent="0.25">
      <c r="A823" s="13" t="s">
        <v>950</v>
      </c>
      <c r="B823" s="13" t="s">
        <v>230</v>
      </c>
      <c r="C823" s="14">
        <v>45660</v>
      </c>
      <c r="D823" s="14">
        <v>45690</v>
      </c>
      <c r="E823" s="14">
        <v>45690</v>
      </c>
      <c r="F823" s="15">
        <v>36907.360000000001</v>
      </c>
      <c r="G823" s="15">
        <v>36907.360000000001</v>
      </c>
      <c r="H823" s="15">
        <f t="shared" si="60"/>
        <v>0</v>
      </c>
      <c r="I823" s="13">
        <f t="shared" si="61"/>
        <v>0</v>
      </c>
      <c r="J823" s="13" t="str">
        <f t="shared" ca="1" si="62"/>
        <v>Paid</v>
      </c>
      <c r="K823" s="13">
        <f t="shared" ca="1" si="63"/>
        <v>0</v>
      </c>
      <c r="L823" s="13" t="str">
        <f t="shared" si="64"/>
        <v>Paid</v>
      </c>
      <c r="M823" s="14">
        <v>45658</v>
      </c>
      <c r="N823" s="14">
        <v>45689</v>
      </c>
    </row>
    <row r="824" spans="1:14" x14ac:dyDescent="0.25">
      <c r="A824" s="10" t="s">
        <v>951</v>
      </c>
      <c r="B824" s="10" t="s">
        <v>72</v>
      </c>
      <c r="C824" s="11">
        <v>45661</v>
      </c>
      <c r="D824" s="11">
        <v>45691</v>
      </c>
      <c r="E824" s="11"/>
      <c r="F824" s="12">
        <v>49339.53</v>
      </c>
      <c r="G824" s="12">
        <v>0</v>
      </c>
      <c r="H824" s="12">
        <f t="shared" si="60"/>
        <v>49339.53</v>
      </c>
      <c r="I824" s="10" t="str">
        <f t="shared" si="61"/>
        <v/>
      </c>
      <c r="J824" s="10" t="str">
        <f t="shared" ca="1" si="62"/>
        <v>Overdue</v>
      </c>
      <c r="K824" s="10">
        <f t="shared" ca="1" si="63"/>
        <v>565</v>
      </c>
      <c r="L824" s="10" t="str">
        <f t="shared" ca="1" si="64"/>
        <v>120+ Days</v>
      </c>
      <c r="M824" s="11">
        <v>45658</v>
      </c>
      <c r="N824" s="11"/>
    </row>
    <row r="825" spans="1:14" x14ac:dyDescent="0.25">
      <c r="A825" s="13" t="s">
        <v>952</v>
      </c>
      <c r="B825" s="13" t="s">
        <v>340</v>
      </c>
      <c r="C825" s="14">
        <v>45669</v>
      </c>
      <c r="D825" s="14">
        <v>45699</v>
      </c>
      <c r="E825" s="14">
        <v>45713</v>
      </c>
      <c r="F825" s="15">
        <v>74201.86</v>
      </c>
      <c r="G825" s="15">
        <v>43742.68</v>
      </c>
      <c r="H825" s="15">
        <f t="shared" si="60"/>
        <v>30459.18</v>
      </c>
      <c r="I825" s="13">
        <f t="shared" si="61"/>
        <v>14</v>
      </c>
      <c r="J825" s="13" t="str">
        <f t="shared" ca="1" si="62"/>
        <v>Overdue</v>
      </c>
      <c r="K825" s="13">
        <f t="shared" ca="1" si="63"/>
        <v>557</v>
      </c>
      <c r="L825" s="13" t="str">
        <f t="shared" ca="1" si="64"/>
        <v>120+ Days</v>
      </c>
      <c r="M825" s="14">
        <v>45658</v>
      </c>
      <c r="N825" s="14">
        <v>45689</v>
      </c>
    </row>
    <row r="826" spans="1:14" x14ac:dyDescent="0.25">
      <c r="A826" s="10" t="s">
        <v>953</v>
      </c>
      <c r="B826" s="10" t="s">
        <v>125</v>
      </c>
      <c r="C826" s="11">
        <v>45658</v>
      </c>
      <c r="D826" s="11">
        <v>45688</v>
      </c>
      <c r="E826" s="11">
        <v>45688</v>
      </c>
      <c r="F826" s="12">
        <v>40012.78</v>
      </c>
      <c r="G826" s="12">
        <v>40012.78</v>
      </c>
      <c r="H826" s="12">
        <f t="shared" si="60"/>
        <v>0</v>
      </c>
      <c r="I826" s="10">
        <f t="shared" si="61"/>
        <v>0</v>
      </c>
      <c r="J826" s="10" t="str">
        <f t="shared" ca="1" si="62"/>
        <v>Paid</v>
      </c>
      <c r="K826" s="10">
        <f t="shared" ca="1" si="63"/>
        <v>0</v>
      </c>
      <c r="L826" s="10" t="str">
        <f t="shared" si="64"/>
        <v>Paid</v>
      </c>
      <c r="M826" s="11">
        <v>45658</v>
      </c>
      <c r="N826" s="11">
        <v>45658</v>
      </c>
    </row>
    <row r="827" spans="1:14" x14ac:dyDescent="0.25">
      <c r="A827" s="13" t="s">
        <v>954</v>
      </c>
      <c r="B827" s="13" t="s">
        <v>184</v>
      </c>
      <c r="C827" s="14">
        <v>45684</v>
      </c>
      <c r="D827" s="14">
        <v>45714</v>
      </c>
      <c r="E827" s="14"/>
      <c r="F827" s="15">
        <v>43927.47</v>
      </c>
      <c r="G827" s="15">
        <v>0</v>
      </c>
      <c r="H827" s="15">
        <f t="shared" si="60"/>
        <v>43927.47</v>
      </c>
      <c r="I827" s="13" t="str">
        <f t="shared" si="61"/>
        <v/>
      </c>
      <c r="J827" s="13" t="str">
        <f t="shared" ca="1" si="62"/>
        <v>Overdue</v>
      </c>
      <c r="K827" s="13">
        <f t="shared" ca="1" si="63"/>
        <v>542</v>
      </c>
      <c r="L827" s="13" t="str">
        <f t="shared" ca="1" si="64"/>
        <v>120+ Days</v>
      </c>
      <c r="M827" s="14">
        <v>45658</v>
      </c>
      <c r="N827" s="14"/>
    </row>
    <row r="828" spans="1:14" x14ac:dyDescent="0.25">
      <c r="A828" s="10" t="s">
        <v>955</v>
      </c>
      <c r="B828" s="10" t="s">
        <v>180</v>
      </c>
      <c r="C828" s="11">
        <v>45670</v>
      </c>
      <c r="D828" s="11">
        <v>45700</v>
      </c>
      <c r="E828" s="11"/>
      <c r="F828" s="12">
        <v>36882.379999999997</v>
      </c>
      <c r="G828" s="12">
        <v>0</v>
      </c>
      <c r="H828" s="12">
        <f t="shared" si="60"/>
        <v>36882.379999999997</v>
      </c>
      <c r="I828" s="10" t="str">
        <f t="shared" si="61"/>
        <v/>
      </c>
      <c r="J828" s="10" t="str">
        <f t="shared" ca="1" si="62"/>
        <v>Overdue</v>
      </c>
      <c r="K828" s="10">
        <f t="shared" ca="1" si="63"/>
        <v>556</v>
      </c>
      <c r="L828" s="10" t="str">
        <f t="shared" ca="1" si="64"/>
        <v>120+ Days</v>
      </c>
      <c r="M828" s="11">
        <v>45658</v>
      </c>
      <c r="N828" s="11"/>
    </row>
    <row r="829" spans="1:14" x14ac:dyDescent="0.25">
      <c r="A829" s="13" t="s">
        <v>956</v>
      </c>
      <c r="B829" s="13" t="s">
        <v>115</v>
      </c>
      <c r="C829" s="14">
        <v>45666</v>
      </c>
      <c r="D829" s="14">
        <v>45696</v>
      </c>
      <c r="E829" s="14">
        <v>45696</v>
      </c>
      <c r="F829" s="15">
        <v>18696.57</v>
      </c>
      <c r="G829" s="15">
        <v>18696.57</v>
      </c>
      <c r="H829" s="15">
        <f t="shared" si="60"/>
        <v>0</v>
      </c>
      <c r="I829" s="13">
        <f t="shared" si="61"/>
        <v>0</v>
      </c>
      <c r="J829" s="13" t="str">
        <f t="shared" ca="1" si="62"/>
        <v>Paid</v>
      </c>
      <c r="K829" s="13">
        <f t="shared" ca="1" si="63"/>
        <v>0</v>
      </c>
      <c r="L829" s="13" t="str">
        <f t="shared" si="64"/>
        <v>Paid</v>
      </c>
      <c r="M829" s="14">
        <v>45658</v>
      </c>
      <c r="N829" s="14">
        <v>45689</v>
      </c>
    </row>
    <row r="830" spans="1:14" x14ac:dyDescent="0.25">
      <c r="A830" s="10" t="s">
        <v>957</v>
      </c>
      <c r="B830" s="10" t="s">
        <v>127</v>
      </c>
      <c r="C830" s="11">
        <v>45663</v>
      </c>
      <c r="D830" s="11">
        <v>45693</v>
      </c>
      <c r="E830" s="11">
        <v>45713</v>
      </c>
      <c r="F830" s="12">
        <v>87590.59</v>
      </c>
      <c r="G830" s="12">
        <v>87590.59</v>
      </c>
      <c r="H830" s="12">
        <f t="shared" si="60"/>
        <v>0</v>
      </c>
      <c r="I830" s="10">
        <f t="shared" si="61"/>
        <v>20</v>
      </c>
      <c r="J830" s="10" t="str">
        <f t="shared" ca="1" si="62"/>
        <v>Paid</v>
      </c>
      <c r="K830" s="10">
        <f t="shared" ca="1" si="63"/>
        <v>0</v>
      </c>
      <c r="L830" s="10" t="str">
        <f t="shared" si="64"/>
        <v>Paid</v>
      </c>
      <c r="M830" s="11">
        <v>45658</v>
      </c>
      <c r="N830" s="11">
        <v>45689</v>
      </c>
    </row>
    <row r="831" spans="1:14" x14ac:dyDescent="0.25">
      <c r="A831" s="13" t="s">
        <v>958</v>
      </c>
      <c r="B831" s="13" t="s">
        <v>198</v>
      </c>
      <c r="C831" s="14">
        <v>45658</v>
      </c>
      <c r="D831" s="14">
        <v>45688</v>
      </c>
      <c r="E831" s="14">
        <v>45696</v>
      </c>
      <c r="F831" s="15">
        <v>29243.08</v>
      </c>
      <c r="G831" s="15">
        <v>22897.25</v>
      </c>
      <c r="H831" s="15">
        <f t="shared" si="60"/>
        <v>6345.8300000000017</v>
      </c>
      <c r="I831" s="13">
        <f t="shared" si="61"/>
        <v>8</v>
      </c>
      <c r="J831" s="13" t="str">
        <f t="shared" ca="1" si="62"/>
        <v>Overdue</v>
      </c>
      <c r="K831" s="13">
        <f t="shared" ca="1" si="63"/>
        <v>568</v>
      </c>
      <c r="L831" s="13" t="str">
        <f t="shared" ca="1" si="64"/>
        <v>120+ Days</v>
      </c>
      <c r="M831" s="14">
        <v>45658</v>
      </c>
      <c r="N831" s="14">
        <v>45689</v>
      </c>
    </row>
    <row r="832" spans="1:14" x14ac:dyDescent="0.25">
      <c r="A832" s="10" t="s">
        <v>959</v>
      </c>
      <c r="B832" s="10" t="s">
        <v>107</v>
      </c>
      <c r="C832" s="11">
        <v>45669</v>
      </c>
      <c r="D832" s="11">
        <v>45699</v>
      </c>
      <c r="E832" s="11">
        <v>45722</v>
      </c>
      <c r="F832" s="12">
        <v>62946.33</v>
      </c>
      <c r="G832" s="12">
        <v>62946.33</v>
      </c>
      <c r="H832" s="12">
        <f t="shared" si="60"/>
        <v>0</v>
      </c>
      <c r="I832" s="10">
        <f t="shared" si="61"/>
        <v>23</v>
      </c>
      <c r="J832" s="10" t="str">
        <f t="shared" ca="1" si="62"/>
        <v>Paid</v>
      </c>
      <c r="K832" s="10">
        <f t="shared" ca="1" si="63"/>
        <v>0</v>
      </c>
      <c r="L832" s="10" t="str">
        <f t="shared" si="64"/>
        <v>Paid</v>
      </c>
      <c r="M832" s="11">
        <v>45658</v>
      </c>
      <c r="N832" s="11">
        <v>45717</v>
      </c>
    </row>
    <row r="833" spans="1:14" x14ac:dyDescent="0.25">
      <c r="A833" s="13" t="s">
        <v>960</v>
      </c>
      <c r="B833" s="13" t="s">
        <v>198</v>
      </c>
      <c r="C833" s="14">
        <v>45665</v>
      </c>
      <c r="D833" s="14">
        <v>45695</v>
      </c>
      <c r="E833" s="14">
        <v>45705</v>
      </c>
      <c r="F833" s="15">
        <v>23885.31</v>
      </c>
      <c r="G833" s="15">
        <v>23885.31</v>
      </c>
      <c r="H833" s="15">
        <f t="shared" si="60"/>
        <v>0</v>
      </c>
      <c r="I833" s="13">
        <f t="shared" si="61"/>
        <v>10</v>
      </c>
      <c r="J833" s="13" t="str">
        <f t="shared" ca="1" si="62"/>
        <v>Paid</v>
      </c>
      <c r="K833" s="13">
        <f t="shared" ca="1" si="63"/>
        <v>0</v>
      </c>
      <c r="L833" s="13" t="str">
        <f t="shared" si="64"/>
        <v>Paid</v>
      </c>
      <c r="M833" s="14">
        <v>45658</v>
      </c>
      <c r="N833" s="14">
        <v>45689</v>
      </c>
    </row>
    <row r="834" spans="1:14" x14ac:dyDescent="0.25">
      <c r="A834" s="10" t="s">
        <v>961</v>
      </c>
      <c r="B834" s="10" t="s">
        <v>230</v>
      </c>
      <c r="C834" s="11">
        <v>45684</v>
      </c>
      <c r="D834" s="11">
        <v>45714</v>
      </c>
      <c r="E834" s="11">
        <v>45714</v>
      </c>
      <c r="F834" s="12">
        <v>45950.78</v>
      </c>
      <c r="G834" s="12">
        <v>45950.78</v>
      </c>
      <c r="H834" s="12">
        <f t="shared" ref="H834:H897" si="65">MAX(0,F834-G834)</f>
        <v>0</v>
      </c>
      <c r="I834" s="10">
        <f t="shared" ref="I834:I897" si="66">IF(E834="","",MAX(0,E834-D834))</f>
        <v>0</v>
      </c>
      <c r="J834" s="10" t="str">
        <f t="shared" ref="J834:J897" ca="1" si="67">IF(H834=0,"Paid",IF(D834&lt;TODAY(),"Overdue","Open"))</f>
        <v>Paid</v>
      </c>
      <c r="K834" s="10">
        <f t="shared" ref="K834:K897" ca="1" si="68">IF(H834=0,0,MAX(0,TODAY()-D834))</f>
        <v>0</v>
      </c>
      <c r="L834" s="10" t="str">
        <f t="shared" ref="L834:L897" si="69">IF(H834=0,"Paid",IF(K834&lt;=30,"0-30 Days",IF(K834&lt;=60,"31-60 Days",IF(K834&lt;=90,"61-90 Days",IF(K834&lt;=120,"91-120 Days","120+ Days")))))</f>
        <v>Paid</v>
      </c>
      <c r="M834" s="11">
        <v>45658</v>
      </c>
      <c r="N834" s="11">
        <v>45689</v>
      </c>
    </row>
    <row r="835" spans="1:14" x14ac:dyDescent="0.25">
      <c r="A835" s="13" t="s">
        <v>962</v>
      </c>
      <c r="B835" s="13" t="s">
        <v>171</v>
      </c>
      <c r="C835" s="14">
        <v>45669</v>
      </c>
      <c r="D835" s="14">
        <v>45699</v>
      </c>
      <c r="E835" s="14">
        <v>45723</v>
      </c>
      <c r="F835" s="15">
        <v>61684.74</v>
      </c>
      <c r="G835" s="15">
        <v>61684.74</v>
      </c>
      <c r="H835" s="15">
        <f t="shared" si="65"/>
        <v>0</v>
      </c>
      <c r="I835" s="13">
        <f t="shared" si="66"/>
        <v>24</v>
      </c>
      <c r="J835" s="13" t="str">
        <f t="shared" ca="1" si="67"/>
        <v>Paid</v>
      </c>
      <c r="K835" s="13">
        <f t="shared" ca="1" si="68"/>
        <v>0</v>
      </c>
      <c r="L835" s="13" t="str">
        <f t="shared" si="69"/>
        <v>Paid</v>
      </c>
      <c r="M835" s="14">
        <v>45658</v>
      </c>
      <c r="N835" s="14">
        <v>45717</v>
      </c>
    </row>
    <row r="836" spans="1:14" x14ac:dyDescent="0.25">
      <c r="A836" s="10" t="s">
        <v>963</v>
      </c>
      <c r="B836" s="10" t="s">
        <v>93</v>
      </c>
      <c r="C836" s="11">
        <v>45681</v>
      </c>
      <c r="D836" s="11">
        <v>45711</v>
      </c>
      <c r="E836" s="11"/>
      <c r="F836" s="12">
        <v>17626.52</v>
      </c>
      <c r="G836" s="12">
        <v>0</v>
      </c>
      <c r="H836" s="12">
        <f t="shared" si="65"/>
        <v>17626.52</v>
      </c>
      <c r="I836" s="10" t="str">
        <f t="shared" si="66"/>
        <v/>
      </c>
      <c r="J836" s="10" t="str">
        <f t="shared" ca="1" si="67"/>
        <v>Overdue</v>
      </c>
      <c r="K836" s="10">
        <f t="shared" ca="1" si="68"/>
        <v>545</v>
      </c>
      <c r="L836" s="10" t="str">
        <f t="shared" ca="1" si="69"/>
        <v>120+ Days</v>
      </c>
      <c r="M836" s="11">
        <v>45658</v>
      </c>
      <c r="N836" s="11"/>
    </row>
    <row r="837" spans="1:14" x14ac:dyDescent="0.25">
      <c r="A837" s="13" t="s">
        <v>964</v>
      </c>
      <c r="B837" s="13" t="s">
        <v>95</v>
      </c>
      <c r="C837" s="14">
        <v>45671</v>
      </c>
      <c r="D837" s="14">
        <v>45701</v>
      </c>
      <c r="E837" s="14">
        <v>45719</v>
      </c>
      <c r="F837" s="15">
        <v>31141.49</v>
      </c>
      <c r="G837" s="15">
        <v>31141.49</v>
      </c>
      <c r="H837" s="15">
        <f t="shared" si="65"/>
        <v>0</v>
      </c>
      <c r="I837" s="13">
        <f t="shared" si="66"/>
        <v>18</v>
      </c>
      <c r="J837" s="13" t="str">
        <f t="shared" ca="1" si="67"/>
        <v>Paid</v>
      </c>
      <c r="K837" s="13">
        <f t="shared" ca="1" si="68"/>
        <v>0</v>
      </c>
      <c r="L837" s="13" t="str">
        <f t="shared" si="69"/>
        <v>Paid</v>
      </c>
      <c r="M837" s="14">
        <v>45658</v>
      </c>
      <c r="N837" s="14">
        <v>45717</v>
      </c>
    </row>
    <row r="838" spans="1:14" x14ac:dyDescent="0.25">
      <c r="A838" s="10" t="s">
        <v>965</v>
      </c>
      <c r="B838" s="10" t="s">
        <v>222</v>
      </c>
      <c r="C838" s="11">
        <v>45670</v>
      </c>
      <c r="D838" s="11">
        <v>45700</v>
      </c>
      <c r="E838" s="11">
        <v>45719</v>
      </c>
      <c r="F838" s="12">
        <v>23573.759999999998</v>
      </c>
      <c r="G838" s="12">
        <v>17083.099999999999</v>
      </c>
      <c r="H838" s="12">
        <f t="shared" si="65"/>
        <v>6490.66</v>
      </c>
      <c r="I838" s="10">
        <f t="shared" si="66"/>
        <v>19</v>
      </c>
      <c r="J838" s="10" t="str">
        <f t="shared" ca="1" si="67"/>
        <v>Overdue</v>
      </c>
      <c r="K838" s="10">
        <f t="shared" ca="1" si="68"/>
        <v>556</v>
      </c>
      <c r="L838" s="10" t="str">
        <f t="shared" ca="1" si="69"/>
        <v>120+ Days</v>
      </c>
      <c r="M838" s="11">
        <v>45658</v>
      </c>
      <c r="N838" s="11">
        <v>45717</v>
      </c>
    </row>
    <row r="839" spans="1:14" x14ac:dyDescent="0.25">
      <c r="A839" s="13" t="s">
        <v>966</v>
      </c>
      <c r="B839" s="13" t="s">
        <v>146</v>
      </c>
      <c r="C839" s="14">
        <v>45667</v>
      </c>
      <c r="D839" s="14">
        <v>45697</v>
      </c>
      <c r="E839" s="14">
        <v>45728</v>
      </c>
      <c r="F839" s="15">
        <v>20937.560000000001</v>
      </c>
      <c r="G839" s="15">
        <v>20937.560000000001</v>
      </c>
      <c r="H839" s="15">
        <f t="shared" si="65"/>
        <v>0</v>
      </c>
      <c r="I839" s="13">
        <f t="shared" si="66"/>
        <v>31</v>
      </c>
      <c r="J839" s="13" t="str">
        <f t="shared" ca="1" si="67"/>
        <v>Paid</v>
      </c>
      <c r="K839" s="13">
        <f t="shared" ca="1" si="68"/>
        <v>0</v>
      </c>
      <c r="L839" s="13" t="str">
        <f t="shared" si="69"/>
        <v>Paid</v>
      </c>
      <c r="M839" s="14">
        <v>45658</v>
      </c>
      <c r="N839" s="14">
        <v>45717</v>
      </c>
    </row>
    <row r="840" spans="1:14" x14ac:dyDescent="0.25">
      <c r="A840" s="10" t="s">
        <v>967</v>
      </c>
      <c r="B840" s="10" t="s">
        <v>182</v>
      </c>
      <c r="C840" s="11">
        <v>45678</v>
      </c>
      <c r="D840" s="11">
        <v>45708</v>
      </c>
      <c r="E840" s="11">
        <v>45714</v>
      </c>
      <c r="F840" s="12">
        <v>47445.1</v>
      </c>
      <c r="G840" s="12">
        <v>47445.1</v>
      </c>
      <c r="H840" s="12">
        <f t="shared" si="65"/>
        <v>0</v>
      </c>
      <c r="I840" s="10">
        <f t="shared" si="66"/>
        <v>6</v>
      </c>
      <c r="J840" s="10" t="str">
        <f t="shared" ca="1" si="67"/>
        <v>Paid</v>
      </c>
      <c r="K840" s="10">
        <f t="shared" ca="1" si="68"/>
        <v>0</v>
      </c>
      <c r="L840" s="10" t="str">
        <f t="shared" si="69"/>
        <v>Paid</v>
      </c>
      <c r="M840" s="11">
        <v>45658</v>
      </c>
      <c r="N840" s="11">
        <v>45689</v>
      </c>
    </row>
    <row r="841" spans="1:14" x14ac:dyDescent="0.25">
      <c r="A841" s="13" t="s">
        <v>968</v>
      </c>
      <c r="B841" s="13" t="s">
        <v>274</v>
      </c>
      <c r="C841" s="14">
        <v>45680</v>
      </c>
      <c r="D841" s="14">
        <v>45710</v>
      </c>
      <c r="E841" s="14"/>
      <c r="F841" s="15">
        <v>32139.040000000001</v>
      </c>
      <c r="G841" s="15">
        <v>0</v>
      </c>
      <c r="H841" s="15">
        <f t="shared" si="65"/>
        <v>32139.040000000001</v>
      </c>
      <c r="I841" s="13" t="str">
        <f t="shared" si="66"/>
        <v/>
      </c>
      <c r="J841" s="13" t="str">
        <f t="shared" ca="1" si="67"/>
        <v>Overdue</v>
      </c>
      <c r="K841" s="13">
        <f t="shared" ca="1" si="68"/>
        <v>546</v>
      </c>
      <c r="L841" s="13" t="str">
        <f t="shared" ca="1" si="69"/>
        <v>120+ Days</v>
      </c>
      <c r="M841" s="14">
        <v>45658</v>
      </c>
      <c r="N841" s="14"/>
    </row>
    <row r="842" spans="1:14" x14ac:dyDescent="0.25">
      <c r="A842" s="10" t="s">
        <v>969</v>
      </c>
      <c r="B842" s="10" t="s">
        <v>109</v>
      </c>
      <c r="C842" s="11">
        <v>45661</v>
      </c>
      <c r="D842" s="11">
        <v>45691</v>
      </c>
      <c r="E842" s="11">
        <v>45713</v>
      </c>
      <c r="F842" s="12">
        <v>31906.53</v>
      </c>
      <c r="G842" s="12">
        <v>31906.53</v>
      </c>
      <c r="H842" s="12">
        <f t="shared" si="65"/>
        <v>0</v>
      </c>
      <c r="I842" s="10">
        <f t="shared" si="66"/>
        <v>22</v>
      </c>
      <c r="J842" s="10" t="str">
        <f t="shared" ca="1" si="67"/>
        <v>Paid</v>
      </c>
      <c r="K842" s="10">
        <f t="shared" ca="1" si="68"/>
        <v>0</v>
      </c>
      <c r="L842" s="10" t="str">
        <f t="shared" si="69"/>
        <v>Paid</v>
      </c>
      <c r="M842" s="11">
        <v>45658</v>
      </c>
      <c r="N842" s="11">
        <v>45689</v>
      </c>
    </row>
    <row r="843" spans="1:14" x14ac:dyDescent="0.25">
      <c r="A843" s="13" t="s">
        <v>970</v>
      </c>
      <c r="B843" s="13" t="s">
        <v>83</v>
      </c>
      <c r="C843" s="14">
        <v>45673</v>
      </c>
      <c r="D843" s="14">
        <v>45703</v>
      </c>
      <c r="E843" s="14">
        <v>45743</v>
      </c>
      <c r="F843" s="15">
        <v>13303.09</v>
      </c>
      <c r="G843" s="15">
        <v>9597.2900000000009</v>
      </c>
      <c r="H843" s="15">
        <f t="shared" si="65"/>
        <v>3705.7999999999993</v>
      </c>
      <c r="I843" s="13">
        <f t="shared" si="66"/>
        <v>40</v>
      </c>
      <c r="J843" s="13" t="str">
        <f t="shared" ca="1" si="67"/>
        <v>Overdue</v>
      </c>
      <c r="K843" s="13">
        <f t="shared" ca="1" si="68"/>
        <v>553</v>
      </c>
      <c r="L843" s="13" t="str">
        <f t="shared" ca="1" si="69"/>
        <v>120+ Days</v>
      </c>
      <c r="M843" s="14">
        <v>45658</v>
      </c>
      <c r="N843" s="14">
        <v>45717</v>
      </c>
    </row>
    <row r="844" spans="1:14" x14ac:dyDescent="0.25">
      <c r="A844" s="10" t="s">
        <v>971</v>
      </c>
      <c r="B844" s="10" t="s">
        <v>107</v>
      </c>
      <c r="C844" s="11">
        <v>45663</v>
      </c>
      <c r="D844" s="11">
        <v>45693</v>
      </c>
      <c r="E844" s="11">
        <v>45726</v>
      </c>
      <c r="F844" s="12">
        <v>25047.43</v>
      </c>
      <c r="G844" s="12">
        <v>25047.43</v>
      </c>
      <c r="H844" s="12">
        <f t="shared" si="65"/>
        <v>0</v>
      </c>
      <c r="I844" s="10">
        <f t="shared" si="66"/>
        <v>33</v>
      </c>
      <c r="J844" s="10" t="str">
        <f t="shared" ca="1" si="67"/>
        <v>Paid</v>
      </c>
      <c r="K844" s="10">
        <f t="shared" ca="1" si="68"/>
        <v>0</v>
      </c>
      <c r="L844" s="10" t="str">
        <f t="shared" si="69"/>
        <v>Paid</v>
      </c>
      <c r="M844" s="11">
        <v>45658</v>
      </c>
      <c r="N844" s="11">
        <v>45717</v>
      </c>
    </row>
    <row r="845" spans="1:14" x14ac:dyDescent="0.25">
      <c r="A845" s="13" t="s">
        <v>972</v>
      </c>
      <c r="B845" s="13" t="s">
        <v>180</v>
      </c>
      <c r="C845" s="14">
        <v>45671</v>
      </c>
      <c r="D845" s="14">
        <v>45701</v>
      </c>
      <c r="E845" s="14">
        <v>45735</v>
      </c>
      <c r="F845" s="15">
        <v>58263.56</v>
      </c>
      <c r="G845" s="15">
        <v>43795.25</v>
      </c>
      <c r="H845" s="15">
        <f t="shared" si="65"/>
        <v>14468.309999999998</v>
      </c>
      <c r="I845" s="13">
        <f t="shared" si="66"/>
        <v>34</v>
      </c>
      <c r="J845" s="13" t="str">
        <f t="shared" ca="1" si="67"/>
        <v>Overdue</v>
      </c>
      <c r="K845" s="13">
        <f t="shared" ca="1" si="68"/>
        <v>555</v>
      </c>
      <c r="L845" s="13" t="str">
        <f t="shared" ca="1" si="69"/>
        <v>120+ Days</v>
      </c>
      <c r="M845" s="14">
        <v>45658</v>
      </c>
      <c r="N845" s="14">
        <v>45717</v>
      </c>
    </row>
    <row r="846" spans="1:14" x14ac:dyDescent="0.25">
      <c r="A846" s="10" t="s">
        <v>973</v>
      </c>
      <c r="B846" s="10" t="s">
        <v>101</v>
      </c>
      <c r="C846" s="11">
        <v>45662</v>
      </c>
      <c r="D846" s="11">
        <v>45692</v>
      </c>
      <c r="E846" s="11">
        <v>45744</v>
      </c>
      <c r="F846" s="12">
        <v>66503.17</v>
      </c>
      <c r="G846" s="12">
        <v>30279.03</v>
      </c>
      <c r="H846" s="12">
        <f t="shared" si="65"/>
        <v>36224.14</v>
      </c>
      <c r="I846" s="10">
        <f t="shared" si="66"/>
        <v>52</v>
      </c>
      <c r="J846" s="10" t="str">
        <f t="shared" ca="1" si="67"/>
        <v>Overdue</v>
      </c>
      <c r="K846" s="10">
        <f t="shared" ca="1" si="68"/>
        <v>564</v>
      </c>
      <c r="L846" s="10" t="str">
        <f t="shared" ca="1" si="69"/>
        <v>120+ Days</v>
      </c>
      <c r="M846" s="11">
        <v>45658</v>
      </c>
      <c r="N846" s="11">
        <v>45717</v>
      </c>
    </row>
    <row r="847" spans="1:14" x14ac:dyDescent="0.25">
      <c r="A847" s="13" t="s">
        <v>974</v>
      </c>
      <c r="B847" s="13" t="s">
        <v>331</v>
      </c>
      <c r="C847" s="14">
        <v>45667</v>
      </c>
      <c r="D847" s="14">
        <v>45697</v>
      </c>
      <c r="E847" s="14"/>
      <c r="F847" s="15">
        <v>30534.93</v>
      </c>
      <c r="G847" s="15">
        <v>0</v>
      </c>
      <c r="H847" s="15">
        <f t="shared" si="65"/>
        <v>30534.93</v>
      </c>
      <c r="I847" s="13" t="str">
        <f t="shared" si="66"/>
        <v/>
      </c>
      <c r="J847" s="13" t="str">
        <f t="shared" ca="1" si="67"/>
        <v>Overdue</v>
      </c>
      <c r="K847" s="13">
        <f t="shared" ca="1" si="68"/>
        <v>559</v>
      </c>
      <c r="L847" s="13" t="str">
        <f t="shared" ca="1" si="69"/>
        <v>120+ Days</v>
      </c>
      <c r="M847" s="14">
        <v>45658</v>
      </c>
      <c r="N847" s="14"/>
    </row>
    <row r="848" spans="1:14" x14ac:dyDescent="0.25">
      <c r="A848" s="10" t="s">
        <v>975</v>
      </c>
      <c r="B848" s="10" t="s">
        <v>182</v>
      </c>
      <c r="C848" s="11">
        <v>45666</v>
      </c>
      <c r="D848" s="11">
        <v>45696</v>
      </c>
      <c r="E848" s="11">
        <v>45711</v>
      </c>
      <c r="F848" s="12">
        <v>44468.63</v>
      </c>
      <c r="G848" s="12">
        <v>44468.63</v>
      </c>
      <c r="H848" s="12">
        <f t="shared" si="65"/>
        <v>0</v>
      </c>
      <c r="I848" s="10">
        <f t="shared" si="66"/>
        <v>15</v>
      </c>
      <c r="J848" s="10" t="str">
        <f t="shared" ca="1" si="67"/>
        <v>Paid</v>
      </c>
      <c r="K848" s="10">
        <f t="shared" ca="1" si="68"/>
        <v>0</v>
      </c>
      <c r="L848" s="10" t="str">
        <f t="shared" si="69"/>
        <v>Paid</v>
      </c>
      <c r="M848" s="11">
        <v>45658</v>
      </c>
      <c r="N848" s="11">
        <v>45689</v>
      </c>
    </row>
    <row r="849" spans="1:14" x14ac:dyDescent="0.25">
      <c r="A849" s="13" t="s">
        <v>976</v>
      </c>
      <c r="B849" s="13" t="s">
        <v>107</v>
      </c>
      <c r="C849" s="14">
        <v>45675</v>
      </c>
      <c r="D849" s="14">
        <v>45705</v>
      </c>
      <c r="E849" s="14">
        <v>45718</v>
      </c>
      <c r="F849" s="15">
        <v>27704.59</v>
      </c>
      <c r="G849" s="15">
        <v>27704.59</v>
      </c>
      <c r="H849" s="15">
        <f t="shared" si="65"/>
        <v>0</v>
      </c>
      <c r="I849" s="13">
        <f t="shared" si="66"/>
        <v>13</v>
      </c>
      <c r="J849" s="13" t="str">
        <f t="shared" ca="1" si="67"/>
        <v>Paid</v>
      </c>
      <c r="K849" s="13">
        <f t="shared" ca="1" si="68"/>
        <v>0</v>
      </c>
      <c r="L849" s="13" t="str">
        <f t="shared" si="69"/>
        <v>Paid</v>
      </c>
      <c r="M849" s="14">
        <v>45658</v>
      </c>
      <c r="N849" s="14">
        <v>45717</v>
      </c>
    </row>
    <row r="850" spans="1:14" x14ac:dyDescent="0.25">
      <c r="A850" s="10" t="s">
        <v>977</v>
      </c>
      <c r="B850" s="10" t="s">
        <v>117</v>
      </c>
      <c r="C850" s="11">
        <v>45667</v>
      </c>
      <c r="D850" s="11">
        <v>45697</v>
      </c>
      <c r="E850" s="11">
        <v>45733</v>
      </c>
      <c r="F850" s="12">
        <v>29948.66</v>
      </c>
      <c r="G850" s="12">
        <v>29948.66</v>
      </c>
      <c r="H850" s="12">
        <f t="shared" si="65"/>
        <v>0</v>
      </c>
      <c r="I850" s="10">
        <f t="shared" si="66"/>
        <v>36</v>
      </c>
      <c r="J850" s="10" t="str">
        <f t="shared" ca="1" si="67"/>
        <v>Paid</v>
      </c>
      <c r="K850" s="10">
        <f t="shared" ca="1" si="68"/>
        <v>0</v>
      </c>
      <c r="L850" s="10" t="str">
        <f t="shared" si="69"/>
        <v>Paid</v>
      </c>
      <c r="M850" s="11">
        <v>45658</v>
      </c>
      <c r="N850" s="11">
        <v>45717</v>
      </c>
    </row>
    <row r="851" spans="1:14" x14ac:dyDescent="0.25">
      <c r="A851" s="13" t="s">
        <v>978</v>
      </c>
      <c r="B851" s="13" t="s">
        <v>140</v>
      </c>
      <c r="C851" s="14">
        <v>45671</v>
      </c>
      <c r="D851" s="14">
        <v>45701</v>
      </c>
      <c r="E851" s="14"/>
      <c r="F851" s="15">
        <v>118656.68</v>
      </c>
      <c r="G851" s="15">
        <v>0</v>
      </c>
      <c r="H851" s="15">
        <f t="shared" si="65"/>
        <v>118656.68</v>
      </c>
      <c r="I851" s="13" t="str">
        <f t="shared" si="66"/>
        <v/>
      </c>
      <c r="J851" s="13" t="str">
        <f t="shared" ca="1" si="67"/>
        <v>Overdue</v>
      </c>
      <c r="K851" s="13">
        <f t="shared" ca="1" si="68"/>
        <v>555</v>
      </c>
      <c r="L851" s="13" t="str">
        <f t="shared" ca="1" si="69"/>
        <v>120+ Days</v>
      </c>
      <c r="M851" s="14">
        <v>45658</v>
      </c>
      <c r="N851" s="14"/>
    </row>
    <row r="852" spans="1:14" x14ac:dyDescent="0.25">
      <c r="A852" s="10" t="s">
        <v>979</v>
      </c>
      <c r="B852" s="10" t="s">
        <v>153</v>
      </c>
      <c r="C852" s="11">
        <v>45658</v>
      </c>
      <c r="D852" s="11">
        <v>45688</v>
      </c>
      <c r="E852" s="11"/>
      <c r="F852" s="12">
        <v>180000</v>
      </c>
      <c r="G852" s="12">
        <v>0</v>
      </c>
      <c r="H852" s="12">
        <f t="shared" si="65"/>
        <v>180000</v>
      </c>
      <c r="I852" s="10" t="str">
        <f t="shared" si="66"/>
        <v/>
      </c>
      <c r="J852" s="10" t="str">
        <f t="shared" ca="1" si="67"/>
        <v>Overdue</v>
      </c>
      <c r="K852" s="10">
        <f t="shared" ca="1" si="68"/>
        <v>568</v>
      </c>
      <c r="L852" s="10" t="str">
        <f t="shared" ca="1" si="69"/>
        <v>120+ Days</v>
      </c>
      <c r="M852" s="11">
        <v>45658</v>
      </c>
      <c r="N852" s="11"/>
    </row>
    <row r="853" spans="1:14" x14ac:dyDescent="0.25">
      <c r="A853" s="13" t="s">
        <v>980</v>
      </c>
      <c r="B853" s="13" t="s">
        <v>119</v>
      </c>
      <c r="C853" s="14">
        <v>45665</v>
      </c>
      <c r="D853" s="14">
        <v>45695</v>
      </c>
      <c r="E853" s="14">
        <v>45695</v>
      </c>
      <c r="F853" s="15">
        <v>49839.040000000001</v>
      </c>
      <c r="G853" s="15">
        <v>49839.040000000001</v>
      </c>
      <c r="H853" s="15">
        <f t="shared" si="65"/>
        <v>0</v>
      </c>
      <c r="I853" s="13">
        <f t="shared" si="66"/>
        <v>0</v>
      </c>
      <c r="J853" s="13" t="str">
        <f t="shared" ca="1" si="67"/>
        <v>Paid</v>
      </c>
      <c r="K853" s="13">
        <f t="shared" ca="1" si="68"/>
        <v>0</v>
      </c>
      <c r="L853" s="13" t="str">
        <f t="shared" si="69"/>
        <v>Paid</v>
      </c>
      <c r="M853" s="14">
        <v>45658</v>
      </c>
      <c r="N853" s="14">
        <v>45689</v>
      </c>
    </row>
    <row r="854" spans="1:14" x14ac:dyDescent="0.25">
      <c r="A854" s="10" t="s">
        <v>981</v>
      </c>
      <c r="B854" s="10" t="s">
        <v>331</v>
      </c>
      <c r="C854" s="11">
        <v>45684</v>
      </c>
      <c r="D854" s="11">
        <v>45714</v>
      </c>
      <c r="E854" s="11">
        <v>45739</v>
      </c>
      <c r="F854" s="12">
        <v>28900.29</v>
      </c>
      <c r="G854" s="12">
        <v>28900.29</v>
      </c>
      <c r="H854" s="12">
        <f t="shared" si="65"/>
        <v>0</v>
      </c>
      <c r="I854" s="10">
        <f t="shared" si="66"/>
        <v>25</v>
      </c>
      <c r="J854" s="10" t="str">
        <f t="shared" ca="1" si="67"/>
        <v>Paid</v>
      </c>
      <c r="K854" s="10">
        <f t="shared" ca="1" si="68"/>
        <v>0</v>
      </c>
      <c r="L854" s="10" t="str">
        <f t="shared" si="69"/>
        <v>Paid</v>
      </c>
      <c r="M854" s="11">
        <v>45658</v>
      </c>
      <c r="N854" s="11">
        <v>45717</v>
      </c>
    </row>
    <row r="855" spans="1:14" x14ac:dyDescent="0.25">
      <c r="A855" s="13" t="s">
        <v>982</v>
      </c>
      <c r="B855" s="13" t="s">
        <v>233</v>
      </c>
      <c r="C855" s="14">
        <v>45672</v>
      </c>
      <c r="D855" s="14">
        <v>45702</v>
      </c>
      <c r="E855" s="14"/>
      <c r="F855" s="15">
        <v>41192.97</v>
      </c>
      <c r="G855" s="15">
        <v>0</v>
      </c>
      <c r="H855" s="15">
        <f t="shared" si="65"/>
        <v>41192.97</v>
      </c>
      <c r="I855" s="13" t="str">
        <f t="shared" si="66"/>
        <v/>
      </c>
      <c r="J855" s="13" t="str">
        <f t="shared" ca="1" si="67"/>
        <v>Overdue</v>
      </c>
      <c r="K855" s="13">
        <f t="shared" ca="1" si="68"/>
        <v>554</v>
      </c>
      <c r="L855" s="13" t="str">
        <f t="shared" ca="1" si="69"/>
        <v>120+ Days</v>
      </c>
      <c r="M855" s="14">
        <v>45658</v>
      </c>
      <c r="N855" s="14"/>
    </row>
    <row r="856" spans="1:14" x14ac:dyDescent="0.25">
      <c r="A856" s="10" t="s">
        <v>983</v>
      </c>
      <c r="B856" s="10" t="s">
        <v>131</v>
      </c>
      <c r="C856" s="11">
        <v>45664</v>
      </c>
      <c r="D856" s="11">
        <v>45694</v>
      </c>
      <c r="E856" s="11">
        <v>45718</v>
      </c>
      <c r="F856" s="12">
        <v>34928.33</v>
      </c>
      <c r="G856" s="12">
        <v>34928.33</v>
      </c>
      <c r="H856" s="12">
        <f t="shared" si="65"/>
        <v>0</v>
      </c>
      <c r="I856" s="10">
        <f t="shared" si="66"/>
        <v>24</v>
      </c>
      <c r="J856" s="10" t="str">
        <f t="shared" ca="1" si="67"/>
        <v>Paid</v>
      </c>
      <c r="K856" s="10">
        <f t="shared" ca="1" si="68"/>
        <v>0</v>
      </c>
      <c r="L856" s="10" t="str">
        <f t="shared" si="69"/>
        <v>Paid</v>
      </c>
      <c r="M856" s="11">
        <v>45658</v>
      </c>
      <c r="N856" s="11">
        <v>45717</v>
      </c>
    </row>
    <row r="857" spans="1:14" x14ac:dyDescent="0.25">
      <c r="A857" s="13" t="s">
        <v>984</v>
      </c>
      <c r="B857" s="13" t="s">
        <v>180</v>
      </c>
      <c r="C857" s="14">
        <v>45684</v>
      </c>
      <c r="D857" s="14">
        <v>45714</v>
      </c>
      <c r="E857" s="14">
        <v>45737</v>
      </c>
      <c r="F857" s="15">
        <v>58433.24</v>
      </c>
      <c r="G857" s="15">
        <v>58433.24</v>
      </c>
      <c r="H857" s="15">
        <f t="shared" si="65"/>
        <v>0</v>
      </c>
      <c r="I857" s="13">
        <f t="shared" si="66"/>
        <v>23</v>
      </c>
      <c r="J857" s="13" t="str">
        <f t="shared" ca="1" si="67"/>
        <v>Paid</v>
      </c>
      <c r="K857" s="13">
        <f t="shared" ca="1" si="68"/>
        <v>0</v>
      </c>
      <c r="L857" s="13" t="str">
        <f t="shared" si="69"/>
        <v>Paid</v>
      </c>
      <c r="M857" s="14">
        <v>45658</v>
      </c>
      <c r="N857" s="14">
        <v>45717</v>
      </c>
    </row>
    <row r="858" spans="1:14" x14ac:dyDescent="0.25">
      <c r="A858" s="10" t="s">
        <v>985</v>
      </c>
      <c r="B858" s="10" t="s">
        <v>463</v>
      </c>
      <c r="C858" s="11">
        <v>45670</v>
      </c>
      <c r="D858" s="11">
        <v>45700</v>
      </c>
      <c r="E858" s="11">
        <v>45711</v>
      </c>
      <c r="F858" s="12">
        <v>58592.17</v>
      </c>
      <c r="G858" s="12">
        <v>58592.17</v>
      </c>
      <c r="H858" s="12">
        <f t="shared" si="65"/>
        <v>0</v>
      </c>
      <c r="I858" s="10">
        <f t="shared" si="66"/>
        <v>11</v>
      </c>
      <c r="J858" s="10" t="str">
        <f t="shared" ca="1" si="67"/>
        <v>Paid</v>
      </c>
      <c r="K858" s="10">
        <f t="shared" ca="1" si="68"/>
        <v>0</v>
      </c>
      <c r="L858" s="10" t="str">
        <f t="shared" si="69"/>
        <v>Paid</v>
      </c>
      <c r="M858" s="11">
        <v>45658</v>
      </c>
      <c r="N858" s="11">
        <v>45689</v>
      </c>
    </row>
    <row r="859" spans="1:14" x14ac:dyDescent="0.25">
      <c r="A859" s="13" t="s">
        <v>986</v>
      </c>
      <c r="B859" s="13" t="s">
        <v>340</v>
      </c>
      <c r="C859" s="14">
        <v>45675</v>
      </c>
      <c r="D859" s="14">
        <v>45705</v>
      </c>
      <c r="E859" s="14"/>
      <c r="F859" s="15">
        <v>52674.47</v>
      </c>
      <c r="G859" s="15">
        <v>0</v>
      </c>
      <c r="H859" s="15">
        <f t="shared" si="65"/>
        <v>52674.47</v>
      </c>
      <c r="I859" s="13" t="str">
        <f t="shared" si="66"/>
        <v/>
      </c>
      <c r="J859" s="13" t="str">
        <f t="shared" ca="1" si="67"/>
        <v>Overdue</v>
      </c>
      <c r="K859" s="13">
        <f t="shared" ca="1" si="68"/>
        <v>551</v>
      </c>
      <c r="L859" s="13" t="str">
        <f t="shared" ca="1" si="69"/>
        <v>120+ Days</v>
      </c>
      <c r="M859" s="14">
        <v>45658</v>
      </c>
      <c r="N859" s="14"/>
    </row>
    <row r="860" spans="1:14" x14ac:dyDescent="0.25">
      <c r="A860" s="10" t="s">
        <v>987</v>
      </c>
      <c r="B860" s="10" t="s">
        <v>182</v>
      </c>
      <c r="C860" s="11">
        <v>45680</v>
      </c>
      <c r="D860" s="11">
        <v>45710</v>
      </c>
      <c r="E860" s="11">
        <v>45716</v>
      </c>
      <c r="F860" s="12">
        <v>33067.449999999997</v>
      </c>
      <c r="G860" s="12">
        <v>33067.449999999997</v>
      </c>
      <c r="H860" s="12">
        <f t="shared" si="65"/>
        <v>0</v>
      </c>
      <c r="I860" s="10">
        <f t="shared" si="66"/>
        <v>6</v>
      </c>
      <c r="J860" s="10" t="str">
        <f t="shared" ca="1" si="67"/>
        <v>Paid</v>
      </c>
      <c r="K860" s="10">
        <f t="shared" ca="1" si="68"/>
        <v>0</v>
      </c>
      <c r="L860" s="10" t="str">
        <f t="shared" si="69"/>
        <v>Paid</v>
      </c>
      <c r="M860" s="11">
        <v>45658</v>
      </c>
      <c r="N860" s="11">
        <v>45689</v>
      </c>
    </row>
    <row r="861" spans="1:14" x14ac:dyDescent="0.25">
      <c r="A861" s="13" t="s">
        <v>988</v>
      </c>
      <c r="B861" s="13" t="s">
        <v>81</v>
      </c>
      <c r="C861" s="14">
        <v>45679</v>
      </c>
      <c r="D861" s="14">
        <v>45709</v>
      </c>
      <c r="E861" s="14">
        <v>45737</v>
      </c>
      <c r="F861" s="15">
        <v>13533.66</v>
      </c>
      <c r="G861" s="15">
        <v>13533.66</v>
      </c>
      <c r="H861" s="15">
        <f t="shared" si="65"/>
        <v>0</v>
      </c>
      <c r="I861" s="13">
        <f t="shared" si="66"/>
        <v>28</v>
      </c>
      <c r="J861" s="13" t="str">
        <f t="shared" ca="1" si="67"/>
        <v>Paid</v>
      </c>
      <c r="K861" s="13">
        <f t="shared" ca="1" si="68"/>
        <v>0</v>
      </c>
      <c r="L861" s="13" t="str">
        <f t="shared" si="69"/>
        <v>Paid</v>
      </c>
      <c r="M861" s="14">
        <v>45658</v>
      </c>
      <c r="N861" s="14">
        <v>45717</v>
      </c>
    </row>
    <row r="862" spans="1:14" x14ac:dyDescent="0.25">
      <c r="A862" s="10" t="s">
        <v>989</v>
      </c>
      <c r="B862" s="10" t="s">
        <v>140</v>
      </c>
      <c r="C862" s="11">
        <v>45672</v>
      </c>
      <c r="D862" s="11">
        <v>45702</v>
      </c>
      <c r="E862" s="11">
        <v>45702</v>
      </c>
      <c r="F862" s="12">
        <v>33331.120000000003</v>
      </c>
      <c r="G862" s="12">
        <v>33331.120000000003</v>
      </c>
      <c r="H862" s="12">
        <f t="shared" si="65"/>
        <v>0</v>
      </c>
      <c r="I862" s="10">
        <f t="shared" si="66"/>
        <v>0</v>
      </c>
      <c r="J862" s="10" t="str">
        <f t="shared" ca="1" si="67"/>
        <v>Paid</v>
      </c>
      <c r="K862" s="10">
        <f t="shared" ca="1" si="68"/>
        <v>0</v>
      </c>
      <c r="L862" s="10" t="str">
        <f t="shared" si="69"/>
        <v>Paid</v>
      </c>
      <c r="M862" s="11">
        <v>45658</v>
      </c>
      <c r="N862" s="11">
        <v>45689</v>
      </c>
    </row>
    <row r="863" spans="1:14" x14ac:dyDescent="0.25">
      <c r="A863" s="13" t="s">
        <v>990</v>
      </c>
      <c r="B863" s="13" t="s">
        <v>146</v>
      </c>
      <c r="C863" s="14">
        <v>45671</v>
      </c>
      <c r="D863" s="14">
        <v>45701</v>
      </c>
      <c r="E863" s="14">
        <v>45719</v>
      </c>
      <c r="F863" s="15">
        <v>15592.99</v>
      </c>
      <c r="G863" s="15">
        <v>15592.99</v>
      </c>
      <c r="H863" s="15">
        <f t="shared" si="65"/>
        <v>0</v>
      </c>
      <c r="I863" s="13">
        <f t="shared" si="66"/>
        <v>18</v>
      </c>
      <c r="J863" s="13" t="str">
        <f t="shared" ca="1" si="67"/>
        <v>Paid</v>
      </c>
      <c r="K863" s="13">
        <f t="shared" ca="1" si="68"/>
        <v>0</v>
      </c>
      <c r="L863" s="13" t="str">
        <f t="shared" si="69"/>
        <v>Paid</v>
      </c>
      <c r="M863" s="14">
        <v>45658</v>
      </c>
      <c r="N863" s="14">
        <v>45717</v>
      </c>
    </row>
    <row r="864" spans="1:14" x14ac:dyDescent="0.25">
      <c r="A864" s="10" t="s">
        <v>991</v>
      </c>
      <c r="B864" s="10" t="s">
        <v>89</v>
      </c>
      <c r="C864" s="11">
        <v>45659</v>
      </c>
      <c r="D864" s="11">
        <v>45689</v>
      </c>
      <c r="E864" s="11">
        <v>45736</v>
      </c>
      <c r="F864" s="12">
        <v>58698.559999999998</v>
      </c>
      <c r="G864" s="12">
        <v>37430.71</v>
      </c>
      <c r="H864" s="12">
        <f t="shared" si="65"/>
        <v>21267.85</v>
      </c>
      <c r="I864" s="10">
        <f t="shared" si="66"/>
        <v>47</v>
      </c>
      <c r="J864" s="10" t="str">
        <f t="shared" ca="1" si="67"/>
        <v>Overdue</v>
      </c>
      <c r="K864" s="10">
        <f t="shared" ca="1" si="68"/>
        <v>567</v>
      </c>
      <c r="L864" s="10" t="str">
        <f t="shared" ca="1" si="69"/>
        <v>120+ Days</v>
      </c>
      <c r="M864" s="11">
        <v>45658</v>
      </c>
      <c r="N864" s="11">
        <v>45717</v>
      </c>
    </row>
    <row r="865" spans="1:14" x14ac:dyDescent="0.25">
      <c r="A865" s="13" t="s">
        <v>992</v>
      </c>
      <c r="B865" s="13" t="s">
        <v>99</v>
      </c>
      <c r="C865" s="14">
        <v>45680</v>
      </c>
      <c r="D865" s="14">
        <v>45710</v>
      </c>
      <c r="E865" s="14">
        <v>45725</v>
      </c>
      <c r="F865" s="15">
        <v>43964.99</v>
      </c>
      <c r="G865" s="15">
        <v>43964.99</v>
      </c>
      <c r="H865" s="15">
        <f t="shared" si="65"/>
        <v>0</v>
      </c>
      <c r="I865" s="13">
        <f t="shared" si="66"/>
        <v>15</v>
      </c>
      <c r="J865" s="13" t="str">
        <f t="shared" ca="1" si="67"/>
        <v>Paid</v>
      </c>
      <c r="K865" s="13">
        <f t="shared" ca="1" si="68"/>
        <v>0</v>
      </c>
      <c r="L865" s="13" t="str">
        <f t="shared" si="69"/>
        <v>Paid</v>
      </c>
      <c r="M865" s="14">
        <v>45658</v>
      </c>
      <c r="N865" s="14">
        <v>45717</v>
      </c>
    </row>
    <row r="866" spans="1:14" x14ac:dyDescent="0.25">
      <c r="A866" s="10" t="s">
        <v>993</v>
      </c>
      <c r="B866" s="10" t="s">
        <v>85</v>
      </c>
      <c r="C866" s="11">
        <v>45676</v>
      </c>
      <c r="D866" s="11">
        <v>45706</v>
      </c>
      <c r="E866" s="11"/>
      <c r="F866" s="12">
        <v>39565.730000000003</v>
      </c>
      <c r="G866" s="12">
        <v>0</v>
      </c>
      <c r="H866" s="12">
        <f t="shared" si="65"/>
        <v>39565.730000000003</v>
      </c>
      <c r="I866" s="10" t="str">
        <f t="shared" si="66"/>
        <v/>
      </c>
      <c r="J866" s="10" t="str">
        <f t="shared" ca="1" si="67"/>
        <v>Overdue</v>
      </c>
      <c r="K866" s="10">
        <f t="shared" ca="1" si="68"/>
        <v>550</v>
      </c>
      <c r="L866" s="10" t="str">
        <f t="shared" ca="1" si="69"/>
        <v>120+ Days</v>
      </c>
      <c r="M866" s="11">
        <v>45658</v>
      </c>
      <c r="N866" s="11"/>
    </row>
    <row r="867" spans="1:14" x14ac:dyDescent="0.25">
      <c r="A867" s="13" t="s">
        <v>994</v>
      </c>
      <c r="B867" s="13" t="s">
        <v>140</v>
      </c>
      <c r="C867" s="14">
        <v>45660</v>
      </c>
      <c r="D867" s="14">
        <v>45690</v>
      </c>
      <c r="E867" s="14">
        <v>45691</v>
      </c>
      <c r="F867" s="15">
        <v>60121.27</v>
      </c>
      <c r="G867" s="15">
        <v>60121.27</v>
      </c>
      <c r="H867" s="15">
        <f t="shared" si="65"/>
        <v>0</v>
      </c>
      <c r="I867" s="13">
        <f t="shared" si="66"/>
        <v>1</v>
      </c>
      <c r="J867" s="13" t="str">
        <f t="shared" ca="1" si="67"/>
        <v>Paid</v>
      </c>
      <c r="K867" s="13">
        <f t="shared" ca="1" si="68"/>
        <v>0</v>
      </c>
      <c r="L867" s="13" t="str">
        <f t="shared" si="69"/>
        <v>Paid</v>
      </c>
      <c r="M867" s="14">
        <v>45658</v>
      </c>
      <c r="N867" s="14">
        <v>45689</v>
      </c>
    </row>
    <row r="868" spans="1:14" x14ac:dyDescent="0.25">
      <c r="A868" s="10" t="s">
        <v>995</v>
      </c>
      <c r="B868" s="10" t="s">
        <v>153</v>
      </c>
      <c r="C868" s="11">
        <v>45682</v>
      </c>
      <c r="D868" s="11">
        <v>45712</v>
      </c>
      <c r="E868" s="11">
        <v>45724</v>
      </c>
      <c r="F868" s="12">
        <v>27124.59</v>
      </c>
      <c r="G868" s="12">
        <v>27124.59</v>
      </c>
      <c r="H868" s="12">
        <f t="shared" si="65"/>
        <v>0</v>
      </c>
      <c r="I868" s="10">
        <f t="shared" si="66"/>
        <v>12</v>
      </c>
      <c r="J868" s="10" t="str">
        <f t="shared" ca="1" si="67"/>
        <v>Paid</v>
      </c>
      <c r="K868" s="10">
        <f t="shared" ca="1" si="68"/>
        <v>0</v>
      </c>
      <c r="L868" s="10" t="str">
        <f t="shared" si="69"/>
        <v>Paid</v>
      </c>
      <c r="M868" s="11">
        <v>45658</v>
      </c>
      <c r="N868" s="11">
        <v>45717</v>
      </c>
    </row>
    <row r="869" spans="1:14" x14ac:dyDescent="0.25">
      <c r="A869" s="13" t="s">
        <v>996</v>
      </c>
      <c r="B869" s="13" t="s">
        <v>72</v>
      </c>
      <c r="C869" s="14">
        <v>45684</v>
      </c>
      <c r="D869" s="14">
        <v>45714</v>
      </c>
      <c r="E869" s="14">
        <v>45745</v>
      </c>
      <c r="F869" s="15">
        <v>41818.19</v>
      </c>
      <c r="G869" s="15">
        <v>41818.19</v>
      </c>
      <c r="H869" s="15">
        <f t="shared" si="65"/>
        <v>0</v>
      </c>
      <c r="I869" s="13">
        <f t="shared" si="66"/>
        <v>31</v>
      </c>
      <c r="J869" s="13" t="str">
        <f t="shared" ca="1" si="67"/>
        <v>Paid</v>
      </c>
      <c r="K869" s="13">
        <f t="shared" ca="1" si="68"/>
        <v>0</v>
      </c>
      <c r="L869" s="13" t="str">
        <f t="shared" si="69"/>
        <v>Paid</v>
      </c>
      <c r="M869" s="14">
        <v>45658</v>
      </c>
      <c r="N869" s="14">
        <v>45717</v>
      </c>
    </row>
    <row r="870" spans="1:14" x14ac:dyDescent="0.25">
      <c r="A870" s="10" t="s">
        <v>997</v>
      </c>
      <c r="B870" s="10" t="s">
        <v>101</v>
      </c>
      <c r="C870" s="11">
        <v>45666</v>
      </c>
      <c r="D870" s="11">
        <v>45696</v>
      </c>
      <c r="E870" s="11">
        <v>45704</v>
      </c>
      <c r="F870" s="12">
        <v>22912.13</v>
      </c>
      <c r="G870" s="12">
        <v>22912.13</v>
      </c>
      <c r="H870" s="12">
        <f t="shared" si="65"/>
        <v>0</v>
      </c>
      <c r="I870" s="10">
        <f t="shared" si="66"/>
        <v>8</v>
      </c>
      <c r="J870" s="10" t="str">
        <f t="shared" ca="1" si="67"/>
        <v>Paid</v>
      </c>
      <c r="K870" s="10">
        <f t="shared" ca="1" si="68"/>
        <v>0</v>
      </c>
      <c r="L870" s="10" t="str">
        <f t="shared" si="69"/>
        <v>Paid</v>
      </c>
      <c r="M870" s="11">
        <v>45658</v>
      </c>
      <c r="N870" s="11">
        <v>45689</v>
      </c>
    </row>
    <row r="871" spans="1:14" x14ac:dyDescent="0.25">
      <c r="A871" s="13" t="s">
        <v>998</v>
      </c>
      <c r="B871" s="13" t="s">
        <v>153</v>
      </c>
      <c r="C871" s="14">
        <v>45665</v>
      </c>
      <c r="D871" s="14">
        <v>45695</v>
      </c>
      <c r="E871" s="14">
        <v>45727</v>
      </c>
      <c r="F871" s="15">
        <v>38812.730000000003</v>
      </c>
      <c r="G871" s="15">
        <v>38812.730000000003</v>
      </c>
      <c r="H871" s="15">
        <f t="shared" si="65"/>
        <v>0</v>
      </c>
      <c r="I871" s="13">
        <f t="shared" si="66"/>
        <v>32</v>
      </c>
      <c r="J871" s="13" t="str">
        <f t="shared" ca="1" si="67"/>
        <v>Paid</v>
      </c>
      <c r="K871" s="13">
        <f t="shared" ca="1" si="68"/>
        <v>0</v>
      </c>
      <c r="L871" s="13" t="str">
        <f t="shared" si="69"/>
        <v>Paid</v>
      </c>
      <c r="M871" s="14">
        <v>45658</v>
      </c>
      <c r="N871" s="14">
        <v>45717</v>
      </c>
    </row>
    <row r="872" spans="1:14" x14ac:dyDescent="0.25">
      <c r="A872" s="10" t="s">
        <v>999</v>
      </c>
      <c r="B872" s="10" t="s">
        <v>233</v>
      </c>
      <c r="C872" s="11">
        <v>45676</v>
      </c>
      <c r="D872" s="11">
        <v>45706</v>
      </c>
      <c r="E872" s="11"/>
      <c r="F872" s="12">
        <v>33178.58</v>
      </c>
      <c r="G872" s="12">
        <v>0</v>
      </c>
      <c r="H872" s="12">
        <f t="shared" si="65"/>
        <v>33178.58</v>
      </c>
      <c r="I872" s="10" t="str">
        <f t="shared" si="66"/>
        <v/>
      </c>
      <c r="J872" s="10" t="str">
        <f t="shared" ca="1" si="67"/>
        <v>Overdue</v>
      </c>
      <c r="K872" s="10">
        <f t="shared" ca="1" si="68"/>
        <v>550</v>
      </c>
      <c r="L872" s="10" t="str">
        <f t="shared" ca="1" si="69"/>
        <v>120+ Days</v>
      </c>
      <c r="M872" s="11">
        <v>45658</v>
      </c>
      <c r="N872" s="11"/>
    </row>
    <row r="873" spans="1:14" x14ac:dyDescent="0.25">
      <c r="A873" s="13" t="s">
        <v>1000</v>
      </c>
      <c r="B873" s="13" t="s">
        <v>140</v>
      </c>
      <c r="C873" s="14">
        <v>45678</v>
      </c>
      <c r="D873" s="14">
        <v>45708</v>
      </c>
      <c r="E873" s="14">
        <v>45714</v>
      </c>
      <c r="F873" s="15">
        <v>16941.740000000002</v>
      </c>
      <c r="G873" s="15">
        <v>16941.740000000002</v>
      </c>
      <c r="H873" s="15">
        <f t="shared" si="65"/>
        <v>0</v>
      </c>
      <c r="I873" s="13">
        <f t="shared" si="66"/>
        <v>6</v>
      </c>
      <c r="J873" s="13" t="str">
        <f t="shared" ca="1" si="67"/>
        <v>Paid</v>
      </c>
      <c r="K873" s="13">
        <f t="shared" ca="1" si="68"/>
        <v>0</v>
      </c>
      <c r="L873" s="13" t="str">
        <f t="shared" si="69"/>
        <v>Paid</v>
      </c>
      <c r="M873" s="14">
        <v>45658</v>
      </c>
      <c r="N873" s="14">
        <v>45689</v>
      </c>
    </row>
    <row r="874" spans="1:14" x14ac:dyDescent="0.25">
      <c r="A874" s="10" t="s">
        <v>1001</v>
      </c>
      <c r="B874" s="10" t="s">
        <v>182</v>
      </c>
      <c r="C874" s="11">
        <v>45658</v>
      </c>
      <c r="D874" s="11">
        <v>45688</v>
      </c>
      <c r="E874" s="11">
        <v>45688</v>
      </c>
      <c r="F874" s="12">
        <v>53845.09</v>
      </c>
      <c r="G874" s="12">
        <v>53845.09</v>
      </c>
      <c r="H874" s="12">
        <f t="shared" si="65"/>
        <v>0</v>
      </c>
      <c r="I874" s="10">
        <f t="shared" si="66"/>
        <v>0</v>
      </c>
      <c r="J874" s="10" t="str">
        <f t="shared" ca="1" si="67"/>
        <v>Paid</v>
      </c>
      <c r="K874" s="10">
        <f t="shared" ca="1" si="68"/>
        <v>0</v>
      </c>
      <c r="L874" s="10" t="str">
        <f t="shared" si="69"/>
        <v>Paid</v>
      </c>
      <c r="M874" s="11">
        <v>45658</v>
      </c>
      <c r="N874" s="11">
        <v>45658</v>
      </c>
    </row>
    <row r="875" spans="1:14" x14ac:dyDescent="0.25">
      <c r="A875" s="13" t="s">
        <v>1002</v>
      </c>
      <c r="B875" s="13" t="s">
        <v>91</v>
      </c>
      <c r="C875" s="14">
        <v>45658</v>
      </c>
      <c r="D875" s="14">
        <v>45688</v>
      </c>
      <c r="E875" s="14">
        <v>45757</v>
      </c>
      <c r="F875" s="15">
        <v>32762.74</v>
      </c>
      <c r="G875" s="15">
        <v>32762.74</v>
      </c>
      <c r="H875" s="15">
        <f t="shared" si="65"/>
        <v>0</v>
      </c>
      <c r="I875" s="13">
        <f t="shared" si="66"/>
        <v>69</v>
      </c>
      <c r="J875" s="13" t="str">
        <f t="shared" ca="1" si="67"/>
        <v>Paid</v>
      </c>
      <c r="K875" s="13">
        <f t="shared" ca="1" si="68"/>
        <v>0</v>
      </c>
      <c r="L875" s="13" t="str">
        <f t="shared" si="69"/>
        <v>Paid</v>
      </c>
      <c r="M875" s="14">
        <v>45658</v>
      </c>
      <c r="N875" s="14">
        <v>45748</v>
      </c>
    </row>
    <row r="876" spans="1:14" x14ac:dyDescent="0.25">
      <c r="A876" s="10" t="s">
        <v>1003</v>
      </c>
      <c r="B876" s="10" t="s">
        <v>85</v>
      </c>
      <c r="C876" s="11">
        <v>45664</v>
      </c>
      <c r="D876" s="11">
        <v>45694</v>
      </c>
      <c r="E876" s="11">
        <v>45728</v>
      </c>
      <c r="F876" s="12">
        <v>26425.9</v>
      </c>
      <c r="G876" s="12">
        <v>26425.9</v>
      </c>
      <c r="H876" s="12">
        <f t="shared" si="65"/>
        <v>0</v>
      </c>
      <c r="I876" s="10">
        <f t="shared" si="66"/>
        <v>34</v>
      </c>
      <c r="J876" s="10" t="str">
        <f t="shared" ca="1" si="67"/>
        <v>Paid</v>
      </c>
      <c r="K876" s="10">
        <f t="shared" ca="1" si="68"/>
        <v>0</v>
      </c>
      <c r="L876" s="10" t="str">
        <f t="shared" si="69"/>
        <v>Paid</v>
      </c>
      <c r="M876" s="11">
        <v>45658</v>
      </c>
      <c r="N876" s="11">
        <v>45717</v>
      </c>
    </row>
    <row r="877" spans="1:14" x14ac:dyDescent="0.25">
      <c r="A877" s="13" t="s">
        <v>1004</v>
      </c>
      <c r="B877" s="13" t="s">
        <v>184</v>
      </c>
      <c r="C877" s="14">
        <v>45670</v>
      </c>
      <c r="D877" s="14">
        <v>45700</v>
      </c>
      <c r="E877" s="14"/>
      <c r="F877" s="15">
        <v>37688.769999999997</v>
      </c>
      <c r="G877" s="15">
        <v>0</v>
      </c>
      <c r="H877" s="15">
        <f t="shared" si="65"/>
        <v>37688.769999999997</v>
      </c>
      <c r="I877" s="13" t="str">
        <f t="shared" si="66"/>
        <v/>
      </c>
      <c r="J877" s="13" t="str">
        <f t="shared" ca="1" si="67"/>
        <v>Overdue</v>
      </c>
      <c r="K877" s="13">
        <f t="shared" ca="1" si="68"/>
        <v>556</v>
      </c>
      <c r="L877" s="13" t="str">
        <f t="shared" ca="1" si="69"/>
        <v>120+ Days</v>
      </c>
      <c r="M877" s="14">
        <v>45658</v>
      </c>
      <c r="N877" s="14"/>
    </row>
    <row r="878" spans="1:14" x14ac:dyDescent="0.25">
      <c r="A878" s="10" t="s">
        <v>1005</v>
      </c>
      <c r="B878" s="10" t="s">
        <v>138</v>
      </c>
      <c r="C878" s="11">
        <v>45659</v>
      </c>
      <c r="D878" s="11">
        <v>45689</v>
      </c>
      <c r="E878" s="11">
        <v>45689</v>
      </c>
      <c r="F878" s="12">
        <v>28826.23</v>
      </c>
      <c r="G878" s="12">
        <v>28826.23</v>
      </c>
      <c r="H878" s="12">
        <f t="shared" si="65"/>
        <v>0</v>
      </c>
      <c r="I878" s="10">
        <f t="shared" si="66"/>
        <v>0</v>
      </c>
      <c r="J878" s="10" t="str">
        <f t="shared" ca="1" si="67"/>
        <v>Paid</v>
      </c>
      <c r="K878" s="10">
        <f t="shared" ca="1" si="68"/>
        <v>0</v>
      </c>
      <c r="L878" s="10" t="str">
        <f t="shared" si="69"/>
        <v>Paid</v>
      </c>
      <c r="M878" s="11">
        <v>45658</v>
      </c>
      <c r="N878" s="11">
        <v>45689</v>
      </c>
    </row>
    <row r="879" spans="1:14" x14ac:dyDescent="0.25">
      <c r="A879" s="13" t="s">
        <v>1006</v>
      </c>
      <c r="B879" s="13" t="s">
        <v>125</v>
      </c>
      <c r="C879" s="14">
        <v>45674</v>
      </c>
      <c r="D879" s="14">
        <v>45704</v>
      </c>
      <c r="E879" s="14">
        <v>45719</v>
      </c>
      <c r="F879" s="15">
        <v>24646.17</v>
      </c>
      <c r="G879" s="15">
        <v>24646.17</v>
      </c>
      <c r="H879" s="15">
        <f t="shared" si="65"/>
        <v>0</v>
      </c>
      <c r="I879" s="13">
        <f t="shared" si="66"/>
        <v>15</v>
      </c>
      <c r="J879" s="13" t="str">
        <f t="shared" ca="1" si="67"/>
        <v>Paid</v>
      </c>
      <c r="K879" s="13">
        <f t="shared" ca="1" si="68"/>
        <v>0</v>
      </c>
      <c r="L879" s="13" t="str">
        <f t="shared" si="69"/>
        <v>Paid</v>
      </c>
      <c r="M879" s="14">
        <v>45658</v>
      </c>
      <c r="N879" s="14">
        <v>45717</v>
      </c>
    </row>
    <row r="880" spans="1:14" x14ac:dyDescent="0.25">
      <c r="A880" s="10" t="s">
        <v>1007</v>
      </c>
      <c r="B880" s="10" t="s">
        <v>449</v>
      </c>
      <c r="C880" s="11">
        <v>45670</v>
      </c>
      <c r="D880" s="11">
        <v>45700</v>
      </c>
      <c r="E880" s="11">
        <v>45700</v>
      </c>
      <c r="F880" s="12">
        <v>23222.26</v>
      </c>
      <c r="G880" s="12">
        <v>23222.26</v>
      </c>
      <c r="H880" s="12">
        <f t="shared" si="65"/>
        <v>0</v>
      </c>
      <c r="I880" s="10">
        <f t="shared" si="66"/>
        <v>0</v>
      </c>
      <c r="J880" s="10" t="str">
        <f t="shared" ca="1" si="67"/>
        <v>Paid</v>
      </c>
      <c r="K880" s="10">
        <f t="shared" ca="1" si="68"/>
        <v>0</v>
      </c>
      <c r="L880" s="10" t="str">
        <f t="shared" si="69"/>
        <v>Paid</v>
      </c>
      <c r="M880" s="11">
        <v>45658</v>
      </c>
      <c r="N880" s="11">
        <v>45689</v>
      </c>
    </row>
    <row r="881" spans="1:14" x14ac:dyDescent="0.25">
      <c r="A881" s="13" t="s">
        <v>1008</v>
      </c>
      <c r="B881" s="13" t="s">
        <v>129</v>
      </c>
      <c r="C881" s="14">
        <v>45714</v>
      </c>
      <c r="D881" s="14">
        <v>45744</v>
      </c>
      <c r="E881" s="14"/>
      <c r="F881" s="15">
        <v>59034.61</v>
      </c>
      <c r="G881" s="15">
        <v>0</v>
      </c>
      <c r="H881" s="15">
        <f t="shared" si="65"/>
        <v>59034.61</v>
      </c>
      <c r="I881" s="13" t="str">
        <f t="shared" si="66"/>
        <v/>
      </c>
      <c r="J881" s="13" t="str">
        <f t="shared" ca="1" si="67"/>
        <v>Overdue</v>
      </c>
      <c r="K881" s="13">
        <f t="shared" ca="1" si="68"/>
        <v>512</v>
      </c>
      <c r="L881" s="13" t="str">
        <f t="shared" ca="1" si="69"/>
        <v>120+ Days</v>
      </c>
      <c r="M881" s="14">
        <v>45689</v>
      </c>
      <c r="N881" s="14"/>
    </row>
    <row r="882" spans="1:14" x14ac:dyDescent="0.25">
      <c r="A882" s="10" t="s">
        <v>1009</v>
      </c>
      <c r="B882" s="10" t="s">
        <v>271</v>
      </c>
      <c r="C882" s="11">
        <v>45695</v>
      </c>
      <c r="D882" s="11">
        <v>45725</v>
      </c>
      <c r="E882" s="11"/>
      <c r="F882" s="12">
        <v>31650.43</v>
      </c>
      <c r="G882" s="12">
        <v>0</v>
      </c>
      <c r="H882" s="12">
        <f t="shared" si="65"/>
        <v>31650.43</v>
      </c>
      <c r="I882" s="10" t="str">
        <f t="shared" si="66"/>
        <v/>
      </c>
      <c r="J882" s="10" t="str">
        <f t="shared" ca="1" si="67"/>
        <v>Overdue</v>
      </c>
      <c r="K882" s="10">
        <f t="shared" ca="1" si="68"/>
        <v>531</v>
      </c>
      <c r="L882" s="10" t="str">
        <f t="shared" ca="1" si="69"/>
        <v>120+ Days</v>
      </c>
      <c r="M882" s="11">
        <v>45689</v>
      </c>
      <c r="N882" s="11"/>
    </row>
    <row r="883" spans="1:14" x14ac:dyDescent="0.25">
      <c r="A883" s="13" t="s">
        <v>1010</v>
      </c>
      <c r="B883" s="13" t="s">
        <v>87</v>
      </c>
      <c r="C883" s="14">
        <v>45715</v>
      </c>
      <c r="D883" s="14">
        <v>45745</v>
      </c>
      <c r="E883" s="14">
        <v>45745</v>
      </c>
      <c r="F883" s="15">
        <v>18890.419999999998</v>
      </c>
      <c r="G883" s="15">
        <v>18890.419999999998</v>
      </c>
      <c r="H883" s="15">
        <f t="shared" si="65"/>
        <v>0</v>
      </c>
      <c r="I883" s="13">
        <f t="shared" si="66"/>
        <v>0</v>
      </c>
      <c r="J883" s="13" t="str">
        <f t="shared" ca="1" si="67"/>
        <v>Paid</v>
      </c>
      <c r="K883" s="13">
        <f t="shared" ca="1" si="68"/>
        <v>0</v>
      </c>
      <c r="L883" s="13" t="str">
        <f t="shared" si="69"/>
        <v>Paid</v>
      </c>
      <c r="M883" s="14">
        <v>45689</v>
      </c>
      <c r="N883" s="14">
        <v>45717</v>
      </c>
    </row>
    <row r="884" spans="1:14" x14ac:dyDescent="0.25">
      <c r="A884" s="10" t="s">
        <v>1011</v>
      </c>
      <c r="B884" s="10" t="s">
        <v>109</v>
      </c>
      <c r="C884" s="11">
        <v>45710</v>
      </c>
      <c r="D884" s="11">
        <v>45740</v>
      </c>
      <c r="E884" s="11"/>
      <c r="F884" s="12">
        <v>32654.75</v>
      </c>
      <c r="G884" s="12">
        <v>0</v>
      </c>
      <c r="H884" s="12">
        <f t="shared" si="65"/>
        <v>32654.75</v>
      </c>
      <c r="I884" s="10" t="str">
        <f t="shared" si="66"/>
        <v/>
      </c>
      <c r="J884" s="10" t="str">
        <f t="shared" ca="1" si="67"/>
        <v>Overdue</v>
      </c>
      <c r="K884" s="10">
        <f t="shared" ca="1" si="68"/>
        <v>516</v>
      </c>
      <c r="L884" s="10" t="str">
        <f t="shared" ca="1" si="69"/>
        <v>120+ Days</v>
      </c>
      <c r="M884" s="11">
        <v>45689</v>
      </c>
      <c r="N884" s="11"/>
    </row>
    <row r="885" spans="1:14" x14ac:dyDescent="0.25">
      <c r="A885" s="13" t="s">
        <v>1012</v>
      </c>
      <c r="B885" s="13" t="s">
        <v>107</v>
      </c>
      <c r="C885" s="14">
        <v>45709</v>
      </c>
      <c r="D885" s="14">
        <v>45739</v>
      </c>
      <c r="E885" s="14">
        <v>45746</v>
      </c>
      <c r="F885" s="15">
        <v>113577.78</v>
      </c>
      <c r="G885" s="15">
        <v>113577.78</v>
      </c>
      <c r="H885" s="15">
        <f t="shared" si="65"/>
        <v>0</v>
      </c>
      <c r="I885" s="13">
        <f t="shared" si="66"/>
        <v>7</v>
      </c>
      <c r="J885" s="13" t="str">
        <f t="shared" ca="1" si="67"/>
        <v>Paid</v>
      </c>
      <c r="K885" s="13">
        <f t="shared" ca="1" si="68"/>
        <v>0</v>
      </c>
      <c r="L885" s="13" t="str">
        <f t="shared" si="69"/>
        <v>Paid</v>
      </c>
      <c r="M885" s="14">
        <v>45689</v>
      </c>
      <c r="N885" s="14">
        <v>45717</v>
      </c>
    </row>
    <row r="886" spans="1:14" x14ac:dyDescent="0.25">
      <c r="A886" s="10" t="s">
        <v>1013</v>
      </c>
      <c r="B886" s="10" t="s">
        <v>182</v>
      </c>
      <c r="C886" s="11">
        <v>45715</v>
      </c>
      <c r="D886" s="11">
        <v>45745</v>
      </c>
      <c r="E886" s="11">
        <v>45745</v>
      </c>
      <c r="F886" s="12">
        <v>70143.850000000006</v>
      </c>
      <c r="G886" s="12">
        <v>70143.850000000006</v>
      </c>
      <c r="H886" s="12">
        <f t="shared" si="65"/>
        <v>0</v>
      </c>
      <c r="I886" s="10">
        <f t="shared" si="66"/>
        <v>0</v>
      </c>
      <c r="J886" s="10" t="str">
        <f t="shared" ca="1" si="67"/>
        <v>Paid</v>
      </c>
      <c r="K886" s="10">
        <f t="shared" ca="1" si="68"/>
        <v>0</v>
      </c>
      <c r="L886" s="10" t="str">
        <f t="shared" si="69"/>
        <v>Paid</v>
      </c>
      <c r="M886" s="11">
        <v>45689</v>
      </c>
      <c r="N886" s="11">
        <v>45717</v>
      </c>
    </row>
    <row r="887" spans="1:14" x14ac:dyDescent="0.25">
      <c r="A887" s="13" t="s">
        <v>1014</v>
      </c>
      <c r="B887" s="13" t="s">
        <v>107</v>
      </c>
      <c r="C887" s="14">
        <v>45700</v>
      </c>
      <c r="D887" s="14">
        <v>45730</v>
      </c>
      <c r="E887" s="14">
        <v>45736</v>
      </c>
      <c r="F887" s="15">
        <v>65396.63</v>
      </c>
      <c r="G887" s="15">
        <v>65396.63</v>
      </c>
      <c r="H887" s="15">
        <f t="shared" si="65"/>
        <v>0</v>
      </c>
      <c r="I887" s="13">
        <f t="shared" si="66"/>
        <v>6</v>
      </c>
      <c r="J887" s="13" t="str">
        <f t="shared" ca="1" si="67"/>
        <v>Paid</v>
      </c>
      <c r="K887" s="13">
        <f t="shared" ca="1" si="68"/>
        <v>0</v>
      </c>
      <c r="L887" s="13" t="str">
        <f t="shared" si="69"/>
        <v>Paid</v>
      </c>
      <c r="M887" s="14">
        <v>45689</v>
      </c>
      <c r="N887" s="14">
        <v>45717</v>
      </c>
    </row>
    <row r="888" spans="1:14" x14ac:dyDescent="0.25">
      <c r="A888" s="10" t="s">
        <v>1015</v>
      </c>
      <c r="B888" s="10" t="s">
        <v>115</v>
      </c>
      <c r="C888" s="11">
        <v>45689</v>
      </c>
      <c r="D888" s="11">
        <v>45719</v>
      </c>
      <c r="E888" s="11">
        <v>45736</v>
      </c>
      <c r="F888" s="12">
        <v>56235.57</v>
      </c>
      <c r="G888" s="12">
        <v>56235.57</v>
      </c>
      <c r="H888" s="12">
        <f t="shared" si="65"/>
        <v>0</v>
      </c>
      <c r="I888" s="10">
        <f t="shared" si="66"/>
        <v>17</v>
      </c>
      <c r="J888" s="10" t="str">
        <f t="shared" ca="1" si="67"/>
        <v>Paid</v>
      </c>
      <c r="K888" s="10">
        <f t="shared" ca="1" si="68"/>
        <v>0</v>
      </c>
      <c r="L888" s="10" t="str">
        <f t="shared" si="69"/>
        <v>Paid</v>
      </c>
      <c r="M888" s="11">
        <v>45689</v>
      </c>
      <c r="N888" s="11">
        <v>45717</v>
      </c>
    </row>
    <row r="889" spans="1:14" x14ac:dyDescent="0.25">
      <c r="A889" s="13" t="s">
        <v>1016</v>
      </c>
      <c r="B889" s="13" t="s">
        <v>117</v>
      </c>
      <c r="C889" s="14">
        <v>45701</v>
      </c>
      <c r="D889" s="14">
        <v>45731</v>
      </c>
      <c r="E889" s="14">
        <v>45762</v>
      </c>
      <c r="F889" s="15">
        <v>85305.1</v>
      </c>
      <c r="G889" s="15">
        <v>85305.1</v>
      </c>
      <c r="H889" s="15">
        <f t="shared" si="65"/>
        <v>0</v>
      </c>
      <c r="I889" s="13">
        <f t="shared" si="66"/>
        <v>31</v>
      </c>
      <c r="J889" s="13" t="str">
        <f t="shared" ca="1" si="67"/>
        <v>Paid</v>
      </c>
      <c r="K889" s="13">
        <f t="shared" ca="1" si="68"/>
        <v>0</v>
      </c>
      <c r="L889" s="13" t="str">
        <f t="shared" si="69"/>
        <v>Paid</v>
      </c>
      <c r="M889" s="14">
        <v>45689</v>
      </c>
      <c r="N889" s="14">
        <v>45748</v>
      </c>
    </row>
    <row r="890" spans="1:14" x14ac:dyDescent="0.25">
      <c r="A890" s="10" t="s">
        <v>1017</v>
      </c>
      <c r="B890" s="10" t="s">
        <v>274</v>
      </c>
      <c r="C890" s="11">
        <v>45695</v>
      </c>
      <c r="D890" s="11">
        <v>45725</v>
      </c>
      <c r="E890" s="11">
        <v>45754</v>
      </c>
      <c r="F890" s="12">
        <v>33682.339999999997</v>
      </c>
      <c r="G890" s="12">
        <v>33682.339999999997</v>
      </c>
      <c r="H890" s="12">
        <f t="shared" si="65"/>
        <v>0</v>
      </c>
      <c r="I890" s="10">
        <f t="shared" si="66"/>
        <v>29</v>
      </c>
      <c r="J890" s="10" t="str">
        <f t="shared" ca="1" si="67"/>
        <v>Paid</v>
      </c>
      <c r="K890" s="10">
        <f t="shared" ca="1" si="68"/>
        <v>0</v>
      </c>
      <c r="L890" s="10" t="str">
        <f t="shared" si="69"/>
        <v>Paid</v>
      </c>
      <c r="M890" s="11">
        <v>45689</v>
      </c>
      <c r="N890" s="11">
        <v>45748</v>
      </c>
    </row>
    <row r="891" spans="1:14" x14ac:dyDescent="0.25">
      <c r="A891" s="13" t="s">
        <v>1018</v>
      </c>
      <c r="B891" s="13" t="s">
        <v>138</v>
      </c>
      <c r="C891" s="14">
        <v>45697</v>
      </c>
      <c r="D891" s="14">
        <v>45727</v>
      </c>
      <c r="E891" s="14">
        <v>45727</v>
      </c>
      <c r="F891" s="15">
        <v>17554.18</v>
      </c>
      <c r="G891" s="15">
        <v>17554.18</v>
      </c>
      <c r="H891" s="15">
        <f t="shared" si="65"/>
        <v>0</v>
      </c>
      <c r="I891" s="13">
        <f t="shared" si="66"/>
        <v>0</v>
      </c>
      <c r="J891" s="13" t="str">
        <f t="shared" ca="1" si="67"/>
        <v>Paid</v>
      </c>
      <c r="K891" s="13">
        <f t="shared" ca="1" si="68"/>
        <v>0</v>
      </c>
      <c r="L891" s="13" t="str">
        <f t="shared" si="69"/>
        <v>Paid</v>
      </c>
      <c r="M891" s="14">
        <v>45689</v>
      </c>
      <c r="N891" s="14">
        <v>45717</v>
      </c>
    </row>
    <row r="892" spans="1:14" x14ac:dyDescent="0.25">
      <c r="A892" s="10" t="s">
        <v>1019</v>
      </c>
      <c r="B892" s="10" t="s">
        <v>161</v>
      </c>
      <c r="C892" s="11">
        <v>45700</v>
      </c>
      <c r="D892" s="11">
        <v>45730</v>
      </c>
      <c r="E892" s="11">
        <v>45730</v>
      </c>
      <c r="F892" s="12">
        <v>118793.5</v>
      </c>
      <c r="G892" s="12">
        <v>118793.5</v>
      </c>
      <c r="H892" s="12">
        <f t="shared" si="65"/>
        <v>0</v>
      </c>
      <c r="I892" s="10">
        <f t="shared" si="66"/>
        <v>0</v>
      </c>
      <c r="J892" s="10" t="str">
        <f t="shared" ca="1" si="67"/>
        <v>Paid</v>
      </c>
      <c r="K892" s="10">
        <f t="shared" ca="1" si="68"/>
        <v>0</v>
      </c>
      <c r="L892" s="10" t="str">
        <f t="shared" si="69"/>
        <v>Paid</v>
      </c>
      <c r="M892" s="11">
        <v>45689</v>
      </c>
      <c r="N892" s="11">
        <v>45717</v>
      </c>
    </row>
    <row r="893" spans="1:14" x14ac:dyDescent="0.25">
      <c r="A893" s="13" t="s">
        <v>1020</v>
      </c>
      <c r="B893" s="13" t="s">
        <v>271</v>
      </c>
      <c r="C893" s="14">
        <v>45701</v>
      </c>
      <c r="D893" s="14">
        <v>45731</v>
      </c>
      <c r="E893" s="14">
        <v>45735</v>
      </c>
      <c r="F893" s="15">
        <v>83415.7</v>
      </c>
      <c r="G893" s="15">
        <v>83415.7</v>
      </c>
      <c r="H893" s="15">
        <f t="shared" si="65"/>
        <v>0</v>
      </c>
      <c r="I893" s="13">
        <f t="shared" si="66"/>
        <v>4</v>
      </c>
      <c r="J893" s="13" t="str">
        <f t="shared" ca="1" si="67"/>
        <v>Paid</v>
      </c>
      <c r="K893" s="13">
        <f t="shared" ca="1" si="68"/>
        <v>0</v>
      </c>
      <c r="L893" s="13" t="str">
        <f t="shared" si="69"/>
        <v>Paid</v>
      </c>
      <c r="M893" s="14">
        <v>45689</v>
      </c>
      <c r="N893" s="14">
        <v>45717</v>
      </c>
    </row>
    <row r="894" spans="1:14" x14ac:dyDescent="0.25">
      <c r="A894" s="10" t="s">
        <v>1021</v>
      </c>
      <c r="B894" s="10" t="s">
        <v>182</v>
      </c>
      <c r="C894" s="11">
        <v>45692</v>
      </c>
      <c r="D894" s="11">
        <v>45722</v>
      </c>
      <c r="E894" s="11">
        <v>45722</v>
      </c>
      <c r="F894" s="12">
        <v>69740.56</v>
      </c>
      <c r="G894" s="12">
        <v>69740.56</v>
      </c>
      <c r="H894" s="12">
        <f t="shared" si="65"/>
        <v>0</v>
      </c>
      <c r="I894" s="10">
        <f t="shared" si="66"/>
        <v>0</v>
      </c>
      <c r="J894" s="10" t="str">
        <f t="shared" ca="1" si="67"/>
        <v>Paid</v>
      </c>
      <c r="K894" s="10">
        <f t="shared" ca="1" si="68"/>
        <v>0</v>
      </c>
      <c r="L894" s="10" t="str">
        <f t="shared" si="69"/>
        <v>Paid</v>
      </c>
      <c r="M894" s="11">
        <v>45689</v>
      </c>
      <c r="N894" s="11">
        <v>45717</v>
      </c>
    </row>
    <row r="895" spans="1:14" x14ac:dyDescent="0.25">
      <c r="A895" s="13" t="s">
        <v>1022</v>
      </c>
      <c r="B895" s="13" t="s">
        <v>150</v>
      </c>
      <c r="C895" s="14">
        <v>45703</v>
      </c>
      <c r="D895" s="14">
        <v>45733</v>
      </c>
      <c r="E895" s="14">
        <v>45736</v>
      </c>
      <c r="F895" s="15">
        <v>53418.27</v>
      </c>
      <c r="G895" s="15">
        <v>53418.27</v>
      </c>
      <c r="H895" s="15">
        <f t="shared" si="65"/>
        <v>0</v>
      </c>
      <c r="I895" s="13">
        <f t="shared" si="66"/>
        <v>3</v>
      </c>
      <c r="J895" s="13" t="str">
        <f t="shared" ca="1" si="67"/>
        <v>Paid</v>
      </c>
      <c r="K895" s="13">
        <f t="shared" ca="1" si="68"/>
        <v>0</v>
      </c>
      <c r="L895" s="13" t="str">
        <f t="shared" si="69"/>
        <v>Paid</v>
      </c>
      <c r="M895" s="14">
        <v>45689</v>
      </c>
      <c r="N895" s="14">
        <v>45717</v>
      </c>
    </row>
    <row r="896" spans="1:14" x14ac:dyDescent="0.25">
      <c r="A896" s="10" t="s">
        <v>1023</v>
      </c>
      <c r="B896" s="10" t="s">
        <v>449</v>
      </c>
      <c r="C896" s="11">
        <v>45703</v>
      </c>
      <c r="D896" s="11">
        <v>45733</v>
      </c>
      <c r="E896" s="11"/>
      <c r="F896" s="12">
        <v>38565.629999999997</v>
      </c>
      <c r="G896" s="12">
        <v>0</v>
      </c>
      <c r="H896" s="12">
        <f t="shared" si="65"/>
        <v>38565.629999999997</v>
      </c>
      <c r="I896" s="10" t="str">
        <f t="shared" si="66"/>
        <v/>
      </c>
      <c r="J896" s="10" t="str">
        <f t="shared" ca="1" si="67"/>
        <v>Overdue</v>
      </c>
      <c r="K896" s="10">
        <f t="shared" ca="1" si="68"/>
        <v>523</v>
      </c>
      <c r="L896" s="10" t="str">
        <f t="shared" ca="1" si="69"/>
        <v>120+ Days</v>
      </c>
      <c r="M896" s="11">
        <v>45689</v>
      </c>
      <c r="N896" s="11"/>
    </row>
    <row r="897" spans="1:14" x14ac:dyDescent="0.25">
      <c r="A897" s="13" t="s">
        <v>1024</v>
      </c>
      <c r="B897" s="13" t="s">
        <v>91</v>
      </c>
      <c r="C897" s="14">
        <v>45708</v>
      </c>
      <c r="D897" s="14">
        <v>45738</v>
      </c>
      <c r="E897" s="14"/>
      <c r="F897" s="15">
        <v>62264.11</v>
      </c>
      <c r="G897" s="15">
        <v>0</v>
      </c>
      <c r="H897" s="15">
        <f t="shared" si="65"/>
        <v>62264.11</v>
      </c>
      <c r="I897" s="13" t="str">
        <f t="shared" si="66"/>
        <v/>
      </c>
      <c r="J897" s="13" t="str">
        <f t="shared" ca="1" si="67"/>
        <v>Overdue</v>
      </c>
      <c r="K897" s="13">
        <f t="shared" ca="1" si="68"/>
        <v>518</v>
      </c>
      <c r="L897" s="13" t="str">
        <f t="shared" ca="1" si="69"/>
        <v>120+ Days</v>
      </c>
      <c r="M897" s="14">
        <v>45689</v>
      </c>
      <c r="N897" s="14"/>
    </row>
    <row r="898" spans="1:14" x14ac:dyDescent="0.25">
      <c r="A898" s="10" t="s">
        <v>1025</v>
      </c>
      <c r="B898" s="10" t="s">
        <v>220</v>
      </c>
      <c r="C898" s="11">
        <v>45697</v>
      </c>
      <c r="D898" s="11">
        <v>45727</v>
      </c>
      <c r="E898" s="11">
        <v>45765</v>
      </c>
      <c r="F898" s="12">
        <v>61752.41</v>
      </c>
      <c r="G898" s="12">
        <v>61752.41</v>
      </c>
      <c r="H898" s="12">
        <f t="shared" ref="H898:H961" si="70">MAX(0,F898-G898)</f>
        <v>0</v>
      </c>
      <c r="I898" s="10">
        <f t="shared" ref="I898:I961" si="71">IF(E898="","",MAX(0,E898-D898))</f>
        <v>38</v>
      </c>
      <c r="J898" s="10" t="str">
        <f t="shared" ref="J898:J961" ca="1" si="72">IF(H898=0,"Paid",IF(D898&lt;TODAY(),"Overdue","Open"))</f>
        <v>Paid</v>
      </c>
      <c r="K898" s="10">
        <f t="shared" ref="K898:K961" ca="1" si="73">IF(H898=0,0,MAX(0,TODAY()-D898))</f>
        <v>0</v>
      </c>
      <c r="L898" s="10" t="str">
        <f t="shared" ref="L898:L961" si="74">IF(H898=0,"Paid",IF(K898&lt;=30,"0-30 Days",IF(K898&lt;=60,"31-60 Days",IF(K898&lt;=90,"61-90 Days",IF(K898&lt;=120,"91-120 Days","120+ Days")))))</f>
        <v>Paid</v>
      </c>
      <c r="M898" s="11">
        <v>45689</v>
      </c>
      <c r="N898" s="11">
        <v>45748</v>
      </c>
    </row>
    <row r="899" spans="1:14" x14ac:dyDescent="0.25">
      <c r="A899" s="13" t="s">
        <v>1026</v>
      </c>
      <c r="B899" s="13" t="s">
        <v>314</v>
      </c>
      <c r="C899" s="14">
        <v>45710</v>
      </c>
      <c r="D899" s="14">
        <v>45740</v>
      </c>
      <c r="E899" s="14"/>
      <c r="F899" s="15">
        <v>44180.59</v>
      </c>
      <c r="G899" s="15">
        <v>0</v>
      </c>
      <c r="H899" s="15">
        <f t="shared" si="70"/>
        <v>44180.59</v>
      </c>
      <c r="I899" s="13" t="str">
        <f t="shared" si="71"/>
        <v/>
      </c>
      <c r="J899" s="13" t="str">
        <f t="shared" ca="1" si="72"/>
        <v>Overdue</v>
      </c>
      <c r="K899" s="13">
        <f t="shared" ca="1" si="73"/>
        <v>516</v>
      </c>
      <c r="L899" s="13" t="str">
        <f t="shared" ca="1" si="74"/>
        <v>120+ Days</v>
      </c>
      <c r="M899" s="14">
        <v>45689</v>
      </c>
      <c r="N899" s="14"/>
    </row>
    <row r="900" spans="1:14" x14ac:dyDescent="0.25">
      <c r="A900" s="10" t="s">
        <v>1027</v>
      </c>
      <c r="B900" s="10" t="s">
        <v>99</v>
      </c>
      <c r="C900" s="11">
        <v>45715</v>
      </c>
      <c r="D900" s="11">
        <v>45745</v>
      </c>
      <c r="E900" s="11">
        <v>45747</v>
      </c>
      <c r="F900" s="12">
        <v>19598.29</v>
      </c>
      <c r="G900" s="12">
        <v>19598.29</v>
      </c>
      <c r="H900" s="12">
        <f t="shared" si="70"/>
        <v>0</v>
      </c>
      <c r="I900" s="10">
        <f t="shared" si="71"/>
        <v>2</v>
      </c>
      <c r="J900" s="10" t="str">
        <f t="shared" ca="1" si="72"/>
        <v>Paid</v>
      </c>
      <c r="K900" s="10">
        <f t="shared" ca="1" si="73"/>
        <v>0</v>
      </c>
      <c r="L900" s="10" t="str">
        <f t="shared" si="74"/>
        <v>Paid</v>
      </c>
      <c r="M900" s="11">
        <v>45689</v>
      </c>
      <c r="N900" s="11">
        <v>45717</v>
      </c>
    </row>
    <row r="901" spans="1:14" x14ac:dyDescent="0.25">
      <c r="A901" s="13" t="s">
        <v>1028</v>
      </c>
      <c r="B901" s="13" t="s">
        <v>233</v>
      </c>
      <c r="C901" s="14">
        <v>45692</v>
      </c>
      <c r="D901" s="14">
        <v>45722</v>
      </c>
      <c r="E901" s="14"/>
      <c r="F901" s="15">
        <v>43599.4</v>
      </c>
      <c r="G901" s="15">
        <v>0</v>
      </c>
      <c r="H901" s="15">
        <f t="shared" si="70"/>
        <v>43599.4</v>
      </c>
      <c r="I901" s="13" t="str">
        <f t="shared" si="71"/>
        <v/>
      </c>
      <c r="J901" s="13" t="str">
        <f t="shared" ca="1" si="72"/>
        <v>Overdue</v>
      </c>
      <c r="K901" s="13">
        <f t="shared" ca="1" si="73"/>
        <v>534</v>
      </c>
      <c r="L901" s="13" t="str">
        <f t="shared" ca="1" si="74"/>
        <v>120+ Days</v>
      </c>
      <c r="M901" s="14">
        <v>45689</v>
      </c>
      <c r="N901" s="14"/>
    </row>
    <row r="902" spans="1:14" x14ac:dyDescent="0.25">
      <c r="A902" s="10" t="s">
        <v>1029</v>
      </c>
      <c r="B902" s="10" t="s">
        <v>220</v>
      </c>
      <c r="C902" s="11">
        <v>45700</v>
      </c>
      <c r="D902" s="11">
        <v>45730</v>
      </c>
      <c r="E902" s="11">
        <v>45754</v>
      </c>
      <c r="F902" s="12">
        <v>66297.8</v>
      </c>
      <c r="G902" s="12">
        <v>66297.8</v>
      </c>
      <c r="H902" s="12">
        <f t="shared" si="70"/>
        <v>0</v>
      </c>
      <c r="I902" s="10">
        <f t="shared" si="71"/>
        <v>24</v>
      </c>
      <c r="J902" s="10" t="str">
        <f t="shared" ca="1" si="72"/>
        <v>Paid</v>
      </c>
      <c r="K902" s="10">
        <f t="shared" ca="1" si="73"/>
        <v>0</v>
      </c>
      <c r="L902" s="10" t="str">
        <f t="shared" si="74"/>
        <v>Paid</v>
      </c>
      <c r="M902" s="11">
        <v>45689</v>
      </c>
      <c r="N902" s="11">
        <v>45748</v>
      </c>
    </row>
    <row r="903" spans="1:14" x14ac:dyDescent="0.25">
      <c r="A903" s="13" t="s">
        <v>1030</v>
      </c>
      <c r="B903" s="13" t="s">
        <v>83</v>
      </c>
      <c r="C903" s="14">
        <v>45695</v>
      </c>
      <c r="D903" s="14">
        <v>45725</v>
      </c>
      <c r="E903" s="14">
        <v>45751</v>
      </c>
      <c r="F903" s="15">
        <v>52948.74</v>
      </c>
      <c r="G903" s="15">
        <v>52948.74</v>
      </c>
      <c r="H903" s="15">
        <f t="shared" si="70"/>
        <v>0</v>
      </c>
      <c r="I903" s="13">
        <f t="shared" si="71"/>
        <v>26</v>
      </c>
      <c r="J903" s="13" t="str">
        <f t="shared" ca="1" si="72"/>
        <v>Paid</v>
      </c>
      <c r="K903" s="13">
        <f t="shared" ca="1" si="73"/>
        <v>0</v>
      </c>
      <c r="L903" s="13" t="str">
        <f t="shared" si="74"/>
        <v>Paid</v>
      </c>
      <c r="M903" s="14">
        <v>45689</v>
      </c>
      <c r="N903" s="14">
        <v>45748</v>
      </c>
    </row>
    <row r="904" spans="1:14" x14ac:dyDescent="0.25">
      <c r="A904" s="10" t="s">
        <v>1031</v>
      </c>
      <c r="B904" s="10" t="s">
        <v>215</v>
      </c>
      <c r="C904" s="11">
        <v>45699</v>
      </c>
      <c r="D904" s="11">
        <v>45729</v>
      </c>
      <c r="E904" s="11">
        <v>45781</v>
      </c>
      <c r="F904" s="12">
        <v>19835.61</v>
      </c>
      <c r="G904" s="12">
        <v>19835.61</v>
      </c>
      <c r="H904" s="12">
        <f t="shared" si="70"/>
        <v>0</v>
      </c>
      <c r="I904" s="10">
        <f t="shared" si="71"/>
        <v>52</v>
      </c>
      <c r="J904" s="10" t="str">
        <f t="shared" ca="1" si="72"/>
        <v>Paid</v>
      </c>
      <c r="K904" s="10">
        <f t="shared" ca="1" si="73"/>
        <v>0</v>
      </c>
      <c r="L904" s="10" t="str">
        <f t="shared" si="74"/>
        <v>Paid</v>
      </c>
      <c r="M904" s="11">
        <v>45689</v>
      </c>
      <c r="N904" s="11">
        <v>45778</v>
      </c>
    </row>
    <row r="905" spans="1:14" x14ac:dyDescent="0.25">
      <c r="A905" s="13" t="s">
        <v>1032</v>
      </c>
      <c r="B905" s="13" t="s">
        <v>76</v>
      </c>
      <c r="C905" s="14">
        <v>45713</v>
      </c>
      <c r="D905" s="14">
        <v>45743</v>
      </c>
      <c r="E905" s="14">
        <v>45758</v>
      </c>
      <c r="F905" s="15">
        <v>34555.53</v>
      </c>
      <c r="G905" s="15">
        <v>34555.53</v>
      </c>
      <c r="H905" s="15">
        <f t="shared" si="70"/>
        <v>0</v>
      </c>
      <c r="I905" s="13">
        <f t="shared" si="71"/>
        <v>15</v>
      </c>
      <c r="J905" s="13" t="str">
        <f t="shared" ca="1" si="72"/>
        <v>Paid</v>
      </c>
      <c r="K905" s="13">
        <f t="shared" ca="1" si="73"/>
        <v>0</v>
      </c>
      <c r="L905" s="13" t="str">
        <f t="shared" si="74"/>
        <v>Paid</v>
      </c>
      <c r="M905" s="14">
        <v>45689</v>
      </c>
      <c r="N905" s="14">
        <v>45748</v>
      </c>
    </row>
    <row r="906" spans="1:14" x14ac:dyDescent="0.25">
      <c r="A906" s="10" t="s">
        <v>1033</v>
      </c>
      <c r="B906" s="10" t="s">
        <v>89</v>
      </c>
      <c r="C906" s="11">
        <v>45690</v>
      </c>
      <c r="D906" s="11">
        <v>45720</v>
      </c>
      <c r="E906" s="11">
        <v>45738</v>
      </c>
      <c r="F906" s="12">
        <v>50558.65</v>
      </c>
      <c r="G906" s="12">
        <v>50558.65</v>
      </c>
      <c r="H906" s="12">
        <f t="shared" si="70"/>
        <v>0</v>
      </c>
      <c r="I906" s="10">
        <f t="shared" si="71"/>
        <v>18</v>
      </c>
      <c r="J906" s="10" t="str">
        <f t="shared" ca="1" si="72"/>
        <v>Paid</v>
      </c>
      <c r="K906" s="10">
        <f t="shared" ca="1" si="73"/>
        <v>0</v>
      </c>
      <c r="L906" s="10" t="str">
        <f t="shared" si="74"/>
        <v>Paid</v>
      </c>
      <c r="M906" s="11">
        <v>45689</v>
      </c>
      <c r="N906" s="11">
        <v>45717</v>
      </c>
    </row>
    <row r="907" spans="1:14" x14ac:dyDescent="0.25">
      <c r="A907" s="13" t="s">
        <v>1034</v>
      </c>
      <c r="B907" s="13" t="s">
        <v>107</v>
      </c>
      <c r="C907" s="14">
        <v>45697</v>
      </c>
      <c r="D907" s="14">
        <v>45727</v>
      </c>
      <c r="E907" s="14">
        <v>45732</v>
      </c>
      <c r="F907" s="15">
        <v>68985.23</v>
      </c>
      <c r="G907" s="15">
        <v>68985.23</v>
      </c>
      <c r="H907" s="15">
        <f t="shared" si="70"/>
        <v>0</v>
      </c>
      <c r="I907" s="13">
        <f t="shared" si="71"/>
        <v>5</v>
      </c>
      <c r="J907" s="13" t="str">
        <f t="shared" ca="1" si="72"/>
        <v>Paid</v>
      </c>
      <c r="K907" s="13">
        <f t="shared" ca="1" si="73"/>
        <v>0</v>
      </c>
      <c r="L907" s="13" t="str">
        <f t="shared" si="74"/>
        <v>Paid</v>
      </c>
      <c r="M907" s="14">
        <v>45689</v>
      </c>
      <c r="N907" s="14">
        <v>45717</v>
      </c>
    </row>
    <row r="908" spans="1:14" x14ac:dyDescent="0.25">
      <c r="A908" s="10" t="s">
        <v>1035</v>
      </c>
      <c r="B908" s="10" t="s">
        <v>70</v>
      </c>
      <c r="C908" s="11">
        <v>45697</v>
      </c>
      <c r="D908" s="11">
        <v>45727</v>
      </c>
      <c r="E908" s="11">
        <v>45733</v>
      </c>
      <c r="F908" s="12">
        <v>32290.79</v>
      </c>
      <c r="G908" s="12">
        <v>32290.79</v>
      </c>
      <c r="H908" s="12">
        <f t="shared" si="70"/>
        <v>0</v>
      </c>
      <c r="I908" s="10">
        <f t="shared" si="71"/>
        <v>6</v>
      </c>
      <c r="J908" s="10" t="str">
        <f t="shared" ca="1" si="72"/>
        <v>Paid</v>
      </c>
      <c r="K908" s="10">
        <f t="shared" ca="1" si="73"/>
        <v>0</v>
      </c>
      <c r="L908" s="10" t="str">
        <f t="shared" si="74"/>
        <v>Paid</v>
      </c>
      <c r="M908" s="11">
        <v>45689</v>
      </c>
      <c r="N908" s="11">
        <v>45717</v>
      </c>
    </row>
    <row r="909" spans="1:14" x14ac:dyDescent="0.25">
      <c r="A909" s="13" t="s">
        <v>1036</v>
      </c>
      <c r="B909" s="13" t="s">
        <v>111</v>
      </c>
      <c r="C909" s="14">
        <v>45714</v>
      </c>
      <c r="D909" s="14">
        <v>45744</v>
      </c>
      <c r="E909" s="14">
        <v>45744</v>
      </c>
      <c r="F909" s="15">
        <v>38442.47</v>
      </c>
      <c r="G909" s="15">
        <v>38442.47</v>
      </c>
      <c r="H909" s="15">
        <f t="shared" si="70"/>
        <v>0</v>
      </c>
      <c r="I909" s="13">
        <f t="shared" si="71"/>
        <v>0</v>
      </c>
      <c r="J909" s="13" t="str">
        <f t="shared" ca="1" si="72"/>
        <v>Paid</v>
      </c>
      <c r="K909" s="13">
        <f t="shared" ca="1" si="73"/>
        <v>0</v>
      </c>
      <c r="L909" s="13" t="str">
        <f t="shared" si="74"/>
        <v>Paid</v>
      </c>
      <c r="M909" s="14">
        <v>45689</v>
      </c>
      <c r="N909" s="14">
        <v>45717</v>
      </c>
    </row>
    <row r="910" spans="1:14" x14ac:dyDescent="0.25">
      <c r="A910" s="10" t="s">
        <v>1037</v>
      </c>
      <c r="B910" s="10" t="s">
        <v>184</v>
      </c>
      <c r="C910" s="11">
        <v>45709</v>
      </c>
      <c r="D910" s="11">
        <v>45739</v>
      </c>
      <c r="E910" s="11">
        <v>45753</v>
      </c>
      <c r="F910" s="12">
        <v>32152.73</v>
      </c>
      <c r="G910" s="12">
        <v>32152.73</v>
      </c>
      <c r="H910" s="12">
        <f t="shared" si="70"/>
        <v>0</v>
      </c>
      <c r="I910" s="10">
        <f t="shared" si="71"/>
        <v>14</v>
      </c>
      <c r="J910" s="10" t="str">
        <f t="shared" ca="1" si="72"/>
        <v>Paid</v>
      </c>
      <c r="K910" s="10">
        <f t="shared" ca="1" si="73"/>
        <v>0</v>
      </c>
      <c r="L910" s="10" t="str">
        <f t="shared" si="74"/>
        <v>Paid</v>
      </c>
      <c r="M910" s="11">
        <v>45689</v>
      </c>
      <c r="N910" s="11">
        <v>45748</v>
      </c>
    </row>
    <row r="911" spans="1:14" x14ac:dyDescent="0.25">
      <c r="A911" s="13" t="s">
        <v>1038</v>
      </c>
      <c r="B911" s="13" t="s">
        <v>127</v>
      </c>
      <c r="C911" s="14">
        <v>45689</v>
      </c>
      <c r="D911" s="14">
        <v>45719</v>
      </c>
      <c r="E911" s="14">
        <v>45719</v>
      </c>
      <c r="F911" s="15">
        <v>90446.48</v>
      </c>
      <c r="G911" s="15">
        <v>90446.48</v>
      </c>
      <c r="H911" s="15">
        <f t="shared" si="70"/>
        <v>0</v>
      </c>
      <c r="I911" s="13">
        <f t="shared" si="71"/>
        <v>0</v>
      </c>
      <c r="J911" s="13" t="str">
        <f t="shared" ca="1" si="72"/>
        <v>Paid</v>
      </c>
      <c r="K911" s="13">
        <f t="shared" ca="1" si="73"/>
        <v>0</v>
      </c>
      <c r="L911" s="13" t="str">
        <f t="shared" si="74"/>
        <v>Paid</v>
      </c>
      <c r="M911" s="14">
        <v>45689</v>
      </c>
      <c r="N911" s="14">
        <v>45717</v>
      </c>
    </row>
    <row r="912" spans="1:14" x14ac:dyDescent="0.25">
      <c r="A912" s="10" t="s">
        <v>1039</v>
      </c>
      <c r="B912" s="10" t="s">
        <v>265</v>
      </c>
      <c r="C912" s="11">
        <v>45702</v>
      </c>
      <c r="D912" s="11">
        <v>45732</v>
      </c>
      <c r="E912" s="11">
        <v>45736</v>
      </c>
      <c r="F912" s="12">
        <v>35893.440000000002</v>
      </c>
      <c r="G912" s="12">
        <v>35893.440000000002</v>
      </c>
      <c r="H912" s="12">
        <f t="shared" si="70"/>
        <v>0</v>
      </c>
      <c r="I912" s="10">
        <f t="shared" si="71"/>
        <v>4</v>
      </c>
      <c r="J912" s="10" t="str">
        <f t="shared" ca="1" si="72"/>
        <v>Paid</v>
      </c>
      <c r="K912" s="10">
        <f t="shared" ca="1" si="73"/>
        <v>0</v>
      </c>
      <c r="L912" s="10" t="str">
        <f t="shared" si="74"/>
        <v>Paid</v>
      </c>
      <c r="M912" s="11">
        <v>45689</v>
      </c>
      <c r="N912" s="11">
        <v>45717</v>
      </c>
    </row>
    <row r="913" spans="1:14" x14ac:dyDescent="0.25">
      <c r="A913" s="13" t="s">
        <v>1040</v>
      </c>
      <c r="B913" s="13" t="s">
        <v>159</v>
      </c>
      <c r="C913" s="14">
        <v>45705</v>
      </c>
      <c r="D913" s="14">
        <v>45735</v>
      </c>
      <c r="E913" s="14">
        <v>45807</v>
      </c>
      <c r="F913" s="15">
        <v>78342.83</v>
      </c>
      <c r="G913" s="15">
        <v>78342.83</v>
      </c>
      <c r="H913" s="15">
        <f t="shared" si="70"/>
        <v>0</v>
      </c>
      <c r="I913" s="13">
        <f t="shared" si="71"/>
        <v>72</v>
      </c>
      <c r="J913" s="13" t="str">
        <f t="shared" ca="1" si="72"/>
        <v>Paid</v>
      </c>
      <c r="K913" s="13">
        <f t="shared" ca="1" si="73"/>
        <v>0</v>
      </c>
      <c r="L913" s="13" t="str">
        <f t="shared" si="74"/>
        <v>Paid</v>
      </c>
      <c r="M913" s="14">
        <v>45689</v>
      </c>
      <c r="N913" s="14">
        <v>45778</v>
      </c>
    </row>
    <row r="914" spans="1:14" x14ac:dyDescent="0.25">
      <c r="A914" s="10" t="s">
        <v>1041</v>
      </c>
      <c r="B914" s="10" t="s">
        <v>119</v>
      </c>
      <c r="C914" s="11">
        <v>45696</v>
      </c>
      <c r="D914" s="11">
        <v>45726</v>
      </c>
      <c r="E914" s="11">
        <v>45745</v>
      </c>
      <c r="F914" s="12">
        <v>63935.98</v>
      </c>
      <c r="G914" s="12">
        <v>63935.98</v>
      </c>
      <c r="H914" s="12">
        <f t="shared" si="70"/>
        <v>0</v>
      </c>
      <c r="I914" s="10">
        <f t="shared" si="71"/>
        <v>19</v>
      </c>
      <c r="J914" s="10" t="str">
        <f t="shared" ca="1" si="72"/>
        <v>Paid</v>
      </c>
      <c r="K914" s="10">
        <f t="shared" ca="1" si="73"/>
        <v>0</v>
      </c>
      <c r="L914" s="10" t="str">
        <f t="shared" si="74"/>
        <v>Paid</v>
      </c>
      <c r="M914" s="11">
        <v>45689</v>
      </c>
      <c r="N914" s="11">
        <v>45717</v>
      </c>
    </row>
    <row r="915" spans="1:14" x14ac:dyDescent="0.25">
      <c r="A915" s="13" t="s">
        <v>1042</v>
      </c>
      <c r="B915" s="13" t="s">
        <v>244</v>
      </c>
      <c r="C915" s="14">
        <v>45715</v>
      </c>
      <c r="D915" s="14">
        <v>45745</v>
      </c>
      <c r="E915" s="14"/>
      <c r="F915" s="15">
        <v>24396.78</v>
      </c>
      <c r="G915" s="15">
        <v>0</v>
      </c>
      <c r="H915" s="15">
        <f t="shared" si="70"/>
        <v>24396.78</v>
      </c>
      <c r="I915" s="13" t="str">
        <f t="shared" si="71"/>
        <v/>
      </c>
      <c r="J915" s="13" t="str">
        <f t="shared" ca="1" si="72"/>
        <v>Overdue</v>
      </c>
      <c r="K915" s="13">
        <f t="shared" ca="1" si="73"/>
        <v>511</v>
      </c>
      <c r="L915" s="13" t="str">
        <f t="shared" ca="1" si="74"/>
        <v>120+ Days</v>
      </c>
      <c r="M915" s="14">
        <v>45689</v>
      </c>
      <c r="N915" s="14"/>
    </row>
    <row r="916" spans="1:14" x14ac:dyDescent="0.25">
      <c r="A916" s="10" t="s">
        <v>1043</v>
      </c>
      <c r="B916" s="10" t="s">
        <v>180</v>
      </c>
      <c r="C916" s="11">
        <v>45698</v>
      </c>
      <c r="D916" s="11">
        <v>45728</v>
      </c>
      <c r="E916" s="11">
        <v>45752</v>
      </c>
      <c r="F916" s="12">
        <v>35076.32</v>
      </c>
      <c r="G916" s="12">
        <v>35076.32</v>
      </c>
      <c r="H916" s="12">
        <f t="shared" si="70"/>
        <v>0</v>
      </c>
      <c r="I916" s="10">
        <f t="shared" si="71"/>
        <v>24</v>
      </c>
      <c r="J916" s="10" t="str">
        <f t="shared" ca="1" si="72"/>
        <v>Paid</v>
      </c>
      <c r="K916" s="10">
        <f t="shared" ca="1" si="73"/>
        <v>0</v>
      </c>
      <c r="L916" s="10" t="str">
        <f t="shared" si="74"/>
        <v>Paid</v>
      </c>
      <c r="M916" s="11">
        <v>45689</v>
      </c>
      <c r="N916" s="11">
        <v>45748</v>
      </c>
    </row>
    <row r="917" spans="1:14" x14ac:dyDescent="0.25">
      <c r="A917" s="13" t="s">
        <v>1044</v>
      </c>
      <c r="B917" s="13" t="s">
        <v>113</v>
      </c>
      <c r="C917" s="14">
        <v>45704</v>
      </c>
      <c r="D917" s="14">
        <v>45734</v>
      </c>
      <c r="E917" s="14">
        <v>45756</v>
      </c>
      <c r="F917" s="15">
        <v>26715.98</v>
      </c>
      <c r="G917" s="15">
        <v>26715.98</v>
      </c>
      <c r="H917" s="15">
        <f t="shared" si="70"/>
        <v>0</v>
      </c>
      <c r="I917" s="13">
        <f t="shared" si="71"/>
        <v>22</v>
      </c>
      <c r="J917" s="13" t="str">
        <f t="shared" ca="1" si="72"/>
        <v>Paid</v>
      </c>
      <c r="K917" s="13">
        <f t="shared" ca="1" si="73"/>
        <v>0</v>
      </c>
      <c r="L917" s="13" t="str">
        <f t="shared" si="74"/>
        <v>Paid</v>
      </c>
      <c r="M917" s="14">
        <v>45689</v>
      </c>
      <c r="N917" s="14">
        <v>45748</v>
      </c>
    </row>
    <row r="918" spans="1:14" x14ac:dyDescent="0.25">
      <c r="A918" s="10" t="s">
        <v>1045</v>
      </c>
      <c r="B918" s="10" t="s">
        <v>153</v>
      </c>
      <c r="C918" s="11">
        <v>45702</v>
      </c>
      <c r="D918" s="11">
        <v>45732</v>
      </c>
      <c r="E918" s="11">
        <v>45742</v>
      </c>
      <c r="F918" s="12">
        <v>52189.91</v>
      </c>
      <c r="G918" s="12">
        <v>52189.91</v>
      </c>
      <c r="H918" s="12">
        <f t="shared" si="70"/>
        <v>0</v>
      </c>
      <c r="I918" s="10">
        <f t="shared" si="71"/>
        <v>10</v>
      </c>
      <c r="J918" s="10" t="str">
        <f t="shared" ca="1" si="72"/>
        <v>Paid</v>
      </c>
      <c r="K918" s="10">
        <f t="shared" ca="1" si="73"/>
        <v>0</v>
      </c>
      <c r="L918" s="10" t="str">
        <f t="shared" si="74"/>
        <v>Paid</v>
      </c>
      <c r="M918" s="11">
        <v>45689</v>
      </c>
      <c r="N918" s="11">
        <v>45717</v>
      </c>
    </row>
    <row r="919" spans="1:14" x14ac:dyDescent="0.25">
      <c r="A919" s="13" t="s">
        <v>1046</v>
      </c>
      <c r="B919" s="13" t="s">
        <v>314</v>
      </c>
      <c r="C919" s="14">
        <v>45705</v>
      </c>
      <c r="D919" s="14">
        <v>45735</v>
      </c>
      <c r="E919" s="14">
        <v>45776</v>
      </c>
      <c r="F919" s="15">
        <v>67413.14</v>
      </c>
      <c r="G919" s="15">
        <v>67413.14</v>
      </c>
      <c r="H919" s="15">
        <f t="shared" si="70"/>
        <v>0</v>
      </c>
      <c r="I919" s="13">
        <f t="shared" si="71"/>
        <v>41</v>
      </c>
      <c r="J919" s="13" t="str">
        <f t="shared" ca="1" si="72"/>
        <v>Paid</v>
      </c>
      <c r="K919" s="13">
        <f t="shared" ca="1" si="73"/>
        <v>0</v>
      </c>
      <c r="L919" s="13" t="str">
        <f t="shared" si="74"/>
        <v>Paid</v>
      </c>
      <c r="M919" s="14">
        <v>45689</v>
      </c>
      <c r="N919" s="14">
        <v>45748</v>
      </c>
    </row>
    <row r="920" spans="1:14" x14ac:dyDescent="0.25">
      <c r="A920" s="10" t="s">
        <v>1047</v>
      </c>
      <c r="B920" s="10" t="s">
        <v>171</v>
      </c>
      <c r="C920" s="11">
        <v>45702</v>
      </c>
      <c r="D920" s="11">
        <v>45732</v>
      </c>
      <c r="E920" s="11">
        <v>45747</v>
      </c>
      <c r="F920" s="12">
        <v>33984.14</v>
      </c>
      <c r="G920" s="12">
        <v>33984.14</v>
      </c>
      <c r="H920" s="12">
        <f t="shared" si="70"/>
        <v>0</v>
      </c>
      <c r="I920" s="10">
        <f t="shared" si="71"/>
        <v>15</v>
      </c>
      <c r="J920" s="10" t="str">
        <f t="shared" ca="1" si="72"/>
        <v>Paid</v>
      </c>
      <c r="K920" s="10">
        <f t="shared" ca="1" si="73"/>
        <v>0</v>
      </c>
      <c r="L920" s="10" t="str">
        <f t="shared" si="74"/>
        <v>Paid</v>
      </c>
      <c r="M920" s="11">
        <v>45689</v>
      </c>
      <c r="N920" s="11">
        <v>45717</v>
      </c>
    </row>
    <row r="921" spans="1:14" x14ac:dyDescent="0.25">
      <c r="A921" s="13" t="s">
        <v>1048</v>
      </c>
      <c r="B921" s="13" t="s">
        <v>220</v>
      </c>
      <c r="C921" s="14">
        <v>45703</v>
      </c>
      <c r="D921" s="14">
        <v>45733</v>
      </c>
      <c r="E921" s="14">
        <v>45762</v>
      </c>
      <c r="F921" s="15">
        <v>24233.98</v>
      </c>
      <c r="G921" s="15">
        <v>24233.98</v>
      </c>
      <c r="H921" s="15">
        <f t="shared" si="70"/>
        <v>0</v>
      </c>
      <c r="I921" s="13">
        <f t="shared" si="71"/>
        <v>29</v>
      </c>
      <c r="J921" s="13" t="str">
        <f t="shared" ca="1" si="72"/>
        <v>Paid</v>
      </c>
      <c r="K921" s="13">
        <f t="shared" ca="1" si="73"/>
        <v>0</v>
      </c>
      <c r="L921" s="13" t="str">
        <f t="shared" si="74"/>
        <v>Paid</v>
      </c>
      <c r="M921" s="14">
        <v>45689</v>
      </c>
      <c r="N921" s="14">
        <v>45748</v>
      </c>
    </row>
    <row r="922" spans="1:14" x14ac:dyDescent="0.25">
      <c r="A922" s="10" t="s">
        <v>1049</v>
      </c>
      <c r="B922" s="10" t="s">
        <v>79</v>
      </c>
      <c r="C922" s="11">
        <v>45696</v>
      </c>
      <c r="D922" s="11">
        <v>45726</v>
      </c>
      <c r="E922" s="11">
        <v>45779</v>
      </c>
      <c r="F922" s="12">
        <v>34772.04</v>
      </c>
      <c r="G922" s="12">
        <v>34772.04</v>
      </c>
      <c r="H922" s="12">
        <f t="shared" si="70"/>
        <v>0</v>
      </c>
      <c r="I922" s="10">
        <f t="shared" si="71"/>
        <v>53</v>
      </c>
      <c r="J922" s="10" t="str">
        <f t="shared" ca="1" si="72"/>
        <v>Paid</v>
      </c>
      <c r="K922" s="10">
        <f t="shared" ca="1" si="73"/>
        <v>0</v>
      </c>
      <c r="L922" s="10" t="str">
        <f t="shared" si="74"/>
        <v>Paid</v>
      </c>
      <c r="M922" s="11">
        <v>45689</v>
      </c>
      <c r="N922" s="11">
        <v>45778</v>
      </c>
    </row>
    <row r="923" spans="1:14" x14ac:dyDescent="0.25">
      <c r="A923" s="13" t="s">
        <v>1050</v>
      </c>
      <c r="B923" s="13" t="s">
        <v>117</v>
      </c>
      <c r="C923" s="14">
        <v>45698</v>
      </c>
      <c r="D923" s="14">
        <v>45728</v>
      </c>
      <c r="E923" s="14">
        <v>45763</v>
      </c>
      <c r="F923" s="15">
        <v>56644.02</v>
      </c>
      <c r="G923" s="15">
        <v>56644.02</v>
      </c>
      <c r="H923" s="15">
        <f t="shared" si="70"/>
        <v>0</v>
      </c>
      <c r="I923" s="13">
        <f t="shared" si="71"/>
        <v>35</v>
      </c>
      <c r="J923" s="13" t="str">
        <f t="shared" ca="1" si="72"/>
        <v>Paid</v>
      </c>
      <c r="K923" s="13">
        <f t="shared" ca="1" si="73"/>
        <v>0</v>
      </c>
      <c r="L923" s="13" t="str">
        <f t="shared" si="74"/>
        <v>Paid</v>
      </c>
      <c r="M923" s="14">
        <v>45689</v>
      </c>
      <c r="N923" s="14">
        <v>45748</v>
      </c>
    </row>
    <row r="924" spans="1:14" x14ac:dyDescent="0.25">
      <c r="A924" s="10" t="s">
        <v>1051</v>
      </c>
      <c r="B924" s="10" t="s">
        <v>278</v>
      </c>
      <c r="C924" s="11">
        <v>45703</v>
      </c>
      <c r="D924" s="11">
        <v>45733</v>
      </c>
      <c r="E924" s="11">
        <v>45803</v>
      </c>
      <c r="F924" s="12">
        <v>56905.05</v>
      </c>
      <c r="G924" s="12">
        <v>56905.05</v>
      </c>
      <c r="H924" s="12">
        <f t="shared" si="70"/>
        <v>0</v>
      </c>
      <c r="I924" s="10">
        <f t="shared" si="71"/>
        <v>70</v>
      </c>
      <c r="J924" s="10" t="str">
        <f t="shared" ca="1" si="72"/>
        <v>Paid</v>
      </c>
      <c r="K924" s="10">
        <f t="shared" ca="1" si="73"/>
        <v>0</v>
      </c>
      <c r="L924" s="10" t="str">
        <f t="shared" si="74"/>
        <v>Paid</v>
      </c>
      <c r="M924" s="11">
        <v>45689</v>
      </c>
      <c r="N924" s="11">
        <v>45778</v>
      </c>
    </row>
    <row r="925" spans="1:14" x14ac:dyDescent="0.25">
      <c r="A925" s="13" t="s">
        <v>1052</v>
      </c>
      <c r="B925" s="13" t="s">
        <v>81</v>
      </c>
      <c r="C925" s="14">
        <v>45694</v>
      </c>
      <c r="D925" s="14">
        <v>45724</v>
      </c>
      <c r="E925" s="14">
        <v>45724</v>
      </c>
      <c r="F925" s="15">
        <v>36686.83</v>
      </c>
      <c r="G925" s="15">
        <v>36686.83</v>
      </c>
      <c r="H925" s="15">
        <f t="shared" si="70"/>
        <v>0</v>
      </c>
      <c r="I925" s="13">
        <f t="shared" si="71"/>
        <v>0</v>
      </c>
      <c r="J925" s="13" t="str">
        <f t="shared" ca="1" si="72"/>
        <v>Paid</v>
      </c>
      <c r="K925" s="13">
        <f t="shared" ca="1" si="73"/>
        <v>0</v>
      </c>
      <c r="L925" s="13" t="str">
        <f t="shared" si="74"/>
        <v>Paid</v>
      </c>
      <c r="M925" s="14">
        <v>45689</v>
      </c>
      <c r="N925" s="14">
        <v>45717</v>
      </c>
    </row>
    <row r="926" spans="1:14" x14ac:dyDescent="0.25">
      <c r="A926" s="10" t="s">
        <v>1053</v>
      </c>
      <c r="B926" s="10" t="s">
        <v>265</v>
      </c>
      <c r="C926" s="11">
        <v>45713</v>
      </c>
      <c r="D926" s="11">
        <v>45743</v>
      </c>
      <c r="E926" s="11">
        <v>45743</v>
      </c>
      <c r="F926" s="12">
        <v>42290.98</v>
      </c>
      <c r="G926" s="12">
        <v>42290.98</v>
      </c>
      <c r="H926" s="12">
        <f t="shared" si="70"/>
        <v>0</v>
      </c>
      <c r="I926" s="10">
        <f t="shared" si="71"/>
        <v>0</v>
      </c>
      <c r="J926" s="10" t="str">
        <f t="shared" ca="1" si="72"/>
        <v>Paid</v>
      </c>
      <c r="K926" s="10">
        <f t="shared" ca="1" si="73"/>
        <v>0</v>
      </c>
      <c r="L926" s="10" t="str">
        <f t="shared" si="74"/>
        <v>Paid</v>
      </c>
      <c r="M926" s="11">
        <v>45689</v>
      </c>
      <c r="N926" s="11">
        <v>45717</v>
      </c>
    </row>
    <row r="927" spans="1:14" x14ac:dyDescent="0.25">
      <c r="A927" s="13" t="s">
        <v>1054</v>
      </c>
      <c r="B927" s="13" t="s">
        <v>271</v>
      </c>
      <c r="C927" s="14">
        <v>45713</v>
      </c>
      <c r="D927" s="14">
        <v>45743</v>
      </c>
      <c r="E927" s="14">
        <v>45772</v>
      </c>
      <c r="F927" s="15">
        <v>54434.81</v>
      </c>
      <c r="G927" s="15">
        <v>54434.81</v>
      </c>
      <c r="H927" s="15">
        <f t="shared" si="70"/>
        <v>0</v>
      </c>
      <c r="I927" s="13">
        <f t="shared" si="71"/>
        <v>29</v>
      </c>
      <c r="J927" s="13" t="str">
        <f t="shared" ca="1" si="72"/>
        <v>Paid</v>
      </c>
      <c r="K927" s="13">
        <f t="shared" ca="1" si="73"/>
        <v>0</v>
      </c>
      <c r="L927" s="13" t="str">
        <f t="shared" si="74"/>
        <v>Paid</v>
      </c>
      <c r="M927" s="14">
        <v>45689</v>
      </c>
      <c r="N927" s="14">
        <v>45748</v>
      </c>
    </row>
    <row r="928" spans="1:14" x14ac:dyDescent="0.25">
      <c r="A928" s="10" t="s">
        <v>1055</v>
      </c>
      <c r="B928" s="10" t="s">
        <v>81</v>
      </c>
      <c r="C928" s="11">
        <v>45715</v>
      </c>
      <c r="D928" s="11">
        <v>45745</v>
      </c>
      <c r="E928" s="11">
        <v>45757</v>
      </c>
      <c r="F928" s="12">
        <v>45249.7</v>
      </c>
      <c r="G928" s="12">
        <v>45249.7</v>
      </c>
      <c r="H928" s="12">
        <f t="shared" si="70"/>
        <v>0</v>
      </c>
      <c r="I928" s="10">
        <f t="shared" si="71"/>
        <v>12</v>
      </c>
      <c r="J928" s="10" t="str">
        <f t="shared" ca="1" si="72"/>
        <v>Paid</v>
      </c>
      <c r="K928" s="10">
        <f t="shared" ca="1" si="73"/>
        <v>0</v>
      </c>
      <c r="L928" s="10" t="str">
        <f t="shared" si="74"/>
        <v>Paid</v>
      </c>
      <c r="M928" s="11">
        <v>45689</v>
      </c>
      <c r="N928" s="11">
        <v>45748</v>
      </c>
    </row>
    <row r="929" spans="1:14" x14ac:dyDescent="0.25">
      <c r="A929" s="13" t="s">
        <v>1056</v>
      </c>
      <c r="B929" s="13" t="s">
        <v>463</v>
      </c>
      <c r="C929" s="14">
        <v>45699</v>
      </c>
      <c r="D929" s="14">
        <v>45729</v>
      </c>
      <c r="E929" s="14">
        <v>45729</v>
      </c>
      <c r="F929" s="15">
        <v>42691.87</v>
      </c>
      <c r="G929" s="15">
        <v>42691.87</v>
      </c>
      <c r="H929" s="15">
        <f t="shared" si="70"/>
        <v>0</v>
      </c>
      <c r="I929" s="13">
        <f t="shared" si="71"/>
        <v>0</v>
      </c>
      <c r="J929" s="13" t="str">
        <f t="shared" ca="1" si="72"/>
        <v>Paid</v>
      </c>
      <c r="K929" s="13">
        <f t="shared" ca="1" si="73"/>
        <v>0</v>
      </c>
      <c r="L929" s="13" t="str">
        <f t="shared" si="74"/>
        <v>Paid</v>
      </c>
      <c r="M929" s="14">
        <v>45689</v>
      </c>
      <c r="N929" s="14">
        <v>45717</v>
      </c>
    </row>
    <row r="930" spans="1:14" x14ac:dyDescent="0.25">
      <c r="A930" s="10" t="s">
        <v>1057</v>
      </c>
      <c r="B930" s="10" t="s">
        <v>113</v>
      </c>
      <c r="C930" s="11">
        <v>45710</v>
      </c>
      <c r="D930" s="11">
        <v>45740</v>
      </c>
      <c r="E930" s="11">
        <v>45753</v>
      </c>
      <c r="F930" s="12">
        <v>80099.73</v>
      </c>
      <c r="G930" s="12">
        <v>80099.73</v>
      </c>
      <c r="H930" s="12">
        <f t="shared" si="70"/>
        <v>0</v>
      </c>
      <c r="I930" s="10">
        <f t="shared" si="71"/>
        <v>13</v>
      </c>
      <c r="J930" s="10" t="str">
        <f t="shared" ca="1" si="72"/>
        <v>Paid</v>
      </c>
      <c r="K930" s="10">
        <f t="shared" ca="1" si="73"/>
        <v>0</v>
      </c>
      <c r="L930" s="10" t="str">
        <f t="shared" si="74"/>
        <v>Paid</v>
      </c>
      <c r="M930" s="11">
        <v>45689</v>
      </c>
      <c r="N930" s="11">
        <v>45748</v>
      </c>
    </row>
    <row r="931" spans="1:14" x14ac:dyDescent="0.25">
      <c r="A931" s="13" t="s">
        <v>1058</v>
      </c>
      <c r="B931" s="13" t="s">
        <v>278</v>
      </c>
      <c r="C931" s="14">
        <v>45712</v>
      </c>
      <c r="D931" s="14">
        <v>45742</v>
      </c>
      <c r="E931" s="14"/>
      <c r="F931" s="15">
        <v>31035.06</v>
      </c>
      <c r="G931" s="15">
        <v>0</v>
      </c>
      <c r="H931" s="15">
        <f t="shared" si="70"/>
        <v>31035.06</v>
      </c>
      <c r="I931" s="13" t="str">
        <f t="shared" si="71"/>
        <v/>
      </c>
      <c r="J931" s="13" t="str">
        <f t="shared" ca="1" si="72"/>
        <v>Overdue</v>
      </c>
      <c r="K931" s="13">
        <f t="shared" ca="1" si="73"/>
        <v>514</v>
      </c>
      <c r="L931" s="13" t="str">
        <f t="shared" ca="1" si="74"/>
        <v>120+ Days</v>
      </c>
      <c r="M931" s="14">
        <v>45689</v>
      </c>
      <c r="N931" s="14"/>
    </row>
    <row r="932" spans="1:14" x14ac:dyDescent="0.25">
      <c r="A932" s="10" t="s">
        <v>1059</v>
      </c>
      <c r="B932" s="10" t="s">
        <v>184</v>
      </c>
      <c r="C932" s="11">
        <v>45689</v>
      </c>
      <c r="D932" s="11">
        <v>45719</v>
      </c>
      <c r="E932" s="11">
        <v>45767</v>
      </c>
      <c r="F932" s="12">
        <v>27885.87</v>
      </c>
      <c r="G932" s="12">
        <v>27885.87</v>
      </c>
      <c r="H932" s="12">
        <f t="shared" si="70"/>
        <v>0</v>
      </c>
      <c r="I932" s="10">
        <f t="shared" si="71"/>
        <v>48</v>
      </c>
      <c r="J932" s="10" t="str">
        <f t="shared" ca="1" si="72"/>
        <v>Paid</v>
      </c>
      <c r="K932" s="10">
        <f t="shared" ca="1" si="73"/>
        <v>0</v>
      </c>
      <c r="L932" s="10" t="str">
        <f t="shared" si="74"/>
        <v>Paid</v>
      </c>
      <c r="M932" s="11">
        <v>45689</v>
      </c>
      <c r="N932" s="11">
        <v>45748</v>
      </c>
    </row>
    <row r="933" spans="1:14" x14ac:dyDescent="0.25">
      <c r="A933" s="13" t="s">
        <v>1060</v>
      </c>
      <c r="B933" s="13" t="s">
        <v>119</v>
      </c>
      <c r="C933" s="14">
        <v>45693</v>
      </c>
      <c r="D933" s="14">
        <v>45723</v>
      </c>
      <c r="E933" s="14">
        <v>45723</v>
      </c>
      <c r="F933" s="15">
        <v>65025.52</v>
      </c>
      <c r="G933" s="15">
        <v>65025.52</v>
      </c>
      <c r="H933" s="15">
        <f t="shared" si="70"/>
        <v>0</v>
      </c>
      <c r="I933" s="13">
        <f t="shared" si="71"/>
        <v>0</v>
      </c>
      <c r="J933" s="13" t="str">
        <f t="shared" ca="1" si="72"/>
        <v>Paid</v>
      </c>
      <c r="K933" s="13">
        <f t="shared" ca="1" si="73"/>
        <v>0</v>
      </c>
      <c r="L933" s="13" t="str">
        <f t="shared" si="74"/>
        <v>Paid</v>
      </c>
      <c r="M933" s="14">
        <v>45689</v>
      </c>
      <c r="N933" s="14">
        <v>45717</v>
      </c>
    </row>
    <row r="934" spans="1:14" x14ac:dyDescent="0.25">
      <c r="A934" s="10" t="s">
        <v>1061</v>
      </c>
      <c r="B934" s="10" t="s">
        <v>74</v>
      </c>
      <c r="C934" s="11">
        <v>45705</v>
      </c>
      <c r="D934" s="11">
        <v>45735</v>
      </c>
      <c r="E934" s="11">
        <v>45735</v>
      </c>
      <c r="F934" s="12">
        <v>39678.89</v>
      </c>
      <c r="G934" s="12">
        <v>39678.89</v>
      </c>
      <c r="H934" s="12">
        <f t="shared" si="70"/>
        <v>0</v>
      </c>
      <c r="I934" s="10">
        <f t="shared" si="71"/>
        <v>0</v>
      </c>
      <c r="J934" s="10" t="str">
        <f t="shared" ca="1" si="72"/>
        <v>Paid</v>
      </c>
      <c r="K934" s="10">
        <f t="shared" ca="1" si="73"/>
        <v>0</v>
      </c>
      <c r="L934" s="10" t="str">
        <f t="shared" si="74"/>
        <v>Paid</v>
      </c>
      <c r="M934" s="11">
        <v>45689</v>
      </c>
      <c r="N934" s="11">
        <v>45717</v>
      </c>
    </row>
    <row r="935" spans="1:14" x14ac:dyDescent="0.25">
      <c r="A935" s="13" t="s">
        <v>1062</v>
      </c>
      <c r="B935" s="13" t="s">
        <v>463</v>
      </c>
      <c r="C935" s="14">
        <v>45705</v>
      </c>
      <c r="D935" s="14">
        <v>45735</v>
      </c>
      <c r="E935" s="14">
        <v>45741</v>
      </c>
      <c r="F935" s="15">
        <v>85600.38</v>
      </c>
      <c r="G935" s="15">
        <v>85600.38</v>
      </c>
      <c r="H935" s="15">
        <f t="shared" si="70"/>
        <v>0</v>
      </c>
      <c r="I935" s="13">
        <f t="shared" si="71"/>
        <v>6</v>
      </c>
      <c r="J935" s="13" t="str">
        <f t="shared" ca="1" si="72"/>
        <v>Paid</v>
      </c>
      <c r="K935" s="13">
        <f t="shared" ca="1" si="73"/>
        <v>0</v>
      </c>
      <c r="L935" s="13" t="str">
        <f t="shared" si="74"/>
        <v>Paid</v>
      </c>
      <c r="M935" s="14">
        <v>45689</v>
      </c>
      <c r="N935" s="14">
        <v>45717</v>
      </c>
    </row>
    <row r="936" spans="1:14" x14ac:dyDescent="0.25">
      <c r="A936" s="10" t="s">
        <v>1063</v>
      </c>
      <c r="B936" s="10" t="s">
        <v>171</v>
      </c>
      <c r="C936" s="11">
        <v>45715</v>
      </c>
      <c r="D936" s="11">
        <v>45745</v>
      </c>
      <c r="E936" s="11">
        <v>45745</v>
      </c>
      <c r="F936" s="12">
        <v>25058.73</v>
      </c>
      <c r="G936" s="12">
        <v>25058.73</v>
      </c>
      <c r="H936" s="12">
        <f t="shared" si="70"/>
        <v>0</v>
      </c>
      <c r="I936" s="10">
        <f t="shared" si="71"/>
        <v>0</v>
      </c>
      <c r="J936" s="10" t="str">
        <f t="shared" ca="1" si="72"/>
        <v>Paid</v>
      </c>
      <c r="K936" s="10">
        <f t="shared" ca="1" si="73"/>
        <v>0</v>
      </c>
      <c r="L936" s="10" t="str">
        <f t="shared" si="74"/>
        <v>Paid</v>
      </c>
      <c r="M936" s="11">
        <v>45689</v>
      </c>
      <c r="N936" s="11">
        <v>45717</v>
      </c>
    </row>
    <row r="937" spans="1:14" x14ac:dyDescent="0.25">
      <c r="A937" s="13" t="s">
        <v>1064</v>
      </c>
      <c r="B937" s="13" t="s">
        <v>123</v>
      </c>
      <c r="C937" s="14">
        <v>45700</v>
      </c>
      <c r="D937" s="14">
        <v>45730</v>
      </c>
      <c r="E937" s="14">
        <v>45754</v>
      </c>
      <c r="F937" s="15">
        <v>13780.36</v>
      </c>
      <c r="G937" s="15">
        <v>13780.36</v>
      </c>
      <c r="H937" s="15">
        <f t="shared" si="70"/>
        <v>0</v>
      </c>
      <c r="I937" s="13">
        <f t="shared" si="71"/>
        <v>24</v>
      </c>
      <c r="J937" s="13" t="str">
        <f t="shared" ca="1" si="72"/>
        <v>Paid</v>
      </c>
      <c r="K937" s="13">
        <f t="shared" ca="1" si="73"/>
        <v>0</v>
      </c>
      <c r="L937" s="13" t="str">
        <f t="shared" si="74"/>
        <v>Paid</v>
      </c>
      <c r="M937" s="14">
        <v>45689</v>
      </c>
      <c r="N937" s="14">
        <v>45748</v>
      </c>
    </row>
    <row r="938" spans="1:14" x14ac:dyDescent="0.25">
      <c r="A938" s="10" t="s">
        <v>1065</v>
      </c>
      <c r="B938" s="10" t="s">
        <v>113</v>
      </c>
      <c r="C938" s="11">
        <v>45703</v>
      </c>
      <c r="D938" s="11">
        <v>45733</v>
      </c>
      <c r="E938" s="11">
        <v>45744</v>
      </c>
      <c r="F938" s="12">
        <v>46235.89</v>
      </c>
      <c r="G938" s="12">
        <v>46235.89</v>
      </c>
      <c r="H938" s="12">
        <f t="shared" si="70"/>
        <v>0</v>
      </c>
      <c r="I938" s="10">
        <f t="shared" si="71"/>
        <v>11</v>
      </c>
      <c r="J938" s="10" t="str">
        <f t="shared" ca="1" si="72"/>
        <v>Paid</v>
      </c>
      <c r="K938" s="10">
        <f t="shared" ca="1" si="73"/>
        <v>0</v>
      </c>
      <c r="L938" s="10" t="str">
        <f t="shared" si="74"/>
        <v>Paid</v>
      </c>
      <c r="M938" s="11">
        <v>45689</v>
      </c>
      <c r="N938" s="11">
        <v>45717</v>
      </c>
    </row>
    <row r="939" spans="1:14" x14ac:dyDescent="0.25">
      <c r="A939" s="13" t="s">
        <v>1066</v>
      </c>
      <c r="B939" s="13" t="s">
        <v>220</v>
      </c>
      <c r="C939" s="14">
        <v>45690</v>
      </c>
      <c r="D939" s="14">
        <v>45720</v>
      </c>
      <c r="E939" s="14"/>
      <c r="F939" s="15">
        <v>27033.51</v>
      </c>
      <c r="G939" s="15">
        <v>0</v>
      </c>
      <c r="H939" s="15">
        <f t="shared" si="70"/>
        <v>27033.51</v>
      </c>
      <c r="I939" s="13" t="str">
        <f t="shared" si="71"/>
        <v/>
      </c>
      <c r="J939" s="13" t="str">
        <f t="shared" ca="1" si="72"/>
        <v>Overdue</v>
      </c>
      <c r="K939" s="13">
        <f t="shared" ca="1" si="73"/>
        <v>536</v>
      </c>
      <c r="L939" s="13" t="str">
        <f t="shared" ca="1" si="74"/>
        <v>120+ Days</v>
      </c>
      <c r="M939" s="14">
        <v>45689</v>
      </c>
      <c r="N939" s="14"/>
    </row>
    <row r="940" spans="1:14" x14ac:dyDescent="0.25">
      <c r="A940" s="10" t="s">
        <v>1067</v>
      </c>
      <c r="B940" s="10" t="s">
        <v>89</v>
      </c>
      <c r="C940" s="11">
        <v>45708</v>
      </c>
      <c r="D940" s="11">
        <v>45738</v>
      </c>
      <c r="E940" s="11"/>
      <c r="F940" s="12">
        <v>36859.589999999997</v>
      </c>
      <c r="G940" s="12">
        <v>0</v>
      </c>
      <c r="H940" s="12">
        <f t="shared" si="70"/>
        <v>36859.589999999997</v>
      </c>
      <c r="I940" s="10" t="str">
        <f t="shared" si="71"/>
        <v/>
      </c>
      <c r="J940" s="10" t="str">
        <f t="shared" ca="1" si="72"/>
        <v>Overdue</v>
      </c>
      <c r="K940" s="10">
        <f t="shared" ca="1" si="73"/>
        <v>518</v>
      </c>
      <c r="L940" s="10" t="str">
        <f t="shared" ca="1" si="74"/>
        <v>120+ Days</v>
      </c>
      <c r="M940" s="11">
        <v>45689</v>
      </c>
      <c r="N940" s="11"/>
    </row>
    <row r="941" spans="1:14" x14ac:dyDescent="0.25">
      <c r="A941" s="13" t="s">
        <v>1068</v>
      </c>
      <c r="B941" s="13" t="s">
        <v>129</v>
      </c>
      <c r="C941" s="14">
        <v>45712</v>
      </c>
      <c r="D941" s="14">
        <v>45742</v>
      </c>
      <c r="E941" s="14">
        <v>45767</v>
      </c>
      <c r="F941" s="15">
        <v>39162.33</v>
      </c>
      <c r="G941" s="15">
        <v>39162.33</v>
      </c>
      <c r="H941" s="15">
        <f t="shared" si="70"/>
        <v>0</v>
      </c>
      <c r="I941" s="13">
        <f t="shared" si="71"/>
        <v>25</v>
      </c>
      <c r="J941" s="13" t="str">
        <f t="shared" ca="1" si="72"/>
        <v>Paid</v>
      </c>
      <c r="K941" s="13">
        <f t="shared" ca="1" si="73"/>
        <v>0</v>
      </c>
      <c r="L941" s="13" t="str">
        <f t="shared" si="74"/>
        <v>Paid</v>
      </c>
      <c r="M941" s="14">
        <v>45689</v>
      </c>
      <c r="N941" s="14">
        <v>45748</v>
      </c>
    </row>
    <row r="942" spans="1:14" x14ac:dyDescent="0.25">
      <c r="A942" s="10" t="s">
        <v>1069</v>
      </c>
      <c r="B942" s="10" t="s">
        <v>153</v>
      </c>
      <c r="C942" s="11">
        <v>45699</v>
      </c>
      <c r="D942" s="11">
        <v>45729</v>
      </c>
      <c r="E942" s="11"/>
      <c r="F942" s="12">
        <v>56941.52</v>
      </c>
      <c r="G942" s="12">
        <v>0</v>
      </c>
      <c r="H942" s="12">
        <f t="shared" si="70"/>
        <v>56941.52</v>
      </c>
      <c r="I942" s="10" t="str">
        <f t="shared" si="71"/>
        <v/>
      </c>
      <c r="J942" s="10" t="str">
        <f t="shared" ca="1" si="72"/>
        <v>Overdue</v>
      </c>
      <c r="K942" s="10">
        <f t="shared" ca="1" si="73"/>
        <v>527</v>
      </c>
      <c r="L942" s="10" t="str">
        <f t="shared" ca="1" si="74"/>
        <v>120+ Days</v>
      </c>
      <c r="M942" s="11">
        <v>45689</v>
      </c>
      <c r="N942" s="11"/>
    </row>
    <row r="943" spans="1:14" x14ac:dyDescent="0.25">
      <c r="A943" s="13" t="s">
        <v>1070</v>
      </c>
      <c r="B943" s="13" t="s">
        <v>119</v>
      </c>
      <c r="C943" s="14">
        <v>45708</v>
      </c>
      <c r="D943" s="14">
        <v>45738</v>
      </c>
      <c r="E943" s="14">
        <v>45742</v>
      </c>
      <c r="F943" s="15">
        <v>26661.13</v>
      </c>
      <c r="G943" s="15">
        <v>26661.13</v>
      </c>
      <c r="H943" s="15">
        <f t="shared" si="70"/>
        <v>0</v>
      </c>
      <c r="I943" s="13">
        <f t="shared" si="71"/>
        <v>4</v>
      </c>
      <c r="J943" s="13" t="str">
        <f t="shared" ca="1" si="72"/>
        <v>Paid</v>
      </c>
      <c r="K943" s="13">
        <f t="shared" ca="1" si="73"/>
        <v>0</v>
      </c>
      <c r="L943" s="13" t="str">
        <f t="shared" si="74"/>
        <v>Paid</v>
      </c>
      <c r="M943" s="14">
        <v>45689</v>
      </c>
      <c r="N943" s="14">
        <v>45717</v>
      </c>
    </row>
    <row r="944" spans="1:14" x14ac:dyDescent="0.25">
      <c r="A944" s="10" t="s">
        <v>1071</v>
      </c>
      <c r="B944" s="10" t="s">
        <v>99</v>
      </c>
      <c r="C944" s="11">
        <v>45707</v>
      </c>
      <c r="D944" s="11">
        <v>45737</v>
      </c>
      <c r="E944" s="11">
        <v>45747</v>
      </c>
      <c r="F944" s="12">
        <v>33025.17</v>
      </c>
      <c r="G944" s="12">
        <v>33025.17</v>
      </c>
      <c r="H944" s="12">
        <f t="shared" si="70"/>
        <v>0</v>
      </c>
      <c r="I944" s="10">
        <f t="shared" si="71"/>
        <v>10</v>
      </c>
      <c r="J944" s="10" t="str">
        <f t="shared" ca="1" si="72"/>
        <v>Paid</v>
      </c>
      <c r="K944" s="10">
        <f t="shared" ca="1" si="73"/>
        <v>0</v>
      </c>
      <c r="L944" s="10" t="str">
        <f t="shared" si="74"/>
        <v>Paid</v>
      </c>
      <c r="M944" s="11">
        <v>45689</v>
      </c>
      <c r="N944" s="11">
        <v>45717</v>
      </c>
    </row>
    <row r="945" spans="1:14" x14ac:dyDescent="0.25">
      <c r="A945" s="13" t="s">
        <v>1072</v>
      </c>
      <c r="B945" s="13" t="s">
        <v>188</v>
      </c>
      <c r="C945" s="14">
        <v>45711</v>
      </c>
      <c r="D945" s="14">
        <v>45741</v>
      </c>
      <c r="E945" s="14">
        <v>45772</v>
      </c>
      <c r="F945" s="15">
        <v>18208.91</v>
      </c>
      <c r="G945" s="15">
        <v>18208.91</v>
      </c>
      <c r="H945" s="15">
        <f t="shared" si="70"/>
        <v>0</v>
      </c>
      <c r="I945" s="13">
        <f t="shared" si="71"/>
        <v>31</v>
      </c>
      <c r="J945" s="13" t="str">
        <f t="shared" ca="1" si="72"/>
        <v>Paid</v>
      </c>
      <c r="K945" s="13">
        <f t="shared" ca="1" si="73"/>
        <v>0</v>
      </c>
      <c r="L945" s="13" t="str">
        <f t="shared" si="74"/>
        <v>Paid</v>
      </c>
      <c r="M945" s="14">
        <v>45689</v>
      </c>
      <c r="N945" s="14">
        <v>45748</v>
      </c>
    </row>
    <row r="946" spans="1:14" x14ac:dyDescent="0.25">
      <c r="A946" s="10" t="s">
        <v>1073</v>
      </c>
      <c r="B946" s="10" t="s">
        <v>140</v>
      </c>
      <c r="C946" s="11">
        <v>45691</v>
      </c>
      <c r="D946" s="11">
        <v>45721</v>
      </c>
      <c r="E946" s="11"/>
      <c r="F946" s="12">
        <v>26740.23</v>
      </c>
      <c r="G946" s="12">
        <v>0</v>
      </c>
      <c r="H946" s="12">
        <f t="shared" si="70"/>
        <v>26740.23</v>
      </c>
      <c r="I946" s="10" t="str">
        <f t="shared" si="71"/>
        <v/>
      </c>
      <c r="J946" s="10" t="str">
        <f t="shared" ca="1" si="72"/>
        <v>Overdue</v>
      </c>
      <c r="K946" s="10">
        <f t="shared" ca="1" si="73"/>
        <v>535</v>
      </c>
      <c r="L946" s="10" t="str">
        <f t="shared" ca="1" si="74"/>
        <v>120+ Days</v>
      </c>
      <c r="M946" s="11">
        <v>45689</v>
      </c>
      <c r="N946" s="11"/>
    </row>
    <row r="947" spans="1:14" x14ac:dyDescent="0.25">
      <c r="A947" s="13" t="s">
        <v>1074</v>
      </c>
      <c r="B947" s="13" t="s">
        <v>159</v>
      </c>
      <c r="C947" s="14">
        <v>45709</v>
      </c>
      <c r="D947" s="14">
        <v>45739</v>
      </c>
      <c r="E947" s="14"/>
      <c r="F947" s="15">
        <v>16940.810000000001</v>
      </c>
      <c r="G947" s="15">
        <v>0</v>
      </c>
      <c r="H947" s="15">
        <f t="shared" si="70"/>
        <v>16940.810000000001</v>
      </c>
      <c r="I947" s="13" t="str">
        <f t="shared" si="71"/>
        <v/>
      </c>
      <c r="J947" s="13" t="str">
        <f t="shared" ca="1" si="72"/>
        <v>Overdue</v>
      </c>
      <c r="K947" s="13">
        <f t="shared" ca="1" si="73"/>
        <v>517</v>
      </c>
      <c r="L947" s="13" t="str">
        <f t="shared" ca="1" si="74"/>
        <v>120+ Days</v>
      </c>
      <c r="M947" s="14">
        <v>45689</v>
      </c>
      <c r="N947" s="14"/>
    </row>
    <row r="948" spans="1:14" x14ac:dyDescent="0.25">
      <c r="A948" s="10" t="s">
        <v>1075</v>
      </c>
      <c r="B948" s="10" t="s">
        <v>87</v>
      </c>
      <c r="C948" s="11">
        <v>45730</v>
      </c>
      <c r="D948" s="11">
        <v>45760</v>
      </c>
      <c r="E948" s="11">
        <v>45760</v>
      </c>
      <c r="F948" s="12">
        <v>56675.16</v>
      </c>
      <c r="G948" s="12">
        <v>56675.16</v>
      </c>
      <c r="H948" s="12">
        <f t="shared" si="70"/>
        <v>0</v>
      </c>
      <c r="I948" s="10">
        <f t="shared" si="71"/>
        <v>0</v>
      </c>
      <c r="J948" s="10" t="str">
        <f t="shared" ca="1" si="72"/>
        <v>Paid</v>
      </c>
      <c r="K948" s="10">
        <f t="shared" ca="1" si="73"/>
        <v>0</v>
      </c>
      <c r="L948" s="10" t="str">
        <f t="shared" si="74"/>
        <v>Paid</v>
      </c>
      <c r="M948" s="11">
        <v>45717</v>
      </c>
      <c r="N948" s="11">
        <v>45748</v>
      </c>
    </row>
    <row r="949" spans="1:14" x14ac:dyDescent="0.25">
      <c r="A949" s="13" t="s">
        <v>1076</v>
      </c>
      <c r="B949" s="13" t="s">
        <v>171</v>
      </c>
      <c r="C949" s="14">
        <v>45736</v>
      </c>
      <c r="D949" s="14">
        <v>45766</v>
      </c>
      <c r="E949" s="14">
        <v>45766</v>
      </c>
      <c r="F949" s="15">
        <v>18448.580000000002</v>
      </c>
      <c r="G949" s="15">
        <v>18448.580000000002</v>
      </c>
      <c r="H949" s="15">
        <f t="shared" si="70"/>
        <v>0</v>
      </c>
      <c r="I949" s="13">
        <f t="shared" si="71"/>
        <v>0</v>
      </c>
      <c r="J949" s="13" t="str">
        <f t="shared" ca="1" si="72"/>
        <v>Paid</v>
      </c>
      <c r="K949" s="13">
        <f t="shared" ca="1" si="73"/>
        <v>0</v>
      </c>
      <c r="L949" s="13" t="str">
        <f t="shared" si="74"/>
        <v>Paid</v>
      </c>
      <c r="M949" s="14">
        <v>45717</v>
      </c>
      <c r="N949" s="14">
        <v>45748</v>
      </c>
    </row>
    <row r="950" spans="1:14" x14ac:dyDescent="0.25">
      <c r="A950" s="10" t="s">
        <v>1077</v>
      </c>
      <c r="B950" s="10" t="s">
        <v>463</v>
      </c>
      <c r="C950" s="11">
        <v>45728</v>
      </c>
      <c r="D950" s="11">
        <v>45758</v>
      </c>
      <c r="E950" s="11"/>
      <c r="F950" s="12">
        <v>34852.92</v>
      </c>
      <c r="G950" s="12">
        <v>0</v>
      </c>
      <c r="H950" s="12">
        <f t="shared" si="70"/>
        <v>34852.92</v>
      </c>
      <c r="I950" s="10" t="str">
        <f t="shared" si="71"/>
        <v/>
      </c>
      <c r="J950" s="10" t="str">
        <f t="shared" ca="1" si="72"/>
        <v>Overdue</v>
      </c>
      <c r="K950" s="10">
        <f t="shared" ca="1" si="73"/>
        <v>498</v>
      </c>
      <c r="L950" s="10" t="str">
        <f t="shared" ca="1" si="74"/>
        <v>120+ Days</v>
      </c>
      <c r="M950" s="11">
        <v>45717</v>
      </c>
      <c r="N950" s="11"/>
    </row>
    <row r="951" spans="1:14" x14ac:dyDescent="0.25">
      <c r="A951" s="13" t="s">
        <v>1078</v>
      </c>
      <c r="B951" s="13" t="s">
        <v>314</v>
      </c>
      <c r="C951" s="14">
        <v>45723</v>
      </c>
      <c r="D951" s="14">
        <v>45753</v>
      </c>
      <c r="E951" s="14">
        <v>45767</v>
      </c>
      <c r="F951" s="15">
        <v>19443.68</v>
      </c>
      <c r="G951" s="15">
        <v>19443.68</v>
      </c>
      <c r="H951" s="15">
        <f t="shared" si="70"/>
        <v>0</v>
      </c>
      <c r="I951" s="13">
        <f t="shared" si="71"/>
        <v>14</v>
      </c>
      <c r="J951" s="13" t="str">
        <f t="shared" ca="1" si="72"/>
        <v>Paid</v>
      </c>
      <c r="K951" s="13">
        <f t="shared" ca="1" si="73"/>
        <v>0</v>
      </c>
      <c r="L951" s="13" t="str">
        <f t="shared" si="74"/>
        <v>Paid</v>
      </c>
      <c r="M951" s="14">
        <v>45717</v>
      </c>
      <c r="N951" s="14">
        <v>45748</v>
      </c>
    </row>
    <row r="952" spans="1:14" x14ac:dyDescent="0.25">
      <c r="A952" s="10" t="s">
        <v>1079</v>
      </c>
      <c r="B952" s="10" t="s">
        <v>169</v>
      </c>
      <c r="C952" s="11">
        <v>45733</v>
      </c>
      <c r="D952" s="11">
        <v>45763</v>
      </c>
      <c r="E952" s="11">
        <v>45766</v>
      </c>
      <c r="F952" s="12">
        <v>24843.34</v>
      </c>
      <c r="G952" s="12">
        <v>24843.34</v>
      </c>
      <c r="H952" s="12">
        <f t="shared" si="70"/>
        <v>0</v>
      </c>
      <c r="I952" s="10">
        <f t="shared" si="71"/>
        <v>3</v>
      </c>
      <c r="J952" s="10" t="str">
        <f t="shared" ca="1" si="72"/>
        <v>Paid</v>
      </c>
      <c r="K952" s="10">
        <f t="shared" ca="1" si="73"/>
        <v>0</v>
      </c>
      <c r="L952" s="10" t="str">
        <f t="shared" si="74"/>
        <v>Paid</v>
      </c>
      <c r="M952" s="11">
        <v>45717</v>
      </c>
      <c r="N952" s="11">
        <v>45748</v>
      </c>
    </row>
    <row r="953" spans="1:14" x14ac:dyDescent="0.25">
      <c r="A953" s="13" t="s">
        <v>1080</v>
      </c>
      <c r="B953" s="13" t="s">
        <v>131</v>
      </c>
      <c r="C953" s="14">
        <v>45735</v>
      </c>
      <c r="D953" s="14">
        <v>45765</v>
      </c>
      <c r="E953" s="14">
        <v>45769</v>
      </c>
      <c r="F953" s="15">
        <v>34606.11</v>
      </c>
      <c r="G953" s="15">
        <v>34606.11</v>
      </c>
      <c r="H953" s="15">
        <f t="shared" si="70"/>
        <v>0</v>
      </c>
      <c r="I953" s="13">
        <f t="shared" si="71"/>
        <v>4</v>
      </c>
      <c r="J953" s="13" t="str">
        <f t="shared" ca="1" si="72"/>
        <v>Paid</v>
      </c>
      <c r="K953" s="13">
        <f t="shared" ca="1" si="73"/>
        <v>0</v>
      </c>
      <c r="L953" s="13" t="str">
        <f t="shared" si="74"/>
        <v>Paid</v>
      </c>
      <c r="M953" s="14">
        <v>45717</v>
      </c>
      <c r="N953" s="14">
        <v>45748</v>
      </c>
    </row>
    <row r="954" spans="1:14" x14ac:dyDescent="0.25">
      <c r="A954" s="10" t="s">
        <v>1081</v>
      </c>
      <c r="B954" s="10" t="s">
        <v>171</v>
      </c>
      <c r="C954" s="11">
        <v>45731</v>
      </c>
      <c r="D954" s="11">
        <v>45761</v>
      </c>
      <c r="E954" s="11">
        <v>45765</v>
      </c>
      <c r="F954" s="12">
        <v>49451.5</v>
      </c>
      <c r="G954" s="12">
        <v>49451.5</v>
      </c>
      <c r="H954" s="12">
        <f t="shared" si="70"/>
        <v>0</v>
      </c>
      <c r="I954" s="10">
        <f t="shared" si="71"/>
        <v>4</v>
      </c>
      <c r="J954" s="10" t="str">
        <f t="shared" ca="1" si="72"/>
        <v>Paid</v>
      </c>
      <c r="K954" s="10">
        <f t="shared" ca="1" si="73"/>
        <v>0</v>
      </c>
      <c r="L954" s="10" t="str">
        <f t="shared" si="74"/>
        <v>Paid</v>
      </c>
      <c r="M954" s="11">
        <v>45717</v>
      </c>
      <c r="N954" s="11">
        <v>45748</v>
      </c>
    </row>
    <row r="955" spans="1:14" x14ac:dyDescent="0.25">
      <c r="A955" s="13" t="s">
        <v>1082</v>
      </c>
      <c r="B955" s="13" t="s">
        <v>127</v>
      </c>
      <c r="C955" s="14">
        <v>45734</v>
      </c>
      <c r="D955" s="14">
        <v>45764</v>
      </c>
      <c r="E955" s="14">
        <v>45764</v>
      </c>
      <c r="F955" s="15">
        <v>39908.089999999997</v>
      </c>
      <c r="G955" s="15">
        <v>39908.089999999997</v>
      </c>
      <c r="H955" s="15">
        <f t="shared" si="70"/>
        <v>0</v>
      </c>
      <c r="I955" s="13">
        <f t="shared" si="71"/>
        <v>0</v>
      </c>
      <c r="J955" s="13" t="str">
        <f t="shared" ca="1" si="72"/>
        <v>Paid</v>
      </c>
      <c r="K955" s="13">
        <f t="shared" ca="1" si="73"/>
        <v>0</v>
      </c>
      <c r="L955" s="13" t="str">
        <f t="shared" si="74"/>
        <v>Paid</v>
      </c>
      <c r="M955" s="14">
        <v>45717</v>
      </c>
      <c r="N955" s="14">
        <v>45748</v>
      </c>
    </row>
    <row r="956" spans="1:14" x14ac:dyDescent="0.25">
      <c r="A956" s="10" t="s">
        <v>1083</v>
      </c>
      <c r="B956" s="10" t="s">
        <v>83</v>
      </c>
      <c r="C956" s="11">
        <v>45730</v>
      </c>
      <c r="D956" s="11">
        <v>45760</v>
      </c>
      <c r="E956" s="11">
        <v>45771</v>
      </c>
      <c r="F956" s="12">
        <v>48762.559999999998</v>
      </c>
      <c r="G956" s="12">
        <v>48762.559999999998</v>
      </c>
      <c r="H956" s="12">
        <f t="shared" si="70"/>
        <v>0</v>
      </c>
      <c r="I956" s="10">
        <f t="shared" si="71"/>
        <v>11</v>
      </c>
      <c r="J956" s="10" t="str">
        <f t="shared" ca="1" si="72"/>
        <v>Paid</v>
      </c>
      <c r="K956" s="10">
        <f t="shared" ca="1" si="73"/>
        <v>0</v>
      </c>
      <c r="L956" s="10" t="str">
        <f t="shared" si="74"/>
        <v>Paid</v>
      </c>
      <c r="M956" s="11">
        <v>45717</v>
      </c>
      <c r="N956" s="11">
        <v>45748</v>
      </c>
    </row>
    <row r="957" spans="1:14" x14ac:dyDescent="0.25">
      <c r="A957" s="13" t="s">
        <v>1084</v>
      </c>
      <c r="B957" s="13" t="s">
        <v>83</v>
      </c>
      <c r="C957" s="14">
        <v>45721</v>
      </c>
      <c r="D957" s="14">
        <v>45751</v>
      </c>
      <c r="E957" s="14"/>
      <c r="F957" s="15">
        <v>39160.03</v>
      </c>
      <c r="G957" s="15">
        <v>0</v>
      </c>
      <c r="H957" s="15">
        <f t="shared" si="70"/>
        <v>39160.03</v>
      </c>
      <c r="I957" s="13" t="str">
        <f t="shared" si="71"/>
        <v/>
      </c>
      <c r="J957" s="13" t="str">
        <f t="shared" ca="1" si="72"/>
        <v>Overdue</v>
      </c>
      <c r="K957" s="13">
        <f t="shared" ca="1" si="73"/>
        <v>505</v>
      </c>
      <c r="L957" s="13" t="str">
        <f t="shared" ca="1" si="74"/>
        <v>120+ Days</v>
      </c>
      <c r="M957" s="14">
        <v>45717</v>
      </c>
      <c r="N957" s="14"/>
    </row>
    <row r="958" spans="1:14" x14ac:dyDescent="0.25">
      <c r="A958" s="10" t="s">
        <v>1085</v>
      </c>
      <c r="B958" s="10" t="s">
        <v>115</v>
      </c>
      <c r="C958" s="11">
        <v>45723</v>
      </c>
      <c r="D958" s="11">
        <v>45753</v>
      </c>
      <c r="E958" s="11">
        <v>45799</v>
      </c>
      <c r="F958" s="12">
        <v>63017.98</v>
      </c>
      <c r="G958" s="12">
        <v>49704.25</v>
      </c>
      <c r="H958" s="12">
        <f t="shared" si="70"/>
        <v>13313.730000000003</v>
      </c>
      <c r="I958" s="10">
        <f t="shared" si="71"/>
        <v>46</v>
      </c>
      <c r="J958" s="10" t="str">
        <f t="shared" ca="1" si="72"/>
        <v>Overdue</v>
      </c>
      <c r="K958" s="10">
        <f t="shared" ca="1" si="73"/>
        <v>503</v>
      </c>
      <c r="L958" s="10" t="str">
        <f t="shared" ca="1" si="74"/>
        <v>120+ Days</v>
      </c>
      <c r="M958" s="11">
        <v>45717</v>
      </c>
      <c r="N958" s="11">
        <v>45778</v>
      </c>
    </row>
    <row r="959" spans="1:14" x14ac:dyDescent="0.25">
      <c r="A959" s="13" t="s">
        <v>1086</v>
      </c>
      <c r="B959" s="13" t="s">
        <v>74</v>
      </c>
      <c r="C959" s="14">
        <v>45738</v>
      </c>
      <c r="D959" s="14">
        <v>45768</v>
      </c>
      <c r="E959" s="14">
        <v>45779</v>
      </c>
      <c r="F959" s="15">
        <v>43288.98</v>
      </c>
      <c r="G959" s="15">
        <v>43288.98</v>
      </c>
      <c r="H959" s="15">
        <f t="shared" si="70"/>
        <v>0</v>
      </c>
      <c r="I959" s="13">
        <f t="shared" si="71"/>
        <v>11</v>
      </c>
      <c r="J959" s="13" t="str">
        <f t="shared" ca="1" si="72"/>
        <v>Paid</v>
      </c>
      <c r="K959" s="13">
        <f t="shared" ca="1" si="73"/>
        <v>0</v>
      </c>
      <c r="L959" s="13" t="str">
        <f t="shared" si="74"/>
        <v>Paid</v>
      </c>
      <c r="M959" s="14">
        <v>45717</v>
      </c>
      <c r="N959" s="14">
        <v>45778</v>
      </c>
    </row>
    <row r="960" spans="1:14" x14ac:dyDescent="0.25">
      <c r="A960" s="10" t="s">
        <v>1087</v>
      </c>
      <c r="B960" s="10" t="s">
        <v>215</v>
      </c>
      <c r="C960" s="11">
        <v>45743</v>
      </c>
      <c r="D960" s="11">
        <v>45773</v>
      </c>
      <c r="E960" s="11"/>
      <c r="F960" s="12">
        <v>25472.03</v>
      </c>
      <c r="G960" s="12">
        <v>0</v>
      </c>
      <c r="H960" s="12">
        <f t="shared" si="70"/>
        <v>25472.03</v>
      </c>
      <c r="I960" s="10" t="str">
        <f t="shared" si="71"/>
        <v/>
      </c>
      <c r="J960" s="10" t="str">
        <f t="shared" ca="1" si="72"/>
        <v>Overdue</v>
      </c>
      <c r="K960" s="10">
        <f t="shared" ca="1" si="73"/>
        <v>483</v>
      </c>
      <c r="L960" s="10" t="str">
        <f t="shared" ca="1" si="74"/>
        <v>120+ Days</v>
      </c>
      <c r="M960" s="11">
        <v>45717</v>
      </c>
      <c r="N960" s="11"/>
    </row>
    <row r="961" spans="1:14" x14ac:dyDescent="0.25">
      <c r="A961" s="13" t="s">
        <v>1088</v>
      </c>
      <c r="B961" s="13" t="s">
        <v>188</v>
      </c>
      <c r="C961" s="14">
        <v>45728</v>
      </c>
      <c r="D961" s="14">
        <v>45758</v>
      </c>
      <c r="E961" s="14">
        <v>45766</v>
      </c>
      <c r="F961" s="15">
        <v>180000</v>
      </c>
      <c r="G961" s="15">
        <v>180000</v>
      </c>
      <c r="H961" s="15">
        <f t="shared" si="70"/>
        <v>0</v>
      </c>
      <c r="I961" s="13">
        <f t="shared" si="71"/>
        <v>8</v>
      </c>
      <c r="J961" s="13" t="str">
        <f t="shared" ca="1" si="72"/>
        <v>Paid</v>
      </c>
      <c r="K961" s="13">
        <f t="shared" ca="1" si="73"/>
        <v>0</v>
      </c>
      <c r="L961" s="13" t="str">
        <f t="shared" si="74"/>
        <v>Paid</v>
      </c>
      <c r="M961" s="14">
        <v>45717</v>
      </c>
      <c r="N961" s="14">
        <v>45748</v>
      </c>
    </row>
    <row r="962" spans="1:14" x14ac:dyDescent="0.25">
      <c r="A962" s="10" t="s">
        <v>1089</v>
      </c>
      <c r="B962" s="10" t="s">
        <v>91</v>
      </c>
      <c r="C962" s="11">
        <v>45719</v>
      </c>
      <c r="D962" s="11">
        <v>45749</v>
      </c>
      <c r="E962" s="11"/>
      <c r="F962" s="12">
        <v>29190.22</v>
      </c>
      <c r="G962" s="12">
        <v>0</v>
      </c>
      <c r="H962" s="12">
        <f t="shared" ref="H962:H1025" si="75">MAX(0,F962-G962)</f>
        <v>29190.22</v>
      </c>
      <c r="I962" s="10" t="str">
        <f t="shared" ref="I962:I1025" si="76">IF(E962="","",MAX(0,E962-D962))</f>
        <v/>
      </c>
      <c r="J962" s="10" t="str">
        <f t="shared" ref="J962:J1025" ca="1" si="77">IF(H962=0,"Paid",IF(D962&lt;TODAY(),"Overdue","Open"))</f>
        <v>Overdue</v>
      </c>
      <c r="K962" s="10">
        <f t="shared" ref="K962:K1025" ca="1" si="78">IF(H962=0,0,MAX(0,TODAY()-D962))</f>
        <v>507</v>
      </c>
      <c r="L962" s="10" t="str">
        <f t="shared" ref="L962:L1025" ca="1" si="79">IF(H962=0,"Paid",IF(K962&lt;=30,"0-30 Days",IF(K962&lt;=60,"31-60 Days",IF(K962&lt;=90,"61-90 Days",IF(K962&lt;=120,"91-120 Days","120+ Days")))))</f>
        <v>120+ Days</v>
      </c>
      <c r="M962" s="11">
        <v>45717</v>
      </c>
      <c r="N962" s="11"/>
    </row>
    <row r="963" spans="1:14" x14ac:dyDescent="0.25">
      <c r="A963" s="13" t="s">
        <v>1090</v>
      </c>
      <c r="B963" s="13" t="s">
        <v>123</v>
      </c>
      <c r="C963" s="14">
        <v>45731</v>
      </c>
      <c r="D963" s="14">
        <v>45761</v>
      </c>
      <c r="E963" s="14">
        <v>45761</v>
      </c>
      <c r="F963" s="15">
        <v>26366.93</v>
      </c>
      <c r="G963" s="15">
        <v>26366.93</v>
      </c>
      <c r="H963" s="15">
        <f t="shared" si="75"/>
        <v>0</v>
      </c>
      <c r="I963" s="13">
        <f t="shared" si="76"/>
        <v>0</v>
      </c>
      <c r="J963" s="13" t="str">
        <f t="shared" ca="1" si="77"/>
        <v>Paid</v>
      </c>
      <c r="K963" s="13">
        <f t="shared" ca="1" si="78"/>
        <v>0</v>
      </c>
      <c r="L963" s="13" t="str">
        <f t="shared" si="79"/>
        <v>Paid</v>
      </c>
      <c r="M963" s="14">
        <v>45717</v>
      </c>
      <c r="N963" s="14">
        <v>45748</v>
      </c>
    </row>
    <row r="964" spans="1:14" x14ac:dyDescent="0.25">
      <c r="A964" s="10" t="s">
        <v>1091</v>
      </c>
      <c r="B964" s="10" t="s">
        <v>265</v>
      </c>
      <c r="C964" s="11">
        <v>45738</v>
      </c>
      <c r="D964" s="11">
        <v>45768</v>
      </c>
      <c r="E964" s="11">
        <v>45816</v>
      </c>
      <c r="F964" s="12">
        <v>14918.84</v>
      </c>
      <c r="G964" s="12">
        <v>14918.84</v>
      </c>
      <c r="H964" s="12">
        <f t="shared" si="75"/>
        <v>0</v>
      </c>
      <c r="I964" s="10">
        <f t="shared" si="76"/>
        <v>48</v>
      </c>
      <c r="J964" s="10" t="str">
        <f t="shared" ca="1" si="77"/>
        <v>Paid</v>
      </c>
      <c r="K964" s="10">
        <f t="shared" ca="1" si="78"/>
        <v>0</v>
      </c>
      <c r="L964" s="10" t="str">
        <f t="shared" si="79"/>
        <v>Paid</v>
      </c>
      <c r="M964" s="11">
        <v>45717</v>
      </c>
      <c r="N964" s="11">
        <v>45809</v>
      </c>
    </row>
    <row r="965" spans="1:14" x14ac:dyDescent="0.25">
      <c r="A965" s="13" t="s">
        <v>1092</v>
      </c>
      <c r="B965" s="13" t="s">
        <v>153</v>
      </c>
      <c r="C965" s="14">
        <v>45742</v>
      </c>
      <c r="D965" s="14">
        <v>45772</v>
      </c>
      <c r="E965" s="14">
        <v>45813</v>
      </c>
      <c r="F965" s="15">
        <v>31204.78</v>
      </c>
      <c r="G965" s="15">
        <v>31204.78</v>
      </c>
      <c r="H965" s="15">
        <f t="shared" si="75"/>
        <v>0</v>
      </c>
      <c r="I965" s="13">
        <f t="shared" si="76"/>
        <v>41</v>
      </c>
      <c r="J965" s="13" t="str">
        <f t="shared" ca="1" si="77"/>
        <v>Paid</v>
      </c>
      <c r="K965" s="13">
        <f t="shared" ca="1" si="78"/>
        <v>0</v>
      </c>
      <c r="L965" s="13" t="str">
        <f t="shared" si="79"/>
        <v>Paid</v>
      </c>
      <c r="M965" s="14">
        <v>45717</v>
      </c>
      <c r="N965" s="14">
        <v>45809</v>
      </c>
    </row>
    <row r="966" spans="1:14" x14ac:dyDescent="0.25">
      <c r="A966" s="10" t="s">
        <v>1093</v>
      </c>
      <c r="B966" s="10" t="s">
        <v>340</v>
      </c>
      <c r="C966" s="11">
        <v>45719</v>
      </c>
      <c r="D966" s="11">
        <v>45749</v>
      </c>
      <c r="E966" s="11">
        <v>45767</v>
      </c>
      <c r="F966" s="12">
        <v>78013.78</v>
      </c>
      <c r="G966" s="12">
        <v>78013.78</v>
      </c>
      <c r="H966" s="12">
        <f t="shared" si="75"/>
        <v>0</v>
      </c>
      <c r="I966" s="10">
        <f t="shared" si="76"/>
        <v>18</v>
      </c>
      <c r="J966" s="10" t="str">
        <f t="shared" ca="1" si="77"/>
        <v>Paid</v>
      </c>
      <c r="K966" s="10">
        <f t="shared" ca="1" si="78"/>
        <v>0</v>
      </c>
      <c r="L966" s="10" t="str">
        <f t="shared" si="79"/>
        <v>Paid</v>
      </c>
      <c r="M966" s="11">
        <v>45717</v>
      </c>
      <c r="N966" s="11">
        <v>45748</v>
      </c>
    </row>
    <row r="967" spans="1:14" x14ac:dyDescent="0.25">
      <c r="A967" s="13" t="s">
        <v>1094</v>
      </c>
      <c r="B967" s="13" t="s">
        <v>184</v>
      </c>
      <c r="C967" s="14">
        <v>45728</v>
      </c>
      <c r="D967" s="14">
        <v>45758</v>
      </c>
      <c r="E967" s="14"/>
      <c r="F967" s="15">
        <v>34617.800000000003</v>
      </c>
      <c r="G967" s="15">
        <v>0</v>
      </c>
      <c r="H967" s="15">
        <f t="shared" si="75"/>
        <v>34617.800000000003</v>
      </c>
      <c r="I967" s="13" t="str">
        <f t="shared" si="76"/>
        <v/>
      </c>
      <c r="J967" s="13" t="str">
        <f t="shared" ca="1" si="77"/>
        <v>Overdue</v>
      </c>
      <c r="K967" s="13">
        <f t="shared" ca="1" si="78"/>
        <v>498</v>
      </c>
      <c r="L967" s="13" t="str">
        <f t="shared" ca="1" si="79"/>
        <v>120+ Days</v>
      </c>
      <c r="M967" s="14">
        <v>45717</v>
      </c>
      <c r="N967" s="14"/>
    </row>
    <row r="968" spans="1:14" x14ac:dyDescent="0.25">
      <c r="A968" s="10" t="s">
        <v>1095</v>
      </c>
      <c r="B968" s="10" t="s">
        <v>72</v>
      </c>
      <c r="C968" s="11">
        <v>45740</v>
      </c>
      <c r="D968" s="11">
        <v>45770</v>
      </c>
      <c r="E968" s="11"/>
      <c r="F968" s="12">
        <v>29050.799999999999</v>
      </c>
      <c r="G968" s="12">
        <v>0</v>
      </c>
      <c r="H968" s="12">
        <f t="shared" si="75"/>
        <v>29050.799999999999</v>
      </c>
      <c r="I968" s="10" t="str">
        <f t="shared" si="76"/>
        <v/>
      </c>
      <c r="J968" s="10" t="str">
        <f t="shared" ca="1" si="77"/>
        <v>Overdue</v>
      </c>
      <c r="K968" s="10">
        <f t="shared" ca="1" si="78"/>
        <v>486</v>
      </c>
      <c r="L968" s="10" t="str">
        <f t="shared" ca="1" si="79"/>
        <v>120+ Days</v>
      </c>
      <c r="M968" s="11">
        <v>45717</v>
      </c>
      <c r="N968" s="11"/>
    </row>
    <row r="969" spans="1:14" x14ac:dyDescent="0.25">
      <c r="A969" s="13" t="s">
        <v>1096</v>
      </c>
      <c r="B969" s="13" t="s">
        <v>101</v>
      </c>
      <c r="C969" s="14">
        <v>45734</v>
      </c>
      <c r="D969" s="14">
        <v>45764</v>
      </c>
      <c r="E969" s="14"/>
      <c r="F969" s="15">
        <v>35254.559999999998</v>
      </c>
      <c r="G969" s="15">
        <v>0</v>
      </c>
      <c r="H969" s="15">
        <f t="shared" si="75"/>
        <v>35254.559999999998</v>
      </c>
      <c r="I969" s="13" t="str">
        <f t="shared" si="76"/>
        <v/>
      </c>
      <c r="J969" s="13" t="str">
        <f t="shared" ca="1" si="77"/>
        <v>Overdue</v>
      </c>
      <c r="K969" s="13">
        <f t="shared" ca="1" si="78"/>
        <v>492</v>
      </c>
      <c r="L969" s="13" t="str">
        <f t="shared" ca="1" si="79"/>
        <v>120+ Days</v>
      </c>
      <c r="M969" s="14">
        <v>45717</v>
      </c>
      <c r="N969" s="14"/>
    </row>
    <row r="970" spans="1:14" x14ac:dyDescent="0.25">
      <c r="A970" s="10" t="s">
        <v>1097</v>
      </c>
      <c r="B970" s="10" t="s">
        <v>171</v>
      </c>
      <c r="C970" s="11">
        <v>45734</v>
      </c>
      <c r="D970" s="11">
        <v>45764</v>
      </c>
      <c r="E970" s="11">
        <v>45782</v>
      </c>
      <c r="F970" s="12">
        <v>14289.79</v>
      </c>
      <c r="G970" s="12">
        <v>14289.79</v>
      </c>
      <c r="H970" s="12">
        <f t="shared" si="75"/>
        <v>0</v>
      </c>
      <c r="I970" s="10">
        <f t="shared" si="76"/>
        <v>18</v>
      </c>
      <c r="J970" s="10" t="str">
        <f t="shared" ca="1" si="77"/>
        <v>Paid</v>
      </c>
      <c r="K970" s="10">
        <f t="shared" ca="1" si="78"/>
        <v>0</v>
      </c>
      <c r="L970" s="10" t="str">
        <f t="shared" si="79"/>
        <v>Paid</v>
      </c>
      <c r="M970" s="11">
        <v>45717</v>
      </c>
      <c r="N970" s="11">
        <v>45778</v>
      </c>
    </row>
    <row r="971" spans="1:14" x14ac:dyDescent="0.25">
      <c r="A971" s="13" t="s">
        <v>1098</v>
      </c>
      <c r="B971" s="13" t="s">
        <v>215</v>
      </c>
      <c r="C971" s="14">
        <v>45736</v>
      </c>
      <c r="D971" s="14">
        <v>45766</v>
      </c>
      <c r="E971" s="14">
        <v>45793</v>
      </c>
      <c r="F971" s="15">
        <v>45101.760000000002</v>
      </c>
      <c r="G971" s="15">
        <v>45101.760000000002</v>
      </c>
      <c r="H971" s="15">
        <f t="shared" si="75"/>
        <v>0</v>
      </c>
      <c r="I971" s="13">
        <f t="shared" si="76"/>
        <v>27</v>
      </c>
      <c r="J971" s="13" t="str">
        <f t="shared" ca="1" si="77"/>
        <v>Paid</v>
      </c>
      <c r="K971" s="13">
        <f t="shared" ca="1" si="78"/>
        <v>0</v>
      </c>
      <c r="L971" s="13" t="str">
        <f t="shared" si="79"/>
        <v>Paid</v>
      </c>
      <c r="M971" s="14">
        <v>45717</v>
      </c>
      <c r="N971" s="14">
        <v>45778</v>
      </c>
    </row>
    <row r="972" spans="1:14" x14ac:dyDescent="0.25">
      <c r="A972" s="10" t="s">
        <v>1099</v>
      </c>
      <c r="B972" s="10" t="s">
        <v>169</v>
      </c>
      <c r="C972" s="11">
        <v>45728</v>
      </c>
      <c r="D972" s="11">
        <v>45758</v>
      </c>
      <c r="E972" s="11">
        <v>45778</v>
      </c>
      <c r="F972" s="12">
        <v>63486.63</v>
      </c>
      <c r="G972" s="12">
        <v>63486.63</v>
      </c>
      <c r="H972" s="12">
        <f t="shared" si="75"/>
        <v>0</v>
      </c>
      <c r="I972" s="10">
        <f t="shared" si="76"/>
        <v>20</v>
      </c>
      <c r="J972" s="10" t="str">
        <f t="shared" ca="1" si="77"/>
        <v>Paid</v>
      </c>
      <c r="K972" s="10">
        <f t="shared" ca="1" si="78"/>
        <v>0</v>
      </c>
      <c r="L972" s="10" t="str">
        <f t="shared" si="79"/>
        <v>Paid</v>
      </c>
      <c r="M972" s="11">
        <v>45717</v>
      </c>
      <c r="N972" s="11">
        <v>45778</v>
      </c>
    </row>
    <row r="973" spans="1:14" x14ac:dyDescent="0.25">
      <c r="A973" s="13" t="s">
        <v>1100</v>
      </c>
      <c r="B973" s="13" t="s">
        <v>265</v>
      </c>
      <c r="C973" s="14">
        <v>45733</v>
      </c>
      <c r="D973" s="14">
        <v>45763</v>
      </c>
      <c r="E973" s="14">
        <v>45770</v>
      </c>
      <c r="F973" s="15">
        <v>57683.88</v>
      </c>
      <c r="G973" s="15">
        <v>31554.41</v>
      </c>
      <c r="H973" s="15">
        <f t="shared" si="75"/>
        <v>26129.469999999998</v>
      </c>
      <c r="I973" s="13">
        <f t="shared" si="76"/>
        <v>7</v>
      </c>
      <c r="J973" s="13" t="str">
        <f t="shared" ca="1" si="77"/>
        <v>Overdue</v>
      </c>
      <c r="K973" s="13">
        <f t="shared" ca="1" si="78"/>
        <v>493</v>
      </c>
      <c r="L973" s="13" t="str">
        <f t="shared" ca="1" si="79"/>
        <v>120+ Days</v>
      </c>
      <c r="M973" s="14">
        <v>45717</v>
      </c>
      <c r="N973" s="14">
        <v>45748</v>
      </c>
    </row>
    <row r="974" spans="1:14" x14ac:dyDescent="0.25">
      <c r="A974" s="10" t="s">
        <v>1101</v>
      </c>
      <c r="B974" s="10" t="s">
        <v>331</v>
      </c>
      <c r="C974" s="11">
        <v>45738</v>
      </c>
      <c r="D974" s="11">
        <v>45768</v>
      </c>
      <c r="E974" s="11">
        <v>45781</v>
      </c>
      <c r="F974" s="12">
        <v>51552.14</v>
      </c>
      <c r="G974" s="12">
        <v>51552.14</v>
      </c>
      <c r="H974" s="12">
        <f t="shared" si="75"/>
        <v>0</v>
      </c>
      <c r="I974" s="10">
        <f t="shared" si="76"/>
        <v>13</v>
      </c>
      <c r="J974" s="10" t="str">
        <f t="shared" ca="1" si="77"/>
        <v>Paid</v>
      </c>
      <c r="K974" s="10">
        <f t="shared" ca="1" si="78"/>
        <v>0</v>
      </c>
      <c r="L974" s="10" t="str">
        <f t="shared" si="79"/>
        <v>Paid</v>
      </c>
      <c r="M974" s="11">
        <v>45717</v>
      </c>
      <c r="N974" s="11">
        <v>45778</v>
      </c>
    </row>
    <row r="975" spans="1:14" x14ac:dyDescent="0.25">
      <c r="A975" s="13" t="s">
        <v>1102</v>
      </c>
      <c r="B975" s="13" t="s">
        <v>79</v>
      </c>
      <c r="C975" s="14">
        <v>45717</v>
      </c>
      <c r="D975" s="14">
        <v>45747</v>
      </c>
      <c r="E975" s="14">
        <v>45773</v>
      </c>
      <c r="F975" s="15">
        <v>23189.69</v>
      </c>
      <c r="G975" s="15">
        <v>23189.69</v>
      </c>
      <c r="H975" s="15">
        <f t="shared" si="75"/>
        <v>0</v>
      </c>
      <c r="I975" s="13">
        <f t="shared" si="76"/>
        <v>26</v>
      </c>
      <c r="J975" s="13" t="str">
        <f t="shared" ca="1" si="77"/>
        <v>Paid</v>
      </c>
      <c r="K975" s="13">
        <f t="shared" ca="1" si="78"/>
        <v>0</v>
      </c>
      <c r="L975" s="13" t="str">
        <f t="shared" si="79"/>
        <v>Paid</v>
      </c>
      <c r="M975" s="14">
        <v>45717</v>
      </c>
      <c r="N975" s="14">
        <v>45748</v>
      </c>
    </row>
    <row r="976" spans="1:14" x14ac:dyDescent="0.25">
      <c r="A976" s="10" t="s">
        <v>1103</v>
      </c>
      <c r="B976" s="10" t="s">
        <v>233</v>
      </c>
      <c r="C976" s="11">
        <v>45721</v>
      </c>
      <c r="D976" s="11">
        <v>45751</v>
      </c>
      <c r="E976" s="11">
        <v>45764</v>
      </c>
      <c r="F976" s="12">
        <v>46925.17</v>
      </c>
      <c r="G976" s="12">
        <v>46925.17</v>
      </c>
      <c r="H976" s="12">
        <f t="shared" si="75"/>
        <v>0</v>
      </c>
      <c r="I976" s="10">
        <f t="shared" si="76"/>
        <v>13</v>
      </c>
      <c r="J976" s="10" t="str">
        <f t="shared" ca="1" si="77"/>
        <v>Paid</v>
      </c>
      <c r="K976" s="10">
        <f t="shared" ca="1" si="78"/>
        <v>0</v>
      </c>
      <c r="L976" s="10" t="str">
        <f t="shared" si="79"/>
        <v>Paid</v>
      </c>
      <c r="M976" s="11">
        <v>45717</v>
      </c>
      <c r="N976" s="11">
        <v>45748</v>
      </c>
    </row>
    <row r="977" spans="1:14" x14ac:dyDescent="0.25">
      <c r="A977" s="13" t="s">
        <v>1104</v>
      </c>
      <c r="B977" s="13" t="s">
        <v>113</v>
      </c>
      <c r="C977" s="14">
        <v>45733</v>
      </c>
      <c r="D977" s="14">
        <v>45763</v>
      </c>
      <c r="E977" s="14">
        <v>45763</v>
      </c>
      <c r="F977" s="15">
        <v>80291.960000000006</v>
      </c>
      <c r="G977" s="15">
        <v>80291.960000000006</v>
      </c>
      <c r="H977" s="15">
        <f t="shared" si="75"/>
        <v>0</v>
      </c>
      <c r="I977" s="13">
        <f t="shared" si="76"/>
        <v>0</v>
      </c>
      <c r="J977" s="13" t="str">
        <f t="shared" ca="1" si="77"/>
        <v>Paid</v>
      </c>
      <c r="K977" s="13">
        <f t="shared" ca="1" si="78"/>
        <v>0</v>
      </c>
      <c r="L977" s="13" t="str">
        <f t="shared" si="79"/>
        <v>Paid</v>
      </c>
      <c r="M977" s="14">
        <v>45717</v>
      </c>
      <c r="N977" s="14">
        <v>45748</v>
      </c>
    </row>
    <row r="978" spans="1:14" x14ac:dyDescent="0.25">
      <c r="A978" s="10" t="s">
        <v>1105</v>
      </c>
      <c r="B978" s="10" t="s">
        <v>215</v>
      </c>
      <c r="C978" s="11">
        <v>45734</v>
      </c>
      <c r="D978" s="11">
        <v>45764</v>
      </c>
      <c r="E978" s="11"/>
      <c r="F978" s="12">
        <v>39082.980000000003</v>
      </c>
      <c r="G978" s="12">
        <v>0</v>
      </c>
      <c r="H978" s="12">
        <f t="shared" si="75"/>
        <v>39082.980000000003</v>
      </c>
      <c r="I978" s="10" t="str">
        <f t="shared" si="76"/>
        <v/>
      </c>
      <c r="J978" s="10" t="str">
        <f t="shared" ca="1" si="77"/>
        <v>Overdue</v>
      </c>
      <c r="K978" s="10">
        <f t="shared" ca="1" si="78"/>
        <v>492</v>
      </c>
      <c r="L978" s="10" t="str">
        <f t="shared" ca="1" si="79"/>
        <v>120+ Days</v>
      </c>
      <c r="M978" s="11">
        <v>45717</v>
      </c>
      <c r="N978" s="11"/>
    </row>
    <row r="979" spans="1:14" x14ac:dyDescent="0.25">
      <c r="A979" s="13" t="s">
        <v>1106</v>
      </c>
      <c r="B979" s="13" t="s">
        <v>265</v>
      </c>
      <c r="C979" s="14">
        <v>45728</v>
      </c>
      <c r="D979" s="14">
        <v>45758</v>
      </c>
      <c r="E979" s="14">
        <v>45788</v>
      </c>
      <c r="F979" s="15">
        <v>29112.48</v>
      </c>
      <c r="G979" s="15">
        <v>29112.48</v>
      </c>
      <c r="H979" s="15">
        <f t="shared" si="75"/>
        <v>0</v>
      </c>
      <c r="I979" s="13">
        <f t="shared" si="76"/>
        <v>30</v>
      </c>
      <c r="J979" s="13" t="str">
        <f t="shared" ca="1" si="77"/>
        <v>Paid</v>
      </c>
      <c r="K979" s="13">
        <f t="shared" ca="1" si="78"/>
        <v>0</v>
      </c>
      <c r="L979" s="13" t="str">
        <f t="shared" si="79"/>
        <v>Paid</v>
      </c>
      <c r="M979" s="14">
        <v>45717</v>
      </c>
      <c r="N979" s="14">
        <v>45778</v>
      </c>
    </row>
    <row r="980" spans="1:14" x14ac:dyDescent="0.25">
      <c r="A980" s="10" t="s">
        <v>1107</v>
      </c>
      <c r="B980" s="10" t="s">
        <v>72</v>
      </c>
      <c r="C980" s="11">
        <v>45731</v>
      </c>
      <c r="D980" s="11">
        <v>45761</v>
      </c>
      <c r="E980" s="11"/>
      <c r="F980" s="12">
        <v>56795.42</v>
      </c>
      <c r="G980" s="12">
        <v>0</v>
      </c>
      <c r="H980" s="12">
        <f t="shared" si="75"/>
        <v>56795.42</v>
      </c>
      <c r="I980" s="10" t="str">
        <f t="shared" si="76"/>
        <v/>
      </c>
      <c r="J980" s="10" t="str">
        <f t="shared" ca="1" si="77"/>
        <v>Overdue</v>
      </c>
      <c r="K980" s="10">
        <f t="shared" ca="1" si="78"/>
        <v>495</v>
      </c>
      <c r="L980" s="10" t="str">
        <f t="shared" ca="1" si="79"/>
        <v>120+ Days</v>
      </c>
      <c r="M980" s="11">
        <v>45717</v>
      </c>
      <c r="N980" s="11"/>
    </row>
    <row r="981" spans="1:14" x14ac:dyDescent="0.25">
      <c r="A981" s="13" t="s">
        <v>1108</v>
      </c>
      <c r="B981" s="13" t="s">
        <v>220</v>
      </c>
      <c r="C981" s="14">
        <v>45741</v>
      </c>
      <c r="D981" s="14">
        <v>45771</v>
      </c>
      <c r="E981" s="14"/>
      <c r="F981" s="15">
        <v>34746.080000000002</v>
      </c>
      <c r="G981" s="15">
        <v>0</v>
      </c>
      <c r="H981" s="15">
        <f t="shared" si="75"/>
        <v>34746.080000000002</v>
      </c>
      <c r="I981" s="13" t="str">
        <f t="shared" si="76"/>
        <v/>
      </c>
      <c r="J981" s="13" t="str">
        <f t="shared" ca="1" si="77"/>
        <v>Overdue</v>
      </c>
      <c r="K981" s="13">
        <f t="shared" ca="1" si="78"/>
        <v>485</v>
      </c>
      <c r="L981" s="13" t="str">
        <f t="shared" ca="1" si="79"/>
        <v>120+ Days</v>
      </c>
      <c r="M981" s="14">
        <v>45717</v>
      </c>
      <c r="N981" s="14"/>
    </row>
    <row r="982" spans="1:14" x14ac:dyDescent="0.25">
      <c r="A982" s="10" t="s">
        <v>1109</v>
      </c>
      <c r="B982" s="10" t="s">
        <v>340</v>
      </c>
      <c r="C982" s="11">
        <v>45719</v>
      </c>
      <c r="D982" s="11">
        <v>45749</v>
      </c>
      <c r="E982" s="11">
        <v>45772</v>
      </c>
      <c r="F982" s="12">
        <v>60570.35</v>
      </c>
      <c r="G982" s="12">
        <v>60570.35</v>
      </c>
      <c r="H982" s="12">
        <f t="shared" si="75"/>
        <v>0</v>
      </c>
      <c r="I982" s="10">
        <f t="shared" si="76"/>
        <v>23</v>
      </c>
      <c r="J982" s="10" t="str">
        <f t="shared" ca="1" si="77"/>
        <v>Paid</v>
      </c>
      <c r="K982" s="10">
        <f t="shared" ca="1" si="78"/>
        <v>0</v>
      </c>
      <c r="L982" s="10" t="str">
        <f t="shared" si="79"/>
        <v>Paid</v>
      </c>
      <c r="M982" s="11">
        <v>45717</v>
      </c>
      <c r="N982" s="11">
        <v>45748</v>
      </c>
    </row>
    <row r="983" spans="1:14" x14ac:dyDescent="0.25">
      <c r="A983" s="13" t="s">
        <v>1110</v>
      </c>
      <c r="B983" s="13" t="s">
        <v>79</v>
      </c>
      <c r="C983" s="14">
        <v>45739</v>
      </c>
      <c r="D983" s="14">
        <v>45769</v>
      </c>
      <c r="E983" s="14">
        <v>45801</v>
      </c>
      <c r="F983" s="15">
        <v>25290.59</v>
      </c>
      <c r="G983" s="15">
        <v>25290.59</v>
      </c>
      <c r="H983" s="15">
        <f t="shared" si="75"/>
        <v>0</v>
      </c>
      <c r="I983" s="13">
        <f t="shared" si="76"/>
        <v>32</v>
      </c>
      <c r="J983" s="13" t="str">
        <f t="shared" ca="1" si="77"/>
        <v>Paid</v>
      </c>
      <c r="K983" s="13">
        <f t="shared" ca="1" si="78"/>
        <v>0</v>
      </c>
      <c r="L983" s="13" t="str">
        <f t="shared" si="79"/>
        <v>Paid</v>
      </c>
      <c r="M983" s="14">
        <v>45717</v>
      </c>
      <c r="N983" s="14">
        <v>45778</v>
      </c>
    </row>
    <row r="984" spans="1:14" x14ac:dyDescent="0.25">
      <c r="A984" s="10" t="s">
        <v>1111</v>
      </c>
      <c r="B984" s="10" t="s">
        <v>188</v>
      </c>
      <c r="C984" s="11">
        <v>45739</v>
      </c>
      <c r="D984" s="11">
        <v>45769</v>
      </c>
      <c r="E984" s="11">
        <v>45778</v>
      </c>
      <c r="F984" s="12">
        <v>9010.7099999999991</v>
      </c>
      <c r="G984" s="12">
        <v>9010.7099999999991</v>
      </c>
      <c r="H984" s="12">
        <f t="shared" si="75"/>
        <v>0</v>
      </c>
      <c r="I984" s="10">
        <f t="shared" si="76"/>
        <v>9</v>
      </c>
      <c r="J984" s="10" t="str">
        <f t="shared" ca="1" si="77"/>
        <v>Paid</v>
      </c>
      <c r="K984" s="10">
        <f t="shared" ca="1" si="78"/>
        <v>0</v>
      </c>
      <c r="L984" s="10" t="str">
        <f t="shared" si="79"/>
        <v>Paid</v>
      </c>
      <c r="M984" s="11">
        <v>45717</v>
      </c>
      <c r="N984" s="11">
        <v>45778</v>
      </c>
    </row>
    <row r="985" spans="1:14" x14ac:dyDescent="0.25">
      <c r="A985" s="13" t="s">
        <v>1112</v>
      </c>
      <c r="B985" s="13" t="s">
        <v>125</v>
      </c>
      <c r="C985" s="14">
        <v>45741</v>
      </c>
      <c r="D985" s="14">
        <v>45771</v>
      </c>
      <c r="E985" s="14">
        <v>45782</v>
      </c>
      <c r="F985" s="15">
        <v>36156.980000000003</v>
      </c>
      <c r="G985" s="15">
        <v>36156.980000000003</v>
      </c>
      <c r="H985" s="15">
        <f t="shared" si="75"/>
        <v>0</v>
      </c>
      <c r="I985" s="13">
        <f t="shared" si="76"/>
        <v>11</v>
      </c>
      <c r="J985" s="13" t="str">
        <f t="shared" ca="1" si="77"/>
        <v>Paid</v>
      </c>
      <c r="K985" s="13">
        <f t="shared" ca="1" si="78"/>
        <v>0</v>
      </c>
      <c r="L985" s="13" t="str">
        <f t="shared" si="79"/>
        <v>Paid</v>
      </c>
      <c r="M985" s="14">
        <v>45717</v>
      </c>
      <c r="N985" s="14">
        <v>45778</v>
      </c>
    </row>
    <row r="986" spans="1:14" x14ac:dyDescent="0.25">
      <c r="A986" s="10" t="s">
        <v>1113</v>
      </c>
      <c r="B986" s="10" t="s">
        <v>79</v>
      </c>
      <c r="C986" s="11">
        <v>45736</v>
      </c>
      <c r="D986" s="11">
        <v>45766</v>
      </c>
      <c r="E986" s="11">
        <v>45811</v>
      </c>
      <c r="F986" s="12">
        <v>28573.38</v>
      </c>
      <c r="G986" s="12">
        <v>28573.38</v>
      </c>
      <c r="H986" s="12">
        <f t="shared" si="75"/>
        <v>0</v>
      </c>
      <c r="I986" s="10">
        <f t="shared" si="76"/>
        <v>45</v>
      </c>
      <c r="J986" s="10" t="str">
        <f t="shared" ca="1" si="77"/>
        <v>Paid</v>
      </c>
      <c r="K986" s="10">
        <f t="shared" ca="1" si="78"/>
        <v>0</v>
      </c>
      <c r="L986" s="10" t="str">
        <f t="shared" si="79"/>
        <v>Paid</v>
      </c>
      <c r="M986" s="11">
        <v>45717</v>
      </c>
      <c r="N986" s="11">
        <v>45809</v>
      </c>
    </row>
    <row r="987" spans="1:14" x14ac:dyDescent="0.25">
      <c r="A987" s="13" t="s">
        <v>1114</v>
      </c>
      <c r="B987" s="13" t="s">
        <v>76</v>
      </c>
      <c r="C987" s="14">
        <v>45738</v>
      </c>
      <c r="D987" s="14">
        <v>45768</v>
      </c>
      <c r="E987" s="14"/>
      <c r="F987" s="15">
        <v>25524.54</v>
      </c>
      <c r="G987" s="15">
        <v>0</v>
      </c>
      <c r="H987" s="15">
        <f t="shared" si="75"/>
        <v>25524.54</v>
      </c>
      <c r="I987" s="13" t="str">
        <f t="shared" si="76"/>
        <v/>
      </c>
      <c r="J987" s="13" t="str">
        <f t="shared" ca="1" si="77"/>
        <v>Overdue</v>
      </c>
      <c r="K987" s="13">
        <f t="shared" ca="1" si="78"/>
        <v>488</v>
      </c>
      <c r="L987" s="13" t="str">
        <f t="shared" ca="1" si="79"/>
        <v>120+ Days</v>
      </c>
      <c r="M987" s="14">
        <v>45717</v>
      </c>
      <c r="N987" s="14"/>
    </row>
    <row r="988" spans="1:14" x14ac:dyDescent="0.25">
      <c r="A988" s="10" t="s">
        <v>1115</v>
      </c>
      <c r="B988" s="10" t="s">
        <v>188</v>
      </c>
      <c r="C988" s="11">
        <v>45731</v>
      </c>
      <c r="D988" s="11">
        <v>45761</v>
      </c>
      <c r="E988" s="11">
        <v>45782</v>
      </c>
      <c r="F988" s="12">
        <v>90056.54</v>
      </c>
      <c r="G988" s="12">
        <v>90056.54</v>
      </c>
      <c r="H988" s="12">
        <f t="shared" si="75"/>
        <v>0</v>
      </c>
      <c r="I988" s="10">
        <f t="shared" si="76"/>
        <v>21</v>
      </c>
      <c r="J988" s="10" t="str">
        <f t="shared" ca="1" si="77"/>
        <v>Paid</v>
      </c>
      <c r="K988" s="10">
        <f t="shared" ca="1" si="78"/>
        <v>0</v>
      </c>
      <c r="L988" s="10" t="str">
        <f t="shared" si="79"/>
        <v>Paid</v>
      </c>
      <c r="M988" s="11">
        <v>45717</v>
      </c>
      <c r="N988" s="11">
        <v>45778</v>
      </c>
    </row>
    <row r="989" spans="1:14" x14ac:dyDescent="0.25">
      <c r="A989" s="13" t="s">
        <v>1116</v>
      </c>
      <c r="B989" s="13" t="s">
        <v>244</v>
      </c>
      <c r="C989" s="14">
        <v>45731</v>
      </c>
      <c r="D989" s="14">
        <v>45761</v>
      </c>
      <c r="E989" s="14">
        <v>45822</v>
      </c>
      <c r="F989" s="15">
        <v>75176.100000000006</v>
      </c>
      <c r="G989" s="15">
        <v>75176.100000000006</v>
      </c>
      <c r="H989" s="15">
        <f t="shared" si="75"/>
        <v>0</v>
      </c>
      <c r="I989" s="13">
        <f t="shared" si="76"/>
        <v>61</v>
      </c>
      <c r="J989" s="13" t="str">
        <f t="shared" ca="1" si="77"/>
        <v>Paid</v>
      </c>
      <c r="K989" s="13">
        <f t="shared" ca="1" si="78"/>
        <v>0</v>
      </c>
      <c r="L989" s="13" t="str">
        <f t="shared" si="79"/>
        <v>Paid</v>
      </c>
      <c r="M989" s="14">
        <v>45717</v>
      </c>
      <c r="N989" s="14">
        <v>45809</v>
      </c>
    </row>
    <row r="990" spans="1:14" x14ac:dyDescent="0.25">
      <c r="A990" s="10" t="s">
        <v>1117</v>
      </c>
      <c r="B990" s="10" t="s">
        <v>117</v>
      </c>
      <c r="C990" s="11">
        <v>45721</v>
      </c>
      <c r="D990" s="11">
        <v>45751</v>
      </c>
      <c r="E990" s="11">
        <v>45782</v>
      </c>
      <c r="F990" s="12">
        <v>33166.559999999998</v>
      </c>
      <c r="G990" s="12">
        <v>33166.559999999998</v>
      </c>
      <c r="H990" s="12">
        <f t="shared" si="75"/>
        <v>0</v>
      </c>
      <c r="I990" s="10">
        <f t="shared" si="76"/>
        <v>31</v>
      </c>
      <c r="J990" s="10" t="str">
        <f t="shared" ca="1" si="77"/>
        <v>Paid</v>
      </c>
      <c r="K990" s="10">
        <f t="shared" ca="1" si="78"/>
        <v>0</v>
      </c>
      <c r="L990" s="10" t="str">
        <f t="shared" si="79"/>
        <v>Paid</v>
      </c>
      <c r="M990" s="11">
        <v>45717</v>
      </c>
      <c r="N990" s="11">
        <v>45778</v>
      </c>
    </row>
    <row r="991" spans="1:14" x14ac:dyDescent="0.25">
      <c r="A991" s="13" t="s">
        <v>1118</v>
      </c>
      <c r="B991" s="13" t="s">
        <v>131</v>
      </c>
      <c r="C991" s="14">
        <v>45725</v>
      </c>
      <c r="D991" s="14">
        <v>45755</v>
      </c>
      <c r="E991" s="14">
        <v>45778</v>
      </c>
      <c r="F991" s="15">
        <v>43451.88</v>
      </c>
      <c r="G991" s="15">
        <v>21290.94</v>
      </c>
      <c r="H991" s="15">
        <f t="shared" si="75"/>
        <v>22160.94</v>
      </c>
      <c r="I991" s="13">
        <f t="shared" si="76"/>
        <v>23</v>
      </c>
      <c r="J991" s="13" t="str">
        <f t="shared" ca="1" si="77"/>
        <v>Overdue</v>
      </c>
      <c r="K991" s="13">
        <f t="shared" ca="1" si="78"/>
        <v>501</v>
      </c>
      <c r="L991" s="13" t="str">
        <f t="shared" ca="1" si="79"/>
        <v>120+ Days</v>
      </c>
      <c r="M991" s="14">
        <v>45717</v>
      </c>
      <c r="N991" s="14">
        <v>45778</v>
      </c>
    </row>
    <row r="992" spans="1:14" x14ac:dyDescent="0.25">
      <c r="A992" s="10" t="s">
        <v>1119</v>
      </c>
      <c r="B992" s="10" t="s">
        <v>169</v>
      </c>
      <c r="C992" s="11">
        <v>45721</v>
      </c>
      <c r="D992" s="11">
        <v>45751</v>
      </c>
      <c r="E992" s="11">
        <v>45779</v>
      </c>
      <c r="F992" s="12">
        <v>34620.31</v>
      </c>
      <c r="G992" s="12">
        <v>34620.31</v>
      </c>
      <c r="H992" s="12">
        <f t="shared" si="75"/>
        <v>0</v>
      </c>
      <c r="I992" s="10">
        <f t="shared" si="76"/>
        <v>28</v>
      </c>
      <c r="J992" s="10" t="str">
        <f t="shared" ca="1" si="77"/>
        <v>Paid</v>
      </c>
      <c r="K992" s="10">
        <f t="shared" ca="1" si="78"/>
        <v>0</v>
      </c>
      <c r="L992" s="10" t="str">
        <f t="shared" si="79"/>
        <v>Paid</v>
      </c>
      <c r="M992" s="11">
        <v>45717</v>
      </c>
      <c r="N992" s="11">
        <v>45778</v>
      </c>
    </row>
    <row r="993" spans="1:14" x14ac:dyDescent="0.25">
      <c r="A993" s="13" t="s">
        <v>1120</v>
      </c>
      <c r="B993" s="13" t="s">
        <v>140</v>
      </c>
      <c r="C993" s="14">
        <v>45726</v>
      </c>
      <c r="D993" s="14">
        <v>45756</v>
      </c>
      <c r="E993" s="14">
        <v>45760</v>
      </c>
      <c r="F993" s="15">
        <v>44577.95</v>
      </c>
      <c r="G993" s="15">
        <v>44577.95</v>
      </c>
      <c r="H993" s="15">
        <f t="shared" si="75"/>
        <v>0</v>
      </c>
      <c r="I993" s="13">
        <f t="shared" si="76"/>
        <v>4</v>
      </c>
      <c r="J993" s="13" t="str">
        <f t="shared" ca="1" si="77"/>
        <v>Paid</v>
      </c>
      <c r="K993" s="13">
        <f t="shared" ca="1" si="78"/>
        <v>0</v>
      </c>
      <c r="L993" s="13" t="str">
        <f t="shared" si="79"/>
        <v>Paid</v>
      </c>
      <c r="M993" s="14">
        <v>45717</v>
      </c>
      <c r="N993" s="14">
        <v>45748</v>
      </c>
    </row>
    <row r="994" spans="1:14" x14ac:dyDescent="0.25">
      <c r="A994" s="10" t="s">
        <v>1121</v>
      </c>
      <c r="B994" s="10" t="s">
        <v>140</v>
      </c>
      <c r="C994" s="11">
        <v>45719</v>
      </c>
      <c r="D994" s="11">
        <v>45749</v>
      </c>
      <c r="E994" s="11">
        <v>45754</v>
      </c>
      <c r="F994" s="12">
        <v>34777.56</v>
      </c>
      <c r="G994" s="12">
        <v>34777.56</v>
      </c>
      <c r="H994" s="12">
        <f t="shared" si="75"/>
        <v>0</v>
      </c>
      <c r="I994" s="10">
        <f t="shared" si="76"/>
        <v>5</v>
      </c>
      <c r="J994" s="10" t="str">
        <f t="shared" ca="1" si="77"/>
        <v>Paid</v>
      </c>
      <c r="K994" s="10">
        <f t="shared" ca="1" si="78"/>
        <v>0</v>
      </c>
      <c r="L994" s="10" t="str">
        <f t="shared" si="79"/>
        <v>Paid</v>
      </c>
      <c r="M994" s="11">
        <v>45717</v>
      </c>
      <c r="N994" s="11">
        <v>45748</v>
      </c>
    </row>
    <row r="995" spans="1:14" x14ac:dyDescent="0.25">
      <c r="A995" s="13" t="s">
        <v>1122</v>
      </c>
      <c r="B995" s="13" t="s">
        <v>184</v>
      </c>
      <c r="C995" s="14">
        <v>45741</v>
      </c>
      <c r="D995" s="14">
        <v>45771</v>
      </c>
      <c r="E995" s="14">
        <v>45800</v>
      </c>
      <c r="F995" s="15">
        <v>44928.08</v>
      </c>
      <c r="G995" s="15">
        <v>44928.08</v>
      </c>
      <c r="H995" s="15">
        <f t="shared" si="75"/>
        <v>0</v>
      </c>
      <c r="I995" s="13">
        <f t="shared" si="76"/>
        <v>29</v>
      </c>
      <c r="J995" s="13" t="str">
        <f t="shared" ca="1" si="77"/>
        <v>Paid</v>
      </c>
      <c r="K995" s="13">
        <f t="shared" ca="1" si="78"/>
        <v>0</v>
      </c>
      <c r="L995" s="13" t="str">
        <f t="shared" si="79"/>
        <v>Paid</v>
      </c>
      <c r="M995" s="14">
        <v>45717</v>
      </c>
      <c r="N995" s="14">
        <v>45778</v>
      </c>
    </row>
    <row r="996" spans="1:14" x14ac:dyDescent="0.25">
      <c r="A996" s="10" t="s">
        <v>1123</v>
      </c>
      <c r="B996" s="10" t="s">
        <v>109</v>
      </c>
      <c r="C996" s="11">
        <v>45729</v>
      </c>
      <c r="D996" s="11">
        <v>45759</v>
      </c>
      <c r="E996" s="11">
        <v>45768</v>
      </c>
      <c r="F996" s="12">
        <v>36254.11</v>
      </c>
      <c r="G996" s="12">
        <v>29806.49</v>
      </c>
      <c r="H996" s="12">
        <f t="shared" si="75"/>
        <v>6447.619999999999</v>
      </c>
      <c r="I996" s="10">
        <f t="shared" si="76"/>
        <v>9</v>
      </c>
      <c r="J996" s="10" t="str">
        <f t="shared" ca="1" si="77"/>
        <v>Overdue</v>
      </c>
      <c r="K996" s="10">
        <f t="shared" ca="1" si="78"/>
        <v>497</v>
      </c>
      <c r="L996" s="10" t="str">
        <f t="shared" ca="1" si="79"/>
        <v>120+ Days</v>
      </c>
      <c r="M996" s="11">
        <v>45717</v>
      </c>
      <c r="N996" s="11">
        <v>45748</v>
      </c>
    </row>
    <row r="997" spans="1:14" x14ac:dyDescent="0.25">
      <c r="A997" s="13" t="s">
        <v>1124</v>
      </c>
      <c r="B997" s="13" t="s">
        <v>198</v>
      </c>
      <c r="C997" s="14">
        <v>45726</v>
      </c>
      <c r="D997" s="14">
        <v>45756</v>
      </c>
      <c r="E997" s="14">
        <v>45756</v>
      </c>
      <c r="F997" s="15">
        <v>24440.85</v>
      </c>
      <c r="G997" s="15">
        <v>24440.85</v>
      </c>
      <c r="H997" s="15">
        <f t="shared" si="75"/>
        <v>0</v>
      </c>
      <c r="I997" s="13">
        <f t="shared" si="76"/>
        <v>0</v>
      </c>
      <c r="J997" s="13" t="str">
        <f t="shared" ca="1" si="77"/>
        <v>Paid</v>
      </c>
      <c r="K997" s="13">
        <f t="shared" ca="1" si="78"/>
        <v>0</v>
      </c>
      <c r="L997" s="13" t="str">
        <f t="shared" si="79"/>
        <v>Paid</v>
      </c>
      <c r="M997" s="14">
        <v>45717</v>
      </c>
      <c r="N997" s="14">
        <v>45748</v>
      </c>
    </row>
    <row r="998" spans="1:14" x14ac:dyDescent="0.25">
      <c r="A998" s="10" t="s">
        <v>1125</v>
      </c>
      <c r="B998" s="10" t="s">
        <v>125</v>
      </c>
      <c r="C998" s="11">
        <v>45725</v>
      </c>
      <c r="D998" s="11">
        <v>45755</v>
      </c>
      <c r="E998" s="11"/>
      <c r="F998" s="12">
        <v>31520.61</v>
      </c>
      <c r="G998" s="12">
        <v>0</v>
      </c>
      <c r="H998" s="12">
        <f t="shared" si="75"/>
        <v>31520.61</v>
      </c>
      <c r="I998" s="10" t="str">
        <f t="shared" si="76"/>
        <v/>
      </c>
      <c r="J998" s="10" t="str">
        <f t="shared" ca="1" si="77"/>
        <v>Overdue</v>
      </c>
      <c r="K998" s="10">
        <f t="shared" ca="1" si="78"/>
        <v>501</v>
      </c>
      <c r="L998" s="10" t="str">
        <f t="shared" ca="1" si="79"/>
        <v>120+ Days</v>
      </c>
      <c r="M998" s="11">
        <v>45717</v>
      </c>
      <c r="N998" s="11"/>
    </row>
    <row r="999" spans="1:14" x14ac:dyDescent="0.25">
      <c r="A999" s="13" t="s">
        <v>1126</v>
      </c>
      <c r="B999" s="13" t="s">
        <v>125</v>
      </c>
      <c r="C999" s="14">
        <v>45733</v>
      </c>
      <c r="D999" s="14">
        <v>45763</v>
      </c>
      <c r="E999" s="14">
        <v>45770</v>
      </c>
      <c r="F999" s="15">
        <v>13633.9</v>
      </c>
      <c r="G999" s="15">
        <v>13633.9</v>
      </c>
      <c r="H999" s="15">
        <f t="shared" si="75"/>
        <v>0</v>
      </c>
      <c r="I999" s="13">
        <f t="shared" si="76"/>
        <v>7</v>
      </c>
      <c r="J999" s="13" t="str">
        <f t="shared" ca="1" si="77"/>
        <v>Paid</v>
      </c>
      <c r="K999" s="13">
        <f t="shared" ca="1" si="78"/>
        <v>0</v>
      </c>
      <c r="L999" s="13" t="str">
        <f t="shared" si="79"/>
        <v>Paid</v>
      </c>
      <c r="M999" s="14">
        <v>45717</v>
      </c>
      <c r="N999" s="14">
        <v>45748</v>
      </c>
    </row>
    <row r="1000" spans="1:14" x14ac:dyDescent="0.25">
      <c r="A1000" s="10" t="s">
        <v>1127</v>
      </c>
      <c r="B1000" s="10" t="s">
        <v>111</v>
      </c>
      <c r="C1000" s="11">
        <v>45740</v>
      </c>
      <c r="D1000" s="11">
        <v>45770</v>
      </c>
      <c r="E1000" s="11"/>
      <c r="F1000" s="12">
        <v>47436.45</v>
      </c>
      <c r="G1000" s="12">
        <v>0</v>
      </c>
      <c r="H1000" s="12">
        <f t="shared" si="75"/>
        <v>47436.45</v>
      </c>
      <c r="I1000" s="10" t="str">
        <f t="shared" si="76"/>
        <v/>
      </c>
      <c r="J1000" s="10" t="str">
        <f t="shared" ca="1" si="77"/>
        <v>Overdue</v>
      </c>
      <c r="K1000" s="10">
        <f t="shared" ca="1" si="78"/>
        <v>486</v>
      </c>
      <c r="L1000" s="10" t="str">
        <f t="shared" ca="1" si="79"/>
        <v>120+ Days</v>
      </c>
      <c r="M1000" s="11">
        <v>45717</v>
      </c>
      <c r="N1000" s="11"/>
    </row>
    <row r="1001" spans="1:14" x14ac:dyDescent="0.25">
      <c r="A1001" s="13" t="s">
        <v>1128</v>
      </c>
      <c r="B1001" s="13" t="s">
        <v>131</v>
      </c>
      <c r="C1001" s="14">
        <v>45724</v>
      </c>
      <c r="D1001" s="14">
        <v>45754</v>
      </c>
      <c r="E1001" s="14">
        <v>45785</v>
      </c>
      <c r="F1001" s="15">
        <v>56543.33</v>
      </c>
      <c r="G1001" s="15">
        <v>56543.33</v>
      </c>
      <c r="H1001" s="15">
        <f t="shared" si="75"/>
        <v>0</v>
      </c>
      <c r="I1001" s="13">
        <f t="shared" si="76"/>
        <v>31</v>
      </c>
      <c r="J1001" s="13" t="str">
        <f t="shared" ca="1" si="77"/>
        <v>Paid</v>
      </c>
      <c r="K1001" s="13">
        <f t="shared" ca="1" si="78"/>
        <v>0</v>
      </c>
      <c r="L1001" s="13" t="str">
        <f t="shared" si="79"/>
        <v>Paid</v>
      </c>
      <c r="M1001" s="14">
        <v>45717</v>
      </c>
      <c r="N1001" s="14">
        <v>45778</v>
      </c>
    </row>
    <row r="1002" spans="1:14" x14ac:dyDescent="0.25">
      <c r="A1002" s="10" t="s">
        <v>1129</v>
      </c>
      <c r="B1002" s="10" t="s">
        <v>93</v>
      </c>
      <c r="C1002" s="11">
        <v>45718</v>
      </c>
      <c r="D1002" s="11">
        <v>45748</v>
      </c>
      <c r="E1002" s="11"/>
      <c r="F1002" s="12">
        <v>20933.27</v>
      </c>
      <c r="G1002" s="12">
        <v>0</v>
      </c>
      <c r="H1002" s="12">
        <f t="shared" si="75"/>
        <v>20933.27</v>
      </c>
      <c r="I1002" s="10" t="str">
        <f t="shared" si="76"/>
        <v/>
      </c>
      <c r="J1002" s="10" t="str">
        <f t="shared" ca="1" si="77"/>
        <v>Overdue</v>
      </c>
      <c r="K1002" s="10">
        <f t="shared" ca="1" si="78"/>
        <v>508</v>
      </c>
      <c r="L1002" s="10" t="str">
        <f t="shared" ca="1" si="79"/>
        <v>120+ Days</v>
      </c>
      <c r="M1002" s="11">
        <v>45717</v>
      </c>
      <c r="N1002" s="11"/>
    </row>
    <row r="1003" spans="1:14" x14ac:dyDescent="0.25">
      <c r="A1003" s="13" t="s">
        <v>1130</v>
      </c>
      <c r="B1003" s="13" t="s">
        <v>81</v>
      </c>
      <c r="C1003" s="14">
        <v>45733</v>
      </c>
      <c r="D1003" s="14">
        <v>45763</v>
      </c>
      <c r="E1003" s="14">
        <v>45799</v>
      </c>
      <c r="F1003" s="15">
        <v>95351.78</v>
      </c>
      <c r="G1003" s="15">
        <v>95351.78</v>
      </c>
      <c r="H1003" s="15">
        <f t="shared" si="75"/>
        <v>0</v>
      </c>
      <c r="I1003" s="13">
        <f t="shared" si="76"/>
        <v>36</v>
      </c>
      <c r="J1003" s="13" t="str">
        <f t="shared" ca="1" si="77"/>
        <v>Paid</v>
      </c>
      <c r="K1003" s="13">
        <f t="shared" ca="1" si="78"/>
        <v>0</v>
      </c>
      <c r="L1003" s="13" t="str">
        <f t="shared" si="79"/>
        <v>Paid</v>
      </c>
      <c r="M1003" s="14">
        <v>45717</v>
      </c>
      <c r="N1003" s="14">
        <v>45778</v>
      </c>
    </row>
    <row r="1004" spans="1:14" x14ac:dyDescent="0.25">
      <c r="A1004" s="10" t="s">
        <v>1131</v>
      </c>
      <c r="B1004" s="10" t="s">
        <v>72</v>
      </c>
      <c r="C1004" s="11">
        <v>45731</v>
      </c>
      <c r="D1004" s="11">
        <v>45761</v>
      </c>
      <c r="E1004" s="11">
        <v>45807</v>
      </c>
      <c r="F1004" s="12">
        <v>21708.97</v>
      </c>
      <c r="G1004" s="12">
        <v>21708.97</v>
      </c>
      <c r="H1004" s="12">
        <f t="shared" si="75"/>
        <v>0</v>
      </c>
      <c r="I1004" s="10">
        <f t="shared" si="76"/>
        <v>46</v>
      </c>
      <c r="J1004" s="10" t="str">
        <f t="shared" ca="1" si="77"/>
        <v>Paid</v>
      </c>
      <c r="K1004" s="10">
        <f t="shared" ca="1" si="78"/>
        <v>0</v>
      </c>
      <c r="L1004" s="10" t="str">
        <f t="shared" si="79"/>
        <v>Paid</v>
      </c>
      <c r="M1004" s="11">
        <v>45717</v>
      </c>
      <c r="N1004" s="11">
        <v>45778</v>
      </c>
    </row>
    <row r="1005" spans="1:14" x14ac:dyDescent="0.25">
      <c r="A1005" s="13" t="s">
        <v>1132</v>
      </c>
      <c r="B1005" s="13" t="s">
        <v>233</v>
      </c>
      <c r="C1005" s="14">
        <v>45720</v>
      </c>
      <c r="D1005" s="14">
        <v>45750</v>
      </c>
      <c r="E1005" s="14">
        <v>45771</v>
      </c>
      <c r="F1005" s="15">
        <v>18896.080000000002</v>
      </c>
      <c r="G1005" s="15">
        <v>18896.080000000002</v>
      </c>
      <c r="H1005" s="15">
        <f t="shared" si="75"/>
        <v>0</v>
      </c>
      <c r="I1005" s="13">
        <f t="shared" si="76"/>
        <v>21</v>
      </c>
      <c r="J1005" s="13" t="str">
        <f t="shared" ca="1" si="77"/>
        <v>Paid</v>
      </c>
      <c r="K1005" s="13">
        <f t="shared" ca="1" si="78"/>
        <v>0</v>
      </c>
      <c r="L1005" s="13" t="str">
        <f t="shared" si="79"/>
        <v>Paid</v>
      </c>
      <c r="M1005" s="14">
        <v>45717</v>
      </c>
      <c r="N1005" s="14">
        <v>45748</v>
      </c>
    </row>
    <row r="1006" spans="1:14" x14ac:dyDescent="0.25">
      <c r="A1006" s="10" t="s">
        <v>1133</v>
      </c>
      <c r="B1006" s="10" t="s">
        <v>198</v>
      </c>
      <c r="C1006" s="11">
        <v>45722</v>
      </c>
      <c r="D1006" s="11">
        <v>45752</v>
      </c>
      <c r="E1006" s="11"/>
      <c r="F1006" s="12">
        <v>45513.06</v>
      </c>
      <c r="G1006" s="12">
        <v>0</v>
      </c>
      <c r="H1006" s="12">
        <f t="shared" si="75"/>
        <v>45513.06</v>
      </c>
      <c r="I1006" s="10" t="str">
        <f t="shared" si="76"/>
        <v/>
      </c>
      <c r="J1006" s="10" t="str">
        <f t="shared" ca="1" si="77"/>
        <v>Overdue</v>
      </c>
      <c r="K1006" s="10">
        <f t="shared" ca="1" si="78"/>
        <v>504</v>
      </c>
      <c r="L1006" s="10" t="str">
        <f t="shared" ca="1" si="79"/>
        <v>120+ Days</v>
      </c>
      <c r="M1006" s="11">
        <v>45717</v>
      </c>
      <c r="N1006" s="11"/>
    </row>
    <row r="1007" spans="1:14" x14ac:dyDescent="0.25">
      <c r="A1007" s="13" t="s">
        <v>1134</v>
      </c>
      <c r="B1007" s="13" t="s">
        <v>153</v>
      </c>
      <c r="C1007" s="14">
        <v>45728</v>
      </c>
      <c r="D1007" s="14">
        <v>45758</v>
      </c>
      <c r="E1007" s="14">
        <v>45807</v>
      </c>
      <c r="F1007" s="15">
        <v>44936.72</v>
      </c>
      <c r="G1007" s="15">
        <v>44936.72</v>
      </c>
      <c r="H1007" s="15">
        <f t="shared" si="75"/>
        <v>0</v>
      </c>
      <c r="I1007" s="13">
        <f t="shared" si="76"/>
        <v>49</v>
      </c>
      <c r="J1007" s="13" t="str">
        <f t="shared" ca="1" si="77"/>
        <v>Paid</v>
      </c>
      <c r="K1007" s="13">
        <f t="shared" ca="1" si="78"/>
        <v>0</v>
      </c>
      <c r="L1007" s="13" t="str">
        <f t="shared" si="79"/>
        <v>Paid</v>
      </c>
      <c r="M1007" s="14">
        <v>45717</v>
      </c>
      <c r="N1007" s="14">
        <v>45778</v>
      </c>
    </row>
    <row r="1008" spans="1:14" x14ac:dyDescent="0.25">
      <c r="A1008" s="10" t="s">
        <v>1135</v>
      </c>
      <c r="B1008" s="10" t="s">
        <v>136</v>
      </c>
      <c r="C1008" s="11">
        <v>45732</v>
      </c>
      <c r="D1008" s="11">
        <v>45762</v>
      </c>
      <c r="E1008" s="11">
        <v>45790</v>
      </c>
      <c r="F1008" s="12">
        <v>75333.53</v>
      </c>
      <c r="G1008" s="12">
        <v>75333.53</v>
      </c>
      <c r="H1008" s="12">
        <f t="shared" si="75"/>
        <v>0</v>
      </c>
      <c r="I1008" s="10">
        <f t="shared" si="76"/>
        <v>28</v>
      </c>
      <c r="J1008" s="10" t="str">
        <f t="shared" ca="1" si="77"/>
        <v>Paid</v>
      </c>
      <c r="K1008" s="10">
        <f t="shared" ca="1" si="78"/>
        <v>0</v>
      </c>
      <c r="L1008" s="10" t="str">
        <f t="shared" si="79"/>
        <v>Paid</v>
      </c>
      <c r="M1008" s="11">
        <v>45717</v>
      </c>
      <c r="N1008" s="11">
        <v>45778</v>
      </c>
    </row>
    <row r="1009" spans="1:14" x14ac:dyDescent="0.25">
      <c r="A1009" s="13" t="s">
        <v>1136</v>
      </c>
      <c r="B1009" s="13" t="s">
        <v>129</v>
      </c>
      <c r="C1009" s="14">
        <v>45719</v>
      </c>
      <c r="D1009" s="14">
        <v>45749</v>
      </c>
      <c r="E1009" s="14">
        <v>45752</v>
      </c>
      <c r="F1009" s="15">
        <v>22256.78</v>
      </c>
      <c r="G1009" s="15">
        <v>22256.78</v>
      </c>
      <c r="H1009" s="15">
        <f t="shared" si="75"/>
        <v>0</v>
      </c>
      <c r="I1009" s="13">
        <f t="shared" si="76"/>
        <v>3</v>
      </c>
      <c r="J1009" s="13" t="str">
        <f t="shared" ca="1" si="77"/>
        <v>Paid</v>
      </c>
      <c r="K1009" s="13">
        <f t="shared" ca="1" si="78"/>
        <v>0</v>
      </c>
      <c r="L1009" s="13" t="str">
        <f t="shared" si="79"/>
        <v>Paid</v>
      </c>
      <c r="M1009" s="14">
        <v>45717</v>
      </c>
      <c r="N1009" s="14">
        <v>45748</v>
      </c>
    </row>
    <row r="1010" spans="1:14" x14ac:dyDescent="0.25">
      <c r="A1010" s="10" t="s">
        <v>1137</v>
      </c>
      <c r="B1010" s="10" t="s">
        <v>83</v>
      </c>
      <c r="C1010" s="11">
        <v>45733</v>
      </c>
      <c r="D1010" s="11">
        <v>45763</v>
      </c>
      <c r="E1010" s="11">
        <v>45763</v>
      </c>
      <c r="F1010" s="12">
        <v>19564.53</v>
      </c>
      <c r="G1010" s="12">
        <v>19564.53</v>
      </c>
      <c r="H1010" s="12">
        <f t="shared" si="75"/>
        <v>0</v>
      </c>
      <c r="I1010" s="10">
        <f t="shared" si="76"/>
        <v>0</v>
      </c>
      <c r="J1010" s="10" t="str">
        <f t="shared" ca="1" si="77"/>
        <v>Paid</v>
      </c>
      <c r="K1010" s="10">
        <f t="shared" ca="1" si="78"/>
        <v>0</v>
      </c>
      <c r="L1010" s="10" t="str">
        <f t="shared" si="79"/>
        <v>Paid</v>
      </c>
      <c r="M1010" s="11">
        <v>45717</v>
      </c>
      <c r="N1010" s="11">
        <v>45748</v>
      </c>
    </row>
    <row r="1011" spans="1:14" x14ac:dyDescent="0.25">
      <c r="A1011" s="13" t="s">
        <v>1138</v>
      </c>
      <c r="B1011" s="13" t="s">
        <v>161</v>
      </c>
      <c r="C1011" s="14">
        <v>45728</v>
      </c>
      <c r="D1011" s="14">
        <v>45758</v>
      </c>
      <c r="E1011" s="14">
        <v>45758</v>
      </c>
      <c r="F1011" s="15">
        <v>21354.32</v>
      </c>
      <c r="G1011" s="15">
        <v>21354.32</v>
      </c>
      <c r="H1011" s="15">
        <f t="shared" si="75"/>
        <v>0</v>
      </c>
      <c r="I1011" s="13">
        <f t="shared" si="76"/>
        <v>0</v>
      </c>
      <c r="J1011" s="13" t="str">
        <f t="shared" ca="1" si="77"/>
        <v>Paid</v>
      </c>
      <c r="K1011" s="13">
        <f t="shared" ca="1" si="78"/>
        <v>0</v>
      </c>
      <c r="L1011" s="13" t="str">
        <f t="shared" si="79"/>
        <v>Paid</v>
      </c>
      <c r="M1011" s="14">
        <v>45717</v>
      </c>
      <c r="N1011" s="14">
        <v>45748</v>
      </c>
    </row>
    <row r="1012" spans="1:14" x14ac:dyDescent="0.25">
      <c r="A1012" s="10" t="s">
        <v>1139</v>
      </c>
      <c r="B1012" s="10" t="s">
        <v>340</v>
      </c>
      <c r="C1012" s="11">
        <v>45718</v>
      </c>
      <c r="D1012" s="11">
        <v>45748</v>
      </c>
      <c r="E1012" s="11"/>
      <c r="F1012" s="12">
        <v>102231.41</v>
      </c>
      <c r="G1012" s="12">
        <v>0</v>
      </c>
      <c r="H1012" s="12">
        <f t="shared" si="75"/>
        <v>102231.41</v>
      </c>
      <c r="I1012" s="10" t="str">
        <f t="shared" si="76"/>
        <v/>
      </c>
      <c r="J1012" s="10" t="str">
        <f t="shared" ca="1" si="77"/>
        <v>Overdue</v>
      </c>
      <c r="K1012" s="10">
        <f t="shared" ca="1" si="78"/>
        <v>508</v>
      </c>
      <c r="L1012" s="10" t="str">
        <f t="shared" ca="1" si="79"/>
        <v>120+ Days</v>
      </c>
      <c r="M1012" s="11">
        <v>45717</v>
      </c>
      <c r="N1012" s="11"/>
    </row>
    <row r="1013" spans="1:14" x14ac:dyDescent="0.25">
      <c r="A1013" s="13" t="s">
        <v>1140</v>
      </c>
      <c r="B1013" s="13" t="s">
        <v>314</v>
      </c>
      <c r="C1013" s="14">
        <v>45743</v>
      </c>
      <c r="D1013" s="14">
        <v>45773</v>
      </c>
      <c r="E1013" s="14">
        <v>45810</v>
      </c>
      <c r="F1013" s="15">
        <v>45550.43</v>
      </c>
      <c r="G1013" s="15">
        <v>45550.43</v>
      </c>
      <c r="H1013" s="15">
        <f t="shared" si="75"/>
        <v>0</v>
      </c>
      <c r="I1013" s="13">
        <f t="shared" si="76"/>
        <v>37</v>
      </c>
      <c r="J1013" s="13" t="str">
        <f t="shared" ca="1" si="77"/>
        <v>Paid</v>
      </c>
      <c r="K1013" s="13">
        <f t="shared" ca="1" si="78"/>
        <v>0</v>
      </c>
      <c r="L1013" s="13" t="str">
        <f t="shared" si="79"/>
        <v>Paid</v>
      </c>
      <c r="M1013" s="14">
        <v>45717</v>
      </c>
      <c r="N1013" s="14">
        <v>45809</v>
      </c>
    </row>
    <row r="1014" spans="1:14" x14ac:dyDescent="0.25">
      <c r="A1014" s="10" t="s">
        <v>1141</v>
      </c>
      <c r="B1014" s="10" t="s">
        <v>117</v>
      </c>
      <c r="C1014" s="11">
        <v>45717</v>
      </c>
      <c r="D1014" s="11">
        <v>45747</v>
      </c>
      <c r="E1014" s="11">
        <v>45811</v>
      </c>
      <c r="F1014" s="12">
        <v>33621.370000000003</v>
      </c>
      <c r="G1014" s="12">
        <v>33621.370000000003</v>
      </c>
      <c r="H1014" s="12">
        <f t="shared" si="75"/>
        <v>0</v>
      </c>
      <c r="I1014" s="10">
        <f t="shared" si="76"/>
        <v>64</v>
      </c>
      <c r="J1014" s="10" t="str">
        <f t="shared" ca="1" si="77"/>
        <v>Paid</v>
      </c>
      <c r="K1014" s="10">
        <f t="shared" ca="1" si="78"/>
        <v>0</v>
      </c>
      <c r="L1014" s="10" t="str">
        <f t="shared" si="79"/>
        <v>Paid</v>
      </c>
      <c r="M1014" s="11">
        <v>45717</v>
      </c>
      <c r="N1014" s="11">
        <v>45809</v>
      </c>
    </row>
    <row r="1015" spans="1:14" x14ac:dyDescent="0.25">
      <c r="A1015" s="13" t="s">
        <v>1142</v>
      </c>
      <c r="B1015" s="13" t="s">
        <v>314</v>
      </c>
      <c r="C1015" s="14">
        <v>45723</v>
      </c>
      <c r="D1015" s="14">
        <v>45753</v>
      </c>
      <c r="E1015" s="14">
        <v>45765</v>
      </c>
      <c r="F1015" s="15">
        <v>15880.05</v>
      </c>
      <c r="G1015" s="15">
        <v>15880.05</v>
      </c>
      <c r="H1015" s="15">
        <f t="shared" si="75"/>
        <v>0</v>
      </c>
      <c r="I1015" s="13">
        <f t="shared" si="76"/>
        <v>12</v>
      </c>
      <c r="J1015" s="13" t="str">
        <f t="shared" ca="1" si="77"/>
        <v>Paid</v>
      </c>
      <c r="K1015" s="13">
        <f t="shared" ca="1" si="78"/>
        <v>0</v>
      </c>
      <c r="L1015" s="13" t="str">
        <f t="shared" si="79"/>
        <v>Paid</v>
      </c>
      <c r="M1015" s="14">
        <v>45717</v>
      </c>
      <c r="N1015" s="14">
        <v>45748</v>
      </c>
    </row>
    <row r="1016" spans="1:14" x14ac:dyDescent="0.25">
      <c r="A1016" s="10" t="s">
        <v>1143</v>
      </c>
      <c r="B1016" s="10" t="s">
        <v>95</v>
      </c>
      <c r="C1016" s="11">
        <v>45724</v>
      </c>
      <c r="D1016" s="11">
        <v>45754</v>
      </c>
      <c r="E1016" s="11">
        <v>45774</v>
      </c>
      <c r="F1016" s="12">
        <v>80332.27</v>
      </c>
      <c r="G1016" s="12">
        <v>80332.27</v>
      </c>
      <c r="H1016" s="12">
        <f t="shared" si="75"/>
        <v>0</v>
      </c>
      <c r="I1016" s="10">
        <f t="shared" si="76"/>
        <v>20</v>
      </c>
      <c r="J1016" s="10" t="str">
        <f t="shared" ca="1" si="77"/>
        <v>Paid</v>
      </c>
      <c r="K1016" s="10">
        <f t="shared" ca="1" si="78"/>
        <v>0</v>
      </c>
      <c r="L1016" s="10" t="str">
        <f t="shared" si="79"/>
        <v>Paid</v>
      </c>
      <c r="M1016" s="11">
        <v>45717</v>
      </c>
      <c r="N1016" s="11">
        <v>45748</v>
      </c>
    </row>
    <row r="1017" spans="1:14" x14ac:dyDescent="0.25">
      <c r="A1017" s="13" t="s">
        <v>1144</v>
      </c>
      <c r="B1017" s="13" t="s">
        <v>107</v>
      </c>
      <c r="C1017" s="14">
        <v>45726</v>
      </c>
      <c r="D1017" s="14">
        <v>45756</v>
      </c>
      <c r="E1017" s="14">
        <v>45759</v>
      </c>
      <c r="F1017" s="15">
        <v>18467.490000000002</v>
      </c>
      <c r="G1017" s="15">
        <v>18467.490000000002</v>
      </c>
      <c r="H1017" s="15">
        <f t="shared" si="75"/>
        <v>0</v>
      </c>
      <c r="I1017" s="13">
        <f t="shared" si="76"/>
        <v>3</v>
      </c>
      <c r="J1017" s="13" t="str">
        <f t="shared" ca="1" si="77"/>
        <v>Paid</v>
      </c>
      <c r="K1017" s="13">
        <f t="shared" ca="1" si="78"/>
        <v>0</v>
      </c>
      <c r="L1017" s="13" t="str">
        <f t="shared" si="79"/>
        <v>Paid</v>
      </c>
      <c r="M1017" s="14">
        <v>45717</v>
      </c>
      <c r="N1017" s="14">
        <v>45748</v>
      </c>
    </row>
    <row r="1018" spans="1:14" x14ac:dyDescent="0.25">
      <c r="A1018" s="10" t="s">
        <v>1145</v>
      </c>
      <c r="B1018" s="10" t="s">
        <v>76</v>
      </c>
      <c r="C1018" s="11">
        <v>45728</v>
      </c>
      <c r="D1018" s="11">
        <v>45758</v>
      </c>
      <c r="E1018" s="11">
        <v>45770</v>
      </c>
      <c r="F1018" s="12">
        <v>26683.14</v>
      </c>
      <c r="G1018" s="12">
        <v>26683.14</v>
      </c>
      <c r="H1018" s="12">
        <f t="shared" si="75"/>
        <v>0</v>
      </c>
      <c r="I1018" s="10">
        <f t="shared" si="76"/>
        <v>12</v>
      </c>
      <c r="J1018" s="10" t="str">
        <f t="shared" ca="1" si="77"/>
        <v>Paid</v>
      </c>
      <c r="K1018" s="10">
        <f t="shared" ca="1" si="78"/>
        <v>0</v>
      </c>
      <c r="L1018" s="10" t="str">
        <f t="shared" si="79"/>
        <v>Paid</v>
      </c>
      <c r="M1018" s="11">
        <v>45717</v>
      </c>
      <c r="N1018" s="11">
        <v>45748</v>
      </c>
    </row>
    <row r="1019" spans="1:14" x14ac:dyDescent="0.25">
      <c r="A1019" s="13" t="s">
        <v>1146</v>
      </c>
      <c r="B1019" s="13" t="s">
        <v>95</v>
      </c>
      <c r="C1019" s="14">
        <v>45721</v>
      </c>
      <c r="D1019" s="14">
        <v>45751</v>
      </c>
      <c r="E1019" s="14">
        <v>45762</v>
      </c>
      <c r="F1019" s="15">
        <v>45601.5</v>
      </c>
      <c r="G1019" s="15">
        <v>45601.5</v>
      </c>
      <c r="H1019" s="15">
        <f t="shared" si="75"/>
        <v>0</v>
      </c>
      <c r="I1019" s="13">
        <f t="shared" si="76"/>
        <v>11</v>
      </c>
      <c r="J1019" s="13" t="str">
        <f t="shared" ca="1" si="77"/>
        <v>Paid</v>
      </c>
      <c r="K1019" s="13">
        <f t="shared" ca="1" si="78"/>
        <v>0</v>
      </c>
      <c r="L1019" s="13" t="str">
        <f t="shared" si="79"/>
        <v>Paid</v>
      </c>
      <c r="M1019" s="14">
        <v>45717</v>
      </c>
      <c r="N1019" s="14">
        <v>45748</v>
      </c>
    </row>
    <row r="1020" spans="1:14" x14ac:dyDescent="0.25">
      <c r="A1020" s="10" t="s">
        <v>1147</v>
      </c>
      <c r="B1020" s="10" t="s">
        <v>146</v>
      </c>
      <c r="C1020" s="11">
        <v>45723</v>
      </c>
      <c r="D1020" s="11">
        <v>45753</v>
      </c>
      <c r="E1020" s="11">
        <v>45818</v>
      </c>
      <c r="F1020" s="12">
        <v>38441.1</v>
      </c>
      <c r="G1020" s="12">
        <v>16527.04</v>
      </c>
      <c r="H1020" s="12">
        <f t="shared" si="75"/>
        <v>21914.059999999998</v>
      </c>
      <c r="I1020" s="10">
        <f t="shared" si="76"/>
        <v>65</v>
      </c>
      <c r="J1020" s="10" t="str">
        <f t="shared" ca="1" si="77"/>
        <v>Overdue</v>
      </c>
      <c r="K1020" s="10">
        <f t="shared" ca="1" si="78"/>
        <v>503</v>
      </c>
      <c r="L1020" s="10" t="str">
        <f t="shared" ca="1" si="79"/>
        <v>120+ Days</v>
      </c>
      <c r="M1020" s="11">
        <v>45717</v>
      </c>
      <c r="N1020" s="11">
        <v>45809</v>
      </c>
    </row>
    <row r="1021" spans="1:14" x14ac:dyDescent="0.25">
      <c r="A1021" s="13" t="s">
        <v>1148</v>
      </c>
      <c r="B1021" s="13" t="s">
        <v>244</v>
      </c>
      <c r="C1021" s="14">
        <v>45731</v>
      </c>
      <c r="D1021" s="14">
        <v>45761</v>
      </c>
      <c r="E1021" s="14">
        <v>45814</v>
      </c>
      <c r="F1021" s="15">
        <v>17466.34</v>
      </c>
      <c r="G1021" s="15">
        <v>17466.34</v>
      </c>
      <c r="H1021" s="15">
        <f t="shared" si="75"/>
        <v>0</v>
      </c>
      <c r="I1021" s="13">
        <f t="shared" si="76"/>
        <v>53</v>
      </c>
      <c r="J1021" s="13" t="str">
        <f t="shared" ca="1" si="77"/>
        <v>Paid</v>
      </c>
      <c r="K1021" s="13">
        <f t="shared" ca="1" si="78"/>
        <v>0</v>
      </c>
      <c r="L1021" s="13" t="str">
        <f t="shared" si="79"/>
        <v>Paid</v>
      </c>
      <c r="M1021" s="14">
        <v>45717</v>
      </c>
      <c r="N1021" s="14">
        <v>45809</v>
      </c>
    </row>
    <row r="1022" spans="1:14" x14ac:dyDescent="0.25">
      <c r="A1022" s="10" t="s">
        <v>1149</v>
      </c>
      <c r="B1022" s="10" t="s">
        <v>127</v>
      </c>
      <c r="C1022" s="11">
        <v>45728</v>
      </c>
      <c r="D1022" s="11">
        <v>45758</v>
      </c>
      <c r="E1022" s="11">
        <v>45781</v>
      </c>
      <c r="F1022" s="12">
        <v>57837.26</v>
      </c>
      <c r="G1022" s="12">
        <v>57837.26</v>
      </c>
      <c r="H1022" s="12">
        <f t="shared" si="75"/>
        <v>0</v>
      </c>
      <c r="I1022" s="10">
        <f t="shared" si="76"/>
        <v>23</v>
      </c>
      <c r="J1022" s="10" t="str">
        <f t="shared" ca="1" si="77"/>
        <v>Paid</v>
      </c>
      <c r="K1022" s="10">
        <f t="shared" ca="1" si="78"/>
        <v>0</v>
      </c>
      <c r="L1022" s="10" t="str">
        <f t="shared" si="79"/>
        <v>Paid</v>
      </c>
      <c r="M1022" s="11">
        <v>45717</v>
      </c>
      <c r="N1022" s="11">
        <v>45778</v>
      </c>
    </row>
    <row r="1023" spans="1:14" x14ac:dyDescent="0.25">
      <c r="A1023" s="13" t="s">
        <v>1150</v>
      </c>
      <c r="B1023" s="13" t="s">
        <v>81</v>
      </c>
      <c r="C1023" s="14">
        <v>45725</v>
      </c>
      <c r="D1023" s="14">
        <v>45755</v>
      </c>
      <c r="E1023" s="14">
        <v>45800</v>
      </c>
      <c r="F1023" s="15">
        <v>47480.19</v>
      </c>
      <c r="G1023" s="15">
        <v>47480.19</v>
      </c>
      <c r="H1023" s="15">
        <f t="shared" si="75"/>
        <v>0</v>
      </c>
      <c r="I1023" s="13">
        <f t="shared" si="76"/>
        <v>45</v>
      </c>
      <c r="J1023" s="13" t="str">
        <f t="shared" ca="1" si="77"/>
        <v>Paid</v>
      </c>
      <c r="K1023" s="13">
        <f t="shared" ca="1" si="78"/>
        <v>0</v>
      </c>
      <c r="L1023" s="13" t="str">
        <f t="shared" si="79"/>
        <v>Paid</v>
      </c>
      <c r="M1023" s="14">
        <v>45717</v>
      </c>
      <c r="N1023" s="14">
        <v>45778</v>
      </c>
    </row>
    <row r="1024" spans="1:14" x14ac:dyDescent="0.25">
      <c r="A1024" s="10" t="s">
        <v>1151</v>
      </c>
      <c r="B1024" s="10" t="s">
        <v>99</v>
      </c>
      <c r="C1024" s="11">
        <v>45734</v>
      </c>
      <c r="D1024" s="11">
        <v>45764</v>
      </c>
      <c r="E1024" s="11">
        <v>45772</v>
      </c>
      <c r="F1024" s="12">
        <v>39634.51</v>
      </c>
      <c r="G1024" s="12">
        <v>39634.51</v>
      </c>
      <c r="H1024" s="12">
        <f t="shared" si="75"/>
        <v>0</v>
      </c>
      <c r="I1024" s="10">
        <f t="shared" si="76"/>
        <v>8</v>
      </c>
      <c r="J1024" s="10" t="str">
        <f t="shared" ca="1" si="77"/>
        <v>Paid</v>
      </c>
      <c r="K1024" s="10">
        <f t="shared" ca="1" si="78"/>
        <v>0</v>
      </c>
      <c r="L1024" s="10" t="str">
        <f t="shared" si="79"/>
        <v>Paid</v>
      </c>
      <c r="M1024" s="11">
        <v>45717</v>
      </c>
      <c r="N1024" s="11">
        <v>45748</v>
      </c>
    </row>
    <row r="1025" spans="1:14" x14ac:dyDescent="0.25">
      <c r="A1025" s="13" t="s">
        <v>1152</v>
      </c>
      <c r="B1025" s="13" t="s">
        <v>95</v>
      </c>
      <c r="C1025" s="14">
        <v>45741</v>
      </c>
      <c r="D1025" s="14">
        <v>45771</v>
      </c>
      <c r="E1025" s="14">
        <v>45801</v>
      </c>
      <c r="F1025" s="15">
        <v>32293.22</v>
      </c>
      <c r="G1025" s="15">
        <v>32293.22</v>
      </c>
      <c r="H1025" s="15">
        <f t="shared" si="75"/>
        <v>0</v>
      </c>
      <c r="I1025" s="13">
        <f t="shared" si="76"/>
        <v>30</v>
      </c>
      <c r="J1025" s="13" t="str">
        <f t="shared" ca="1" si="77"/>
        <v>Paid</v>
      </c>
      <c r="K1025" s="13">
        <f t="shared" ca="1" si="78"/>
        <v>0</v>
      </c>
      <c r="L1025" s="13" t="str">
        <f t="shared" si="79"/>
        <v>Paid</v>
      </c>
      <c r="M1025" s="14">
        <v>45717</v>
      </c>
      <c r="N1025" s="14">
        <v>45778</v>
      </c>
    </row>
    <row r="1026" spans="1:14" x14ac:dyDescent="0.25">
      <c r="A1026" s="10" t="s">
        <v>1153</v>
      </c>
      <c r="B1026" s="10" t="s">
        <v>224</v>
      </c>
      <c r="C1026" s="11">
        <v>45734</v>
      </c>
      <c r="D1026" s="11">
        <v>45764</v>
      </c>
      <c r="E1026" s="11">
        <v>45790</v>
      </c>
      <c r="F1026" s="12">
        <v>75386.070000000007</v>
      </c>
      <c r="G1026" s="12">
        <v>75386.070000000007</v>
      </c>
      <c r="H1026" s="12">
        <f t="shared" ref="H1026:H1089" si="80">MAX(0,F1026-G1026)</f>
        <v>0</v>
      </c>
      <c r="I1026" s="10">
        <f t="shared" ref="I1026:I1089" si="81">IF(E1026="","",MAX(0,E1026-D1026))</f>
        <v>26</v>
      </c>
      <c r="J1026" s="10" t="str">
        <f t="shared" ref="J1026:J1089" ca="1" si="82">IF(H1026=0,"Paid",IF(D1026&lt;TODAY(),"Overdue","Open"))</f>
        <v>Paid</v>
      </c>
      <c r="K1026" s="10">
        <f t="shared" ref="K1026:K1089" ca="1" si="83">IF(H1026=0,0,MAX(0,TODAY()-D1026))</f>
        <v>0</v>
      </c>
      <c r="L1026" s="10" t="str">
        <f t="shared" ref="L1026:L1089" si="84">IF(H1026=0,"Paid",IF(K1026&lt;=30,"0-30 Days",IF(K1026&lt;=60,"31-60 Days",IF(K1026&lt;=90,"61-90 Days",IF(K1026&lt;=120,"91-120 Days","120+ Days")))))</f>
        <v>Paid</v>
      </c>
      <c r="M1026" s="11">
        <v>45717</v>
      </c>
      <c r="N1026" s="11">
        <v>45778</v>
      </c>
    </row>
    <row r="1027" spans="1:14" x14ac:dyDescent="0.25">
      <c r="A1027" s="13" t="s">
        <v>1154</v>
      </c>
      <c r="B1027" s="13" t="s">
        <v>131</v>
      </c>
      <c r="C1027" s="14">
        <v>45725</v>
      </c>
      <c r="D1027" s="14">
        <v>45755</v>
      </c>
      <c r="E1027" s="14">
        <v>45761</v>
      </c>
      <c r="F1027" s="15">
        <v>12919.48</v>
      </c>
      <c r="G1027" s="15">
        <v>12919.48</v>
      </c>
      <c r="H1027" s="15">
        <f t="shared" si="80"/>
        <v>0</v>
      </c>
      <c r="I1027" s="13">
        <f t="shared" si="81"/>
        <v>6</v>
      </c>
      <c r="J1027" s="13" t="str">
        <f t="shared" ca="1" si="82"/>
        <v>Paid</v>
      </c>
      <c r="K1027" s="13">
        <f t="shared" ca="1" si="83"/>
        <v>0</v>
      </c>
      <c r="L1027" s="13" t="str">
        <f t="shared" si="84"/>
        <v>Paid</v>
      </c>
      <c r="M1027" s="14">
        <v>45717</v>
      </c>
      <c r="N1027" s="14">
        <v>45748</v>
      </c>
    </row>
    <row r="1028" spans="1:14" x14ac:dyDescent="0.25">
      <c r="A1028" s="10" t="s">
        <v>1155</v>
      </c>
      <c r="B1028" s="10" t="s">
        <v>83</v>
      </c>
      <c r="C1028" s="11">
        <v>45735</v>
      </c>
      <c r="D1028" s="11">
        <v>45765</v>
      </c>
      <c r="E1028" s="11">
        <v>45807</v>
      </c>
      <c r="F1028" s="12">
        <v>141651.28</v>
      </c>
      <c r="G1028" s="12">
        <v>95273.66</v>
      </c>
      <c r="H1028" s="12">
        <f t="shared" si="80"/>
        <v>46377.619999999995</v>
      </c>
      <c r="I1028" s="10">
        <f t="shared" si="81"/>
        <v>42</v>
      </c>
      <c r="J1028" s="10" t="str">
        <f t="shared" ca="1" si="82"/>
        <v>Overdue</v>
      </c>
      <c r="K1028" s="10">
        <f t="shared" ca="1" si="83"/>
        <v>491</v>
      </c>
      <c r="L1028" s="10" t="str">
        <f t="shared" ca="1" si="84"/>
        <v>120+ Days</v>
      </c>
      <c r="M1028" s="11">
        <v>45717</v>
      </c>
      <c r="N1028" s="11">
        <v>45778</v>
      </c>
    </row>
    <row r="1029" spans="1:14" x14ac:dyDescent="0.25">
      <c r="A1029" s="13" t="s">
        <v>1156</v>
      </c>
      <c r="B1029" s="13" t="s">
        <v>230</v>
      </c>
      <c r="C1029" s="14">
        <v>45741</v>
      </c>
      <c r="D1029" s="14">
        <v>45771</v>
      </c>
      <c r="E1029" s="14">
        <v>45771</v>
      </c>
      <c r="F1029" s="15">
        <v>38726.49</v>
      </c>
      <c r="G1029" s="15">
        <v>38726.49</v>
      </c>
      <c r="H1029" s="15">
        <f t="shared" si="80"/>
        <v>0</v>
      </c>
      <c r="I1029" s="13">
        <f t="shared" si="81"/>
        <v>0</v>
      </c>
      <c r="J1029" s="13" t="str">
        <f t="shared" ca="1" si="82"/>
        <v>Paid</v>
      </c>
      <c r="K1029" s="13">
        <f t="shared" ca="1" si="83"/>
        <v>0</v>
      </c>
      <c r="L1029" s="13" t="str">
        <f t="shared" si="84"/>
        <v>Paid</v>
      </c>
      <c r="M1029" s="14">
        <v>45717</v>
      </c>
      <c r="N1029" s="14">
        <v>45748</v>
      </c>
    </row>
    <row r="1030" spans="1:14" x14ac:dyDescent="0.25">
      <c r="A1030" s="10" t="s">
        <v>1157</v>
      </c>
      <c r="B1030" s="10" t="s">
        <v>89</v>
      </c>
      <c r="C1030" s="11">
        <v>45721</v>
      </c>
      <c r="D1030" s="11">
        <v>45751</v>
      </c>
      <c r="E1030" s="11">
        <v>45798</v>
      </c>
      <c r="F1030" s="12">
        <v>27013.18</v>
      </c>
      <c r="G1030" s="12">
        <v>27013.18</v>
      </c>
      <c r="H1030" s="12">
        <f t="shared" si="80"/>
        <v>0</v>
      </c>
      <c r="I1030" s="10">
        <f t="shared" si="81"/>
        <v>47</v>
      </c>
      <c r="J1030" s="10" t="str">
        <f t="shared" ca="1" si="82"/>
        <v>Paid</v>
      </c>
      <c r="K1030" s="10">
        <f t="shared" ca="1" si="83"/>
        <v>0</v>
      </c>
      <c r="L1030" s="10" t="str">
        <f t="shared" si="84"/>
        <v>Paid</v>
      </c>
      <c r="M1030" s="11">
        <v>45717</v>
      </c>
      <c r="N1030" s="11">
        <v>45778</v>
      </c>
    </row>
    <row r="1031" spans="1:14" x14ac:dyDescent="0.25">
      <c r="A1031" s="13" t="s">
        <v>1158</v>
      </c>
      <c r="B1031" s="13" t="s">
        <v>93</v>
      </c>
      <c r="C1031" s="14">
        <v>45770</v>
      </c>
      <c r="D1031" s="14">
        <v>45800</v>
      </c>
      <c r="E1031" s="14">
        <v>45841</v>
      </c>
      <c r="F1031" s="15">
        <v>19161.96</v>
      </c>
      <c r="G1031" s="15">
        <v>19161.96</v>
      </c>
      <c r="H1031" s="15">
        <f t="shared" si="80"/>
        <v>0</v>
      </c>
      <c r="I1031" s="13">
        <f t="shared" si="81"/>
        <v>41</v>
      </c>
      <c r="J1031" s="13" t="str">
        <f t="shared" ca="1" si="82"/>
        <v>Paid</v>
      </c>
      <c r="K1031" s="13">
        <f t="shared" ca="1" si="83"/>
        <v>0</v>
      </c>
      <c r="L1031" s="13" t="str">
        <f t="shared" si="84"/>
        <v>Paid</v>
      </c>
      <c r="M1031" s="14">
        <v>45748</v>
      </c>
      <c r="N1031" s="14">
        <v>45839</v>
      </c>
    </row>
    <row r="1032" spans="1:14" x14ac:dyDescent="0.25">
      <c r="A1032" s="10" t="s">
        <v>1159</v>
      </c>
      <c r="B1032" s="10" t="s">
        <v>161</v>
      </c>
      <c r="C1032" s="11">
        <v>45753</v>
      </c>
      <c r="D1032" s="11">
        <v>45783</v>
      </c>
      <c r="E1032" s="11">
        <v>45785</v>
      </c>
      <c r="F1032" s="12">
        <v>130791.2</v>
      </c>
      <c r="G1032" s="12">
        <v>130791.2</v>
      </c>
      <c r="H1032" s="12">
        <f t="shared" si="80"/>
        <v>0</v>
      </c>
      <c r="I1032" s="10">
        <f t="shared" si="81"/>
        <v>2</v>
      </c>
      <c r="J1032" s="10" t="str">
        <f t="shared" ca="1" si="82"/>
        <v>Paid</v>
      </c>
      <c r="K1032" s="10">
        <f t="shared" ca="1" si="83"/>
        <v>0</v>
      </c>
      <c r="L1032" s="10" t="str">
        <f t="shared" si="84"/>
        <v>Paid</v>
      </c>
      <c r="M1032" s="11">
        <v>45748</v>
      </c>
      <c r="N1032" s="11">
        <v>45778</v>
      </c>
    </row>
    <row r="1033" spans="1:14" x14ac:dyDescent="0.25">
      <c r="A1033" s="13" t="s">
        <v>1160</v>
      </c>
      <c r="B1033" s="13" t="s">
        <v>91</v>
      </c>
      <c r="C1033" s="14">
        <v>45763</v>
      </c>
      <c r="D1033" s="14">
        <v>45793</v>
      </c>
      <c r="E1033" s="14"/>
      <c r="F1033" s="15">
        <v>32051.040000000001</v>
      </c>
      <c r="G1033" s="15">
        <v>0</v>
      </c>
      <c r="H1033" s="15">
        <f t="shared" si="80"/>
        <v>32051.040000000001</v>
      </c>
      <c r="I1033" s="13" t="str">
        <f t="shared" si="81"/>
        <v/>
      </c>
      <c r="J1033" s="13" t="str">
        <f t="shared" ca="1" si="82"/>
        <v>Overdue</v>
      </c>
      <c r="K1033" s="13">
        <f t="shared" ca="1" si="83"/>
        <v>463</v>
      </c>
      <c r="L1033" s="13" t="str">
        <f t="shared" ca="1" si="84"/>
        <v>120+ Days</v>
      </c>
      <c r="M1033" s="14">
        <v>45748</v>
      </c>
      <c r="N1033" s="14"/>
    </row>
    <row r="1034" spans="1:14" x14ac:dyDescent="0.25">
      <c r="A1034" s="10" t="s">
        <v>1161</v>
      </c>
      <c r="B1034" s="10" t="s">
        <v>107</v>
      </c>
      <c r="C1034" s="11">
        <v>45759</v>
      </c>
      <c r="D1034" s="11">
        <v>45789</v>
      </c>
      <c r="E1034" s="11"/>
      <c r="F1034" s="12">
        <v>72508.460000000006</v>
      </c>
      <c r="G1034" s="12">
        <v>0</v>
      </c>
      <c r="H1034" s="12">
        <f t="shared" si="80"/>
        <v>72508.460000000006</v>
      </c>
      <c r="I1034" s="10" t="str">
        <f t="shared" si="81"/>
        <v/>
      </c>
      <c r="J1034" s="10" t="str">
        <f t="shared" ca="1" si="82"/>
        <v>Overdue</v>
      </c>
      <c r="K1034" s="10">
        <f t="shared" ca="1" si="83"/>
        <v>467</v>
      </c>
      <c r="L1034" s="10" t="str">
        <f t="shared" ca="1" si="84"/>
        <v>120+ Days</v>
      </c>
      <c r="M1034" s="11">
        <v>45748</v>
      </c>
      <c r="N1034" s="11"/>
    </row>
    <row r="1035" spans="1:14" x14ac:dyDescent="0.25">
      <c r="A1035" s="13" t="s">
        <v>1162</v>
      </c>
      <c r="B1035" s="13" t="s">
        <v>233</v>
      </c>
      <c r="C1035" s="14">
        <v>45763</v>
      </c>
      <c r="D1035" s="14">
        <v>45793</v>
      </c>
      <c r="E1035" s="14"/>
      <c r="F1035" s="15">
        <v>43960.75</v>
      </c>
      <c r="G1035" s="15">
        <v>0</v>
      </c>
      <c r="H1035" s="15">
        <f t="shared" si="80"/>
        <v>43960.75</v>
      </c>
      <c r="I1035" s="13" t="str">
        <f t="shared" si="81"/>
        <v/>
      </c>
      <c r="J1035" s="13" t="str">
        <f t="shared" ca="1" si="82"/>
        <v>Overdue</v>
      </c>
      <c r="K1035" s="13">
        <f t="shared" ca="1" si="83"/>
        <v>463</v>
      </c>
      <c r="L1035" s="13" t="str">
        <f t="shared" ca="1" si="84"/>
        <v>120+ Days</v>
      </c>
      <c r="M1035" s="14">
        <v>45748</v>
      </c>
      <c r="N1035" s="14"/>
    </row>
    <row r="1036" spans="1:14" x14ac:dyDescent="0.25">
      <c r="A1036" s="10" t="s">
        <v>1163</v>
      </c>
      <c r="B1036" s="10" t="s">
        <v>127</v>
      </c>
      <c r="C1036" s="11">
        <v>45749</v>
      </c>
      <c r="D1036" s="11">
        <v>45779</v>
      </c>
      <c r="E1036" s="11">
        <v>45808</v>
      </c>
      <c r="F1036" s="12">
        <v>41941.26</v>
      </c>
      <c r="G1036" s="12">
        <v>41941.26</v>
      </c>
      <c r="H1036" s="12">
        <f t="shared" si="80"/>
        <v>0</v>
      </c>
      <c r="I1036" s="10">
        <f t="shared" si="81"/>
        <v>29</v>
      </c>
      <c r="J1036" s="10" t="str">
        <f t="shared" ca="1" si="82"/>
        <v>Paid</v>
      </c>
      <c r="K1036" s="10">
        <f t="shared" ca="1" si="83"/>
        <v>0</v>
      </c>
      <c r="L1036" s="10" t="str">
        <f t="shared" si="84"/>
        <v>Paid</v>
      </c>
      <c r="M1036" s="11">
        <v>45748</v>
      </c>
      <c r="N1036" s="11">
        <v>45778</v>
      </c>
    </row>
    <row r="1037" spans="1:14" x14ac:dyDescent="0.25">
      <c r="A1037" s="13" t="s">
        <v>1164</v>
      </c>
      <c r="B1037" s="13" t="s">
        <v>180</v>
      </c>
      <c r="C1037" s="14">
        <v>45767</v>
      </c>
      <c r="D1037" s="14">
        <v>45797</v>
      </c>
      <c r="E1037" s="14"/>
      <c r="F1037" s="15">
        <v>65000.66</v>
      </c>
      <c r="G1037" s="15">
        <v>0</v>
      </c>
      <c r="H1037" s="15">
        <f t="shared" si="80"/>
        <v>65000.66</v>
      </c>
      <c r="I1037" s="13" t="str">
        <f t="shared" si="81"/>
        <v/>
      </c>
      <c r="J1037" s="13" t="str">
        <f t="shared" ca="1" si="82"/>
        <v>Overdue</v>
      </c>
      <c r="K1037" s="13">
        <f t="shared" ca="1" si="83"/>
        <v>459</v>
      </c>
      <c r="L1037" s="13" t="str">
        <f t="shared" ca="1" si="84"/>
        <v>120+ Days</v>
      </c>
      <c r="M1037" s="14">
        <v>45748</v>
      </c>
      <c r="N1037" s="14"/>
    </row>
    <row r="1038" spans="1:14" x14ac:dyDescent="0.25">
      <c r="A1038" s="10" t="s">
        <v>1165</v>
      </c>
      <c r="B1038" s="10" t="s">
        <v>278</v>
      </c>
      <c r="C1038" s="11">
        <v>45764</v>
      </c>
      <c r="D1038" s="11">
        <v>45794</v>
      </c>
      <c r="E1038" s="11">
        <v>45838</v>
      </c>
      <c r="F1038" s="12">
        <v>42508.51</v>
      </c>
      <c r="G1038" s="12">
        <v>42508.51</v>
      </c>
      <c r="H1038" s="12">
        <f t="shared" si="80"/>
        <v>0</v>
      </c>
      <c r="I1038" s="10">
        <f t="shared" si="81"/>
        <v>44</v>
      </c>
      <c r="J1038" s="10" t="str">
        <f t="shared" ca="1" si="82"/>
        <v>Paid</v>
      </c>
      <c r="K1038" s="10">
        <f t="shared" ca="1" si="83"/>
        <v>0</v>
      </c>
      <c r="L1038" s="10" t="str">
        <f t="shared" si="84"/>
        <v>Paid</v>
      </c>
      <c r="M1038" s="11">
        <v>45748</v>
      </c>
      <c r="N1038" s="11">
        <v>45809</v>
      </c>
    </row>
    <row r="1039" spans="1:14" x14ac:dyDescent="0.25">
      <c r="A1039" s="13" t="s">
        <v>1166</v>
      </c>
      <c r="B1039" s="13" t="s">
        <v>129</v>
      </c>
      <c r="C1039" s="14">
        <v>45761</v>
      </c>
      <c r="D1039" s="14">
        <v>45791</v>
      </c>
      <c r="E1039" s="14">
        <v>45791</v>
      </c>
      <c r="F1039" s="15">
        <v>16344.28</v>
      </c>
      <c r="G1039" s="15">
        <v>16344.28</v>
      </c>
      <c r="H1039" s="15">
        <f t="shared" si="80"/>
        <v>0</v>
      </c>
      <c r="I1039" s="13">
        <f t="shared" si="81"/>
        <v>0</v>
      </c>
      <c r="J1039" s="13" t="str">
        <f t="shared" ca="1" si="82"/>
        <v>Paid</v>
      </c>
      <c r="K1039" s="13">
        <f t="shared" ca="1" si="83"/>
        <v>0</v>
      </c>
      <c r="L1039" s="13" t="str">
        <f t="shared" si="84"/>
        <v>Paid</v>
      </c>
      <c r="M1039" s="14">
        <v>45748</v>
      </c>
      <c r="N1039" s="14">
        <v>45778</v>
      </c>
    </row>
    <row r="1040" spans="1:14" x14ac:dyDescent="0.25">
      <c r="A1040" s="10" t="s">
        <v>1167</v>
      </c>
      <c r="B1040" s="10" t="s">
        <v>153</v>
      </c>
      <c r="C1040" s="11">
        <v>45766</v>
      </c>
      <c r="D1040" s="11">
        <v>45796</v>
      </c>
      <c r="E1040" s="11"/>
      <c r="F1040" s="12">
        <v>54127.13</v>
      </c>
      <c r="G1040" s="12">
        <v>0</v>
      </c>
      <c r="H1040" s="12">
        <f t="shared" si="80"/>
        <v>54127.13</v>
      </c>
      <c r="I1040" s="10" t="str">
        <f t="shared" si="81"/>
        <v/>
      </c>
      <c r="J1040" s="10" t="str">
        <f t="shared" ca="1" si="82"/>
        <v>Overdue</v>
      </c>
      <c r="K1040" s="10">
        <f t="shared" ca="1" si="83"/>
        <v>460</v>
      </c>
      <c r="L1040" s="10" t="str">
        <f t="shared" ca="1" si="84"/>
        <v>120+ Days</v>
      </c>
      <c r="M1040" s="11">
        <v>45748</v>
      </c>
      <c r="N1040" s="11"/>
    </row>
    <row r="1041" spans="1:14" x14ac:dyDescent="0.25">
      <c r="A1041" s="13" t="s">
        <v>1168</v>
      </c>
      <c r="B1041" s="13" t="s">
        <v>89</v>
      </c>
      <c r="C1041" s="14">
        <v>45773</v>
      </c>
      <c r="D1041" s="14">
        <v>45803</v>
      </c>
      <c r="E1041" s="14"/>
      <c r="F1041" s="15">
        <v>42532.21</v>
      </c>
      <c r="G1041" s="15">
        <v>0</v>
      </c>
      <c r="H1041" s="15">
        <f t="shared" si="80"/>
        <v>42532.21</v>
      </c>
      <c r="I1041" s="13" t="str">
        <f t="shared" si="81"/>
        <v/>
      </c>
      <c r="J1041" s="13" t="str">
        <f t="shared" ca="1" si="82"/>
        <v>Overdue</v>
      </c>
      <c r="K1041" s="13">
        <f t="shared" ca="1" si="83"/>
        <v>453</v>
      </c>
      <c r="L1041" s="13" t="str">
        <f t="shared" ca="1" si="84"/>
        <v>120+ Days</v>
      </c>
      <c r="M1041" s="14">
        <v>45748</v>
      </c>
      <c r="N1041" s="14"/>
    </row>
    <row r="1042" spans="1:14" x14ac:dyDescent="0.25">
      <c r="A1042" s="10" t="s">
        <v>1169</v>
      </c>
      <c r="B1042" s="10" t="s">
        <v>463</v>
      </c>
      <c r="C1042" s="11">
        <v>45764</v>
      </c>
      <c r="D1042" s="11">
        <v>45794</v>
      </c>
      <c r="E1042" s="11">
        <v>45794</v>
      </c>
      <c r="F1042" s="12">
        <v>52732.74</v>
      </c>
      <c r="G1042" s="12">
        <v>52732.74</v>
      </c>
      <c r="H1042" s="12">
        <f t="shared" si="80"/>
        <v>0</v>
      </c>
      <c r="I1042" s="10">
        <f t="shared" si="81"/>
        <v>0</v>
      </c>
      <c r="J1042" s="10" t="str">
        <f t="shared" ca="1" si="82"/>
        <v>Paid</v>
      </c>
      <c r="K1042" s="10">
        <f t="shared" ca="1" si="83"/>
        <v>0</v>
      </c>
      <c r="L1042" s="10" t="str">
        <f t="shared" si="84"/>
        <v>Paid</v>
      </c>
      <c r="M1042" s="11">
        <v>45748</v>
      </c>
      <c r="N1042" s="11">
        <v>45778</v>
      </c>
    </row>
    <row r="1043" spans="1:14" x14ac:dyDescent="0.25">
      <c r="A1043" s="13" t="s">
        <v>1170</v>
      </c>
      <c r="B1043" s="13" t="s">
        <v>220</v>
      </c>
      <c r="C1043" s="14">
        <v>45752</v>
      </c>
      <c r="D1043" s="14">
        <v>45782</v>
      </c>
      <c r="E1043" s="14"/>
      <c r="F1043" s="15">
        <v>41727.440000000002</v>
      </c>
      <c r="G1043" s="15">
        <v>0</v>
      </c>
      <c r="H1043" s="15">
        <f t="shared" si="80"/>
        <v>41727.440000000002</v>
      </c>
      <c r="I1043" s="13" t="str">
        <f t="shared" si="81"/>
        <v/>
      </c>
      <c r="J1043" s="13" t="str">
        <f t="shared" ca="1" si="82"/>
        <v>Overdue</v>
      </c>
      <c r="K1043" s="13">
        <f t="shared" ca="1" si="83"/>
        <v>474</v>
      </c>
      <c r="L1043" s="13" t="str">
        <f t="shared" ca="1" si="84"/>
        <v>120+ Days</v>
      </c>
      <c r="M1043" s="14">
        <v>45748</v>
      </c>
      <c r="N1043" s="14"/>
    </row>
    <row r="1044" spans="1:14" x14ac:dyDescent="0.25">
      <c r="A1044" s="10" t="s">
        <v>1171</v>
      </c>
      <c r="B1044" s="10" t="s">
        <v>274</v>
      </c>
      <c r="C1044" s="11">
        <v>45769</v>
      </c>
      <c r="D1044" s="11">
        <v>45799</v>
      </c>
      <c r="E1044" s="11">
        <v>45828</v>
      </c>
      <c r="F1044" s="12">
        <v>26075.39</v>
      </c>
      <c r="G1044" s="12">
        <v>26075.39</v>
      </c>
      <c r="H1044" s="12">
        <f t="shared" si="80"/>
        <v>0</v>
      </c>
      <c r="I1044" s="10">
        <f t="shared" si="81"/>
        <v>29</v>
      </c>
      <c r="J1044" s="10" t="str">
        <f t="shared" ca="1" si="82"/>
        <v>Paid</v>
      </c>
      <c r="K1044" s="10">
        <f t="shared" ca="1" si="83"/>
        <v>0</v>
      </c>
      <c r="L1044" s="10" t="str">
        <f t="shared" si="84"/>
        <v>Paid</v>
      </c>
      <c r="M1044" s="11">
        <v>45748</v>
      </c>
      <c r="N1044" s="11">
        <v>45809</v>
      </c>
    </row>
    <row r="1045" spans="1:14" x14ac:dyDescent="0.25">
      <c r="A1045" s="13" t="s">
        <v>1172</v>
      </c>
      <c r="B1045" s="13" t="s">
        <v>79</v>
      </c>
      <c r="C1045" s="14">
        <v>45764</v>
      </c>
      <c r="D1045" s="14">
        <v>45794</v>
      </c>
      <c r="E1045" s="14">
        <v>45800</v>
      </c>
      <c r="F1045" s="15">
        <v>35131.64</v>
      </c>
      <c r="G1045" s="15">
        <v>35131.64</v>
      </c>
      <c r="H1045" s="15">
        <f t="shared" si="80"/>
        <v>0</v>
      </c>
      <c r="I1045" s="13">
        <f t="shared" si="81"/>
        <v>6</v>
      </c>
      <c r="J1045" s="13" t="str">
        <f t="shared" ca="1" si="82"/>
        <v>Paid</v>
      </c>
      <c r="K1045" s="13">
        <f t="shared" ca="1" si="83"/>
        <v>0</v>
      </c>
      <c r="L1045" s="13" t="str">
        <f t="shared" si="84"/>
        <v>Paid</v>
      </c>
      <c r="M1045" s="14">
        <v>45748</v>
      </c>
      <c r="N1045" s="14">
        <v>45778</v>
      </c>
    </row>
    <row r="1046" spans="1:14" x14ac:dyDescent="0.25">
      <c r="A1046" s="10" t="s">
        <v>1173</v>
      </c>
      <c r="B1046" s="10" t="s">
        <v>125</v>
      </c>
      <c r="C1046" s="11">
        <v>45768</v>
      </c>
      <c r="D1046" s="11">
        <v>45798</v>
      </c>
      <c r="E1046" s="11">
        <v>45843</v>
      </c>
      <c r="F1046" s="12">
        <v>35167.08</v>
      </c>
      <c r="G1046" s="12">
        <v>16832.810000000001</v>
      </c>
      <c r="H1046" s="12">
        <f t="shared" si="80"/>
        <v>18334.27</v>
      </c>
      <c r="I1046" s="10">
        <f t="shared" si="81"/>
        <v>45</v>
      </c>
      <c r="J1046" s="10" t="str">
        <f t="shared" ca="1" si="82"/>
        <v>Overdue</v>
      </c>
      <c r="K1046" s="10">
        <f t="shared" ca="1" si="83"/>
        <v>458</v>
      </c>
      <c r="L1046" s="10" t="str">
        <f t="shared" ca="1" si="84"/>
        <v>120+ Days</v>
      </c>
      <c r="M1046" s="11">
        <v>45748</v>
      </c>
      <c r="N1046" s="11">
        <v>45839</v>
      </c>
    </row>
    <row r="1047" spans="1:14" x14ac:dyDescent="0.25">
      <c r="A1047" s="13" t="s">
        <v>1174</v>
      </c>
      <c r="B1047" s="13" t="s">
        <v>115</v>
      </c>
      <c r="C1047" s="14">
        <v>45767</v>
      </c>
      <c r="D1047" s="14">
        <v>45797</v>
      </c>
      <c r="E1047" s="14">
        <v>45817</v>
      </c>
      <c r="F1047" s="15">
        <v>34635.78</v>
      </c>
      <c r="G1047" s="15">
        <v>34635.78</v>
      </c>
      <c r="H1047" s="15">
        <f t="shared" si="80"/>
        <v>0</v>
      </c>
      <c r="I1047" s="13">
        <f t="shared" si="81"/>
        <v>20</v>
      </c>
      <c r="J1047" s="13" t="str">
        <f t="shared" ca="1" si="82"/>
        <v>Paid</v>
      </c>
      <c r="K1047" s="13">
        <f t="shared" ca="1" si="83"/>
        <v>0</v>
      </c>
      <c r="L1047" s="13" t="str">
        <f t="shared" si="84"/>
        <v>Paid</v>
      </c>
      <c r="M1047" s="14">
        <v>45748</v>
      </c>
      <c r="N1047" s="14">
        <v>45809</v>
      </c>
    </row>
    <row r="1048" spans="1:14" x14ac:dyDescent="0.25">
      <c r="A1048" s="10" t="s">
        <v>1175</v>
      </c>
      <c r="B1048" s="10" t="s">
        <v>70</v>
      </c>
      <c r="C1048" s="11">
        <v>45759</v>
      </c>
      <c r="D1048" s="11">
        <v>45789</v>
      </c>
      <c r="E1048" s="11">
        <v>45804</v>
      </c>
      <c r="F1048" s="12">
        <v>47548.56</v>
      </c>
      <c r="G1048" s="12">
        <v>47548.56</v>
      </c>
      <c r="H1048" s="12">
        <f t="shared" si="80"/>
        <v>0</v>
      </c>
      <c r="I1048" s="10">
        <f t="shared" si="81"/>
        <v>15</v>
      </c>
      <c r="J1048" s="10" t="str">
        <f t="shared" ca="1" si="82"/>
        <v>Paid</v>
      </c>
      <c r="K1048" s="10">
        <f t="shared" ca="1" si="83"/>
        <v>0</v>
      </c>
      <c r="L1048" s="10" t="str">
        <f t="shared" si="84"/>
        <v>Paid</v>
      </c>
      <c r="M1048" s="11">
        <v>45748</v>
      </c>
      <c r="N1048" s="11">
        <v>45778</v>
      </c>
    </row>
    <row r="1049" spans="1:14" x14ac:dyDescent="0.25">
      <c r="A1049" s="13" t="s">
        <v>1176</v>
      </c>
      <c r="B1049" s="13" t="s">
        <v>215</v>
      </c>
      <c r="C1049" s="14">
        <v>45754</v>
      </c>
      <c r="D1049" s="14">
        <v>45784</v>
      </c>
      <c r="E1049" s="14">
        <v>45806</v>
      </c>
      <c r="F1049" s="15">
        <v>46941.23</v>
      </c>
      <c r="G1049" s="15">
        <v>46941.23</v>
      </c>
      <c r="H1049" s="15">
        <f t="shared" si="80"/>
        <v>0</v>
      </c>
      <c r="I1049" s="13">
        <f t="shared" si="81"/>
        <v>22</v>
      </c>
      <c r="J1049" s="13" t="str">
        <f t="shared" ca="1" si="82"/>
        <v>Paid</v>
      </c>
      <c r="K1049" s="13">
        <f t="shared" ca="1" si="83"/>
        <v>0</v>
      </c>
      <c r="L1049" s="13" t="str">
        <f t="shared" si="84"/>
        <v>Paid</v>
      </c>
      <c r="M1049" s="14">
        <v>45748</v>
      </c>
      <c r="N1049" s="14">
        <v>45778</v>
      </c>
    </row>
    <row r="1050" spans="1:14" x14ac:dyDescent="0.25">
      <c r="A1050" s="10" t="s">
        <v>1177</v>
      </c>
      <c r="B1050" s="10" t="s">
        <v>180</v>
      </c>
      <c r="C1050" s="11">
        <v>45756</v>
      </c>
      <c r="D1050" s="11">
        <v>45786</v>
      </c>
      <c r="E1050" s="11">
        <v>45812</v>
      </c>
      <c r="F1050" s="12">
        <v>56523.02</v>
      </c>
      <c r="G1050" s="12">
        <v>56523.02</v>
      </c>
      <c r="H1050" s="12">
        <f t="shared" si="80"/>
        <v>0</v>
      </c>
      <c r="I1050" s="10">
        <f t="shared" si="81"/>
        <v>26</v>
      </c>
      <c r="J1050" s="10" t="str">
        <f t="shared" ca="1" si="82"/>
        <v>Paid</v>
      </c>
      <c r="K1050" s="10">
        <f t="shared" ca="1" si="83"/>
        <v>0</v>
      </c>
      <c r="L1050" s="10" t="str">
        <f t="shared" si="84"/>
        <v>Paid</v>
      </c>
      <c r="M1050" s="11">
        <v>45748</v>
      </c>
      <c r="N1050" s="11">
        <v>45809</v>
      </c>
    </row>
    <row r="1051" spans="1:14" x14ac:dyDescent="0.25">
      <c r="A1051" s="13" t="s">
        <v>1178</v>
      </c>
      <c r="B1051" s="13" t="s">
        <v>97</v>
      </c>
      <c r="C1051" s="14">
        <v>45759</v>
      </c>
      <c r="D1051" s="14">
        <v>45789</v>
      </c>
      <c r="E1051" s="14">
        <v>45789</v>
      </c>
      <c r="F1051" s="15">
        <v>43683.1</v>
      </c>
      <c r="G1051" s="15">
        <v>43683.1</v>
      </c>
      <c r="H1051" s="15">
        <f t="shared" si="80"/>
        <v>0</v>
      </c>
      <c r="I1051" s="13">
        <f t="shared" si="81"/>
        <v>0</v>
      </c>
      <c r="J1051" s="13" t="str">
        <f t="shared" ca="1" si="82"/>
        <v>Paid</v>
      </c>
      <c r="K1051" s="13">
        <f t="shared" ca="1" si="83"/>
        <v>0</v>
      </c>
      <c r="L1051" s="13" t="str">
        <f t="shared" si="84"/>
        <v>Paid</v>
      </c>
      <c r="M1051" s="14">
        <v>45748</v>
      </c>
      <c r="N1051" s="14">
        <v>45778</v>
      </c>
    </row>
    <row r="1052" spans="1:14" x14ac:dyDescent="0.25">
      <c r="A1052" s="10" t="s">
        <v>1179</v>
      </c>
      <c r="B1052" s="10" t="s">
        <v>83</v>
      </c>
      <c r="C1052" s="11">
        <v>45754</v>
      </c>
      <c r="D1052" s="11">
        <v>45784</v>
      </c>
      <c r="E1052" s="11">
        <v>45784</v>
      </c>
      <c r="F1052" s="12">
        <v>42183.62</v>
      </c>
      <c r="G1052" s="12">
        <v>42183.62</v>
      </c>
      <c r="H1052" s="12">
        <f t="shared" si="80"/>
        <v>0</v>
      </c>
      <c r="I1052" s="10">
        <f t="shared" si="81"/>
        <v>0</v>
      </c>
      <c r="J1052" s="10" t="str">
        <f t="shared" ca="1" si="82"/>
        <v>Paid</v>
      </c>
      <c r="K1052" s="10">
        <f t="shared" ca="1" si="83"/>
        <v>0</v>
      </c>
      <c r="L1052" s="10" t="str">
        <f t="shared" si="84"/>
        <v>Paid</v>
      </c>
      <c r="M1052" s="11">
        <v>45748</v>
      </c>
      <c r="N1052" s="11">
        <v>45778</v>
      </c>
    </row>
    <row r="1053" spans="1:14" x14ac:dyDescent="0.25">
      <c r="A1053" s="13" t="s">
        <v>1180</v>
      </c>
      <c r="B1053" s="13" t="s">
        <v>95</v>
      </c>
      <c r="C1053" s="14">
        <v>45753</v>
      </c>
      <c r="D1053" s="14">
        <v>45783</v>
      </c>
      <c r="E1053" s="14">
        <v>45783</v>
      </c>
      <c r="F1053" s="15">
        <v>36639.440000000002</v>
      </c>
      <c r="G1053" s="15">
        <v>36639.440000000002</v>
      </c>
      <c r="H1053" s="15">
        <f t="shared" si="80"/>
        <v>0</v>
      </c>
      <c r="I1053" s="13">
        <f t="shared" si="81"/>
        <v>0</v>
      </c>
      <c r="J1053" s="13" t="str">
        <f t="shared" ca="1" si="82"/>
        <v>Paid</v>
      </c>
      <c r="K1053" s="13">
        <f t="shared" ca="1" si="83"/>
        <v>0</v>
      </c>
      <c r="L1053" s="13" t="str">
        <f t="shared" si="84"/>
        <v>Paid</v>
      </c>
      <c r="M1053" s="14">
        <v>45748</v>
      </c>
      <c r="N1053" s="14">
        <v>45778</v>
      </c>
    </row>
    <row r="1054" spans="1:14" x14ac:dyDescent="0.25">
      <c r="A1054" s="10" t="s">
        <v>1181</v>
      </c>
      <c r="B1054" s="10" t="s">
        <v>140</v>
      </c>
      <c r="C1054" s="11">
        <v>45767</v>
      </c>
      <c r="D1054" s="11">
        <v>45797</v>
      </c>
      <c r="E1054" s="11">
        <v>45825</v>
      </c>
      <c r="F1054" s="12">
        <v>35013.019999999997</v>
      </c>
      <c r="G1054" s="12">
        <v>35013.019999999997</v>
      </c>
      <c r="H1054" s="12">
        <f t="shared" si="80"/>
        <v>0</v>
      </c>
      <c r="I1054" s="10">
        <f t="shared" si="81"/>
        <v>28</v>
      </c>
      <c r="J1054" s="10" t="str">
        <f t="shared" ca="1" si="82"/>
        <v>Paid</v>
      </c>
      <c r="K1054" s="10">
        <f t="shared" ca="1" si="83"/>
        <v>0</v>
      </c>
      <c r="L1054" s="10" t="str">
        <f t="shared" si="84"/>
        <v>Paid</v>
      </c>
      <c r="M1054" s="11">
        <v>45748</v>
      </c>
      <c r="N1054" s="11">
        <v>45809</v>
      </c>
    </row>
    <row r="1055" spans="1:14" x14ac:dyDescent="0.25">
      <c r="A1055" s="13" t="s">
        <v>1182</v>
      </c>
      <c r="B1055" s="13" t="s">
        <v>220</v>
      </c>
      <c r="C1055" s="14">
        <v>45748</v>
      </c>
      <c r="D1055" s="14">
        <v>45778</v>
      </c>
      <c r="E1055" s="14"/>
      <c r="F1055" s="15">
        <v>19561.349999999999</v>
      </c>
      <c r="G1055" s="15">
        <v>0</v>
      </c>
      <c r="H1055" s="15">
        <f t="shared" si="80"/>
        <v>19561.349999999999</v>
      </c>
      <c r="I1055" s="13" t="str">
        <f t="shared" si="81"/>
        <v/>
      </c>
      <c r="J1055" s="13" t="str">
        <f t="shared" ca="1" si="82"/>
        <v>Overdue</v>
      </c>
      <c r="K1055" s="13">
        <f t="shared" ca="1" si="83"/>
        <v>478</v>
      </c>
      <c r="L1055" s="13" t="str">
        <f t="shared" ca="1" si="84"/>
        <v>120+ Days</v>
      </c>
      <c r="M1055" s="14">
        <v>45748</v>
      </c>
      <c r="N1055" s="14"/>
    </row>
    <row r="1056" spans="1:14" x14ac:dyDescent="0.25">
      <c r="A1056" s="10" t="s">
        <v>1183</v>
      </c>
      <c r="B1056" s="10" t="s">
        <v>449</v>
      </c>
      <c r="C1056" s="11">
        <v>45756</v>
      </c>
      <c r="D1056" s="11">
        <v>45786</v>
      </c>
      <c r="E1056" s="11"/>
      <c r="F1056" s="12">
        <v>29304.48</v>
      </c>
      <c r="G1056" s="12">
        <v>0</v>
      </c>
      <c r="H1056" s="12">
        <f t="shared" si="80"/>
        <v>29304.48</v>
      </c>
      <c r="I1056" s="10" t="str">
        <f t="shared" si="81"/>
        <v/>
      </c>
      <c r="J1056" s="10" t="str">
        <f t="shared" ca="1" si="82"/>
        <v>Overdue</v>
      </c>
      <c r="K1056" s="10">
        <f t="shared" ca="1" si="83"/>
        <v>470</v>
      </c>
      <c r="L1056" s="10" t="str">
        <f t="shared" ca="1" si="84"/>
        <v>120+ Days</v>
      </c>
      <c r="M1056" s="11">
        <v>45748</v>
      </c>
      <c r="N1056" s="11"/>
    </row>
    <row r="1057" spans="1:14" x14ac:dyDescent="0.25">
      <c r="A1057" s="13" t="s">
        <v>1184</v>
      </c>
      <c r="B1057" s="13" t="s">
        <v>153</v>
      </c>
      <c r="C1057" s="14">
        <v>45774</v>
      </c>
      <c r="D1057" s="14">
        <v>45804</v>
      </c>
      <c r="E1057" s="14">
        <v>45844</v>
      </c>
      <c r="F1057" s="15">
        <v>28839.83</v>
      </c>
      <c r="G1057" s="15">
        <v>28839.83</v>
      </c>
      <c r="H1057" s="15">
        <f t="shared" si="80"/>
        <v>0</v>
      </c>
      <c r="I1057" s="13">
        <f t="shared" si="81"/>
        <v>40</v>
      </c>
      <c r="J1057" s="13" t="str">
        <f t="shared" ca="1" si="82"/>
        <v>Paid</v>
      </c>
      <c r="K1057" s="13">
        <f t="shared" ca="1" si="83"/>
        <v>0</v>
      </c>
      <c r="L1057" s="13" t="str">
        <f t="shared" si="84"/>
        <v>Paid</v>
      </c>
      <c r="M1057" s="14">
        <v>45748</v>
      </c>
      <c r="N1057" s="14">
        <v>45839</v>
      </c>
    </row>
    <row r="1058" spans="1:14" x14ac:dyDescent="0.25">
      <c r="A1058" s="10" t="s">
        <v>1185</v>
      </c>
      <c r="B1058" s="10" t="s">
        <v>271</v>
      </c>
      <c r="C1058" s="11">
        <v>45773</v>
      </c>
      <c r="D1058" s="11">
        <v>45803</v>
      </c>
      <c r="E1058" s="11"/>
      <c r="F1058" s="12">
        <v>31137.33</v>
      </c>
      <c r="G1058" s="12">
        <v>0</v>
      </c>
      <c r="H1058" s="12">
        <f t="shared" si="80"/>
        <v>31137.33</v>
      </c>
      <c r="I1058" s="10" t="str">
        <f t="shared" si="81"/>
        <v/>
      </c>
      <c r="J1058" s="10" t="str">
        <f t="shared" ca="1" si="82"/>
        <v>Overdue</v>
      </c>
      <c r="K1058" s="10">
        <f t="shared" ca="1" si="83"/>
        <v>453</v>
      </c>
      <c r="L1058" s="10" t="str">
        <f t="shared" ca="1" si="84"/>
        <v>120+ Days</v>
      </c>
      <c r="M1058" s="11">
        <v>45748</v>
      </c>
      <c r="N1058" s="11"/>
    </row>
    <row r="1059" spans="1:14" x14ac:dyDescent="0.25">
      <c r="A1059" s="13" t="s">
        <v>1186</v>
      </c>
      <c r="B1059" s="13" t="s">
        <v>331</v>
      </c>
      <c r="C1059" s="14">
        <v>45765</v>
      </c>
      <c r="D1059" s="14">
        <v>45795</v>
      </c>
      <c r="E1059" s="14"/>
      <c r="F1059" s="15">
        <v>37764.82</v>
      </c>
      <c r="G1059" s="15">
        <v>0</v>
      </c>
      <c r="H1059" s="15">
        <f t="shared" si="80"/>
        <v>37764.82</v>
      </c>
      <c r="I1059" s="13" t="str">
        <f t="shared" si="81"/>
        <v/>
      </c>
      <c r="J1059" s="13" t="str">
        <f t="shared" ca="1" si="82"/>
        <v>Overdue</v>
      </c>
      <c r="K1059" s="13">
        <f t="shared" ca="1" si="83"/>
        <v>461</v>
      </c>
      <c r="L1059" s="13" t="str">
        <f t="shared" ca="1" si="84"/>
        <v>120+ Days</v>
      </c>
      <c r="M1059" s="14">
        <v>45748</v>
      </c>
      <c r="N1059" s="14"/>
    </row>
    <row r="1060" spans="1:14" x14ac:dyDescent="0.25">
      <c r="A1060" s="10" t="s">
        <v>1187</v>
      </c>
      <c r="B1060" s="10" t="s">
        <v>87</v>
      </c>
      <c r="C1060" s="11">
        <v>45757</v>
      </c>
      <c r="D1060" s="11">
        <v>45787</v>
      </c>
      <c r="E1060" s="11">
        <v>45828</v>
      </c>
      <c r="F1060" s="12">
        <v>29949.77</v>
      </c>
      <c r="G1060" s="12">
        <v>29949.77</v>
      </c>
      <c r="H1060" s="12">
        <f t="shared" si="80"/>
        <v>0</v>
      </c>
      <c r="I1060" s="10">
        <f t="shared" si="81"/>
        <v>41</v>
      </c>
      <c r="J1060" s="10" t="str">
        <f t="shared" ca="1" si="82"/>
        <v>Paid</v>
      </c>
      <c r="K1060" s="10">
        <f t="shared" ca="1" si="83"/>
        <v>0</v>
      </c>
      <c r="L1060" s="10" t="str">
        <f t="shared" si="84"/>
        <v>Paid</v>
      </c>
      <c r="M1060" s="11">
        <v>45748</v>
      </c>
      <c r="N1060" s="11">
        <v>45809</v>
      </c>
    </row>
    <row r="1061" spans="1:14" x14ac:dyDescent="0.25">
      <c r="A1061" s="13" t="s">
        <v>1188</v>
      </c>
      <c r="B1061" s="13" t="s">
        <v>134</v>
      </c>
      <c r="C1061" s="14">
        <v>45761</v>
      </c>
      <c r="D1061" s="14">
        <v>45791</v>
      </c>
      <c r="E1061" s="14">
        <v>45791</v>
      </c>
      <c r="F1061" s="15">
        <v>39493.279999999999</v>
      </c>
      <c r="G1061" s="15">
        <v>39493.279999999999</v>
      </c>
      <c r="H1061" s="15">
        <f t="shared" si="80"/>
        <v>0</v>
      </c>
      <c r="I1061" s="13">
        <f t="shared" si="81"/>
        <v>0</v>
      </c>
      <c r="J1061" s="13" t="str">
        <f t="shared" ca="1" si="82"/>
        <v>Paid</v>
      </c>
      <c r="K1061" s="13">
        <f t="shared" ca="1" si="83"/>
        <v>0</v>
      </c>
      <c r="L1061" s="13" t="str">
        <f t="shared" si="84"/>
        <v>Paid</v>
      </c>
      <c r="M1061" s="14">
        <v>45748</v>
      </c>
      <c r="N1061" s="14">
        <v>45778</v>
      </c>
    </row>
    <row r="1062" spans="1:14" x14ac:dyDescent="0.25">
      <c r="A1062" s="10" t="s">
        <v>1189</v>
      </c>
      <c r="B1062" s="10" t="s">
        <v>278</v>
      </c>
      <c r="C1062" s="11">
        <v>45754</v>
      </c>
      <c r="D1062" s="11">
        <v>45784</v>
      </c>
      <c r="E1062" s="11"/>
      <c r="F1062" s="12">
        <v>14464.62</v>
      </c>
      <c r="G1062" s="12">
        <v>0</v>
      </c>
      <c r="H1062" s="12">
        <f t="shared" si="80"/>
        <v>14464.62</v>
      </c>
      <c r="I1062" s="10" t="str">
        <f t="shared" si="81"/>
        <v/>
      </c>
      <c r="J1062" s="10" t="str">
        <f t="shared" ca="1" si="82"/>
        <v>Overdue</v>
      </c>
      <c r="K1062" s="10">
        <f t="shared" ca="1" si="83"/>
        <v>472</v>
      </c>
      <c r="L1062" s="10" t="str">
        <f t="shared" ca="1" si="84"/>
        <v>120+ Days</v>
      </c>
      <c r="M1062" s="11">
        <v>45748</v>
      </c>
      <c r="N1062" s="11"/>
    </row>
    <row r="1063" spans="1:14" x14ac:dyDescent="0.25">
      <c r="A1063" s="13" t="s">
        <v>1190</v>
      </c>
      <c r="B1063" s="13" t="s">
        <v>81</v>
      </c>
      <c r="C1063" s="14">
        <v>45750</v>
      </c>
      <c r="D1063" s="14">
        <v>45780</v>
      </c>
      <c r="E1063" s="14">
        <v>45804</v>
      </c>
      <c r="F1063" s="15">
        <v>59858.66</v>
      </c>
      <c r="G1063" s="15">
        <v>59858.66</v>
      </c>
      <c r="H1063" s="15">
        <f t="shared" si="80"/>
        <v>0</v>
      </c>
      <c r="I1063" s="13">
        <f t="shared" si="81"/>
        <v>24</v>
      </c>
      <c r="J1063" s="13" t="str">
        <f t="shared" ca="1" si="82"/>
        <v>Paid</v>
      </c>
      <c r="K1063" s="13">
        <f t="shared" ca="1" si="83"/>
        <v>0</v>
      </c>
      <c r="L1063" s="13" t="str">
        <f t="shared" si="84"/>
        <v>Paid</v>
      </c>
      <c r="M1063" s="14">
        <v>45748</v>
      </c>
      <c r="N1063" s="14">
        <v>45778</v>
      </c>
    </row>
    <row r="1064" spans="1:14" x14ac:dyDescent="0.25">
      <c r="A1064" s="10" t="s">
        <v>1191</v>
      </c>
      <c r="B1064" s="10" t="s">
        <v>74</v>
      </c>
      <c r="C1064" s="11">
        <v>45773</v>
      </c>
      <c r="D1064" s="11">
        <v>45803</v>
      </c>
      <c r="E1064" s="11">
        <v>45837</v>
      </c>
      <c r="F1064" s="12">
        <v>41940.870000000003</v>
      </c>
      <c r="G1064" s="12">
        <v>41940.870000000003</v>
      </c>
      <c r="H1064" s="12">
        <f t="shared" si="80"/>
        <v>0</v>
      </c>
      <c r="I1064" s="10">
        <f t="shared" si="81"/>
        <v>34</v>
      </c>
      <c r="J1064" s="10" t="str">
        <f t="shared" ca="1" si="82"/>
        <v>Paid</v>
      </c>
      <c r="K1064" s="10">
        <f t="shared" ca="1" si="83"/>
        <v>0</v>
      </c>
      <c r="L1064" s="10" t="str">
        <f t="shared" si="84"/>
        <v>Paid</v>
      </c>
      <c r="M1064" s="11">
        <v>45748</v>
      </c>
      <c r="N1064" s="11">
        <v>45809</v>
      </c>
    </row>
    <row r="1065" spans="1:14" x14ac:dyDescent="0.25">
      <c r="A1065" s="13" t="s">
        <v>1192</v>
      </c>
      <c r="B1065" s="13" t="s">
        <v>119</v>
      </c>
      <c r="C1065" s="14">
        <v>45751</v>
      </c>
      <c r="D1065" s="14">
        <v>45781</v>
      </c>
      <c r="E1065" s="14">
        <v>45781</v>
      </c>
      <c r="F1065" s="15">
        <v>31463.279999999999</v>
      </c>
      <c r="G1065" s="15">
        <v>31463.279999999999</v>
      </c>
      <c r="H1065" s="15">
        <f t="shared" si="80"/>
        <v>0</v>
      </c>
      <c r="I1065" s="13">
        <f t="shared" si="81"/>
        <v>0</v>
      </c>
      <c r="J1065" s="13" t="str">
        <f t="shared" ca="1" si="82"/>
        <v>Paid</v>
      </c>
      <c r="K1065" s="13">
        <f t="shared" ca="1" si="83"/>
        <v>0</v>
      </c>
      <c r="L1065" s="13" t="str">
        <f t="shared" si="84"/>
        <v>Paid</v>
      </c>
      <c r="M1065" s="14">
        <v>45748</v>
      </c>
      <c r="N1065" s="14">
        <v>45778</v>
      </c>
    </row>
    <row r="1066" spans="1:14" x14ac:dyDescent="0.25">
      <c r="A1066" s="10" t="s">
        <v>1193</v>
      </c>
      <c r="B1066" s="10" t="s">
        <v>129</v>
      </c>
      <c r="C1066" s="11">
        <v>45750</v>
      </c>
      <c r="D1066" s="11">
        <v>45780</v>
      </c>
      <c r="E1066" s="11">
        <v>45795</v>
      </c>
      <c r="F1066" s="12">
        <v>85632.49</v>
      </c>
      <c r="G1066" s="12">
        <v>85632.49</v>
      </c>
      <c r="H1066" s="12">
        <f t="shared" si="80"/>
        <v>0</v>
      </c>
      <c r="I1066" s="10">
        <f t="shared" si="81"/>
        <v>15</v>
      </c>
      <c r="J1066" s="10" t="str">
        <f t="shared" ca="1" si="82"/>
        <v>Paid</v>
      </c>
      <c r="K1066" s="10">
        <f t="shared" ca="1" si="83"/>
        <v>0</v>
      </c>
      <c r="L1066" s="10" t="str">
        <f t="shared" si="84"/>
        <v>Paid</v>
      </c>
      <c r="M1066" s="11">
        <v>45748</v>
      </c>
      <c r="N1066" s="11">
        <v>45778</v>
      </c>
    </row>
    <row r="1067" spans="1:14" x14ac:dyDescent="0.25">
      <c r="A1067" s="13" t="s">
        <v>1194</v>
      </c>
      <c r="B1067" s="13" t="s">
        <v>111</v>
      </c>
      <c r="C1067" s="14">
        <v>45764</v>
      </c>
      <c r="D1067" s="14">
        <v>45794</v>
      </c>
      <c r="E1067" s="14">
        <v>45809</v>
      </c>
      <c r="F1067" s="15">
        <v>51905.67</v>
      </c>
      <c r="G1067" s="15">
        <v>51905.67</v>
      </c>
      <c r="H1067" s="15">
        <f t="shared" si="80"/>
        <v>0</v>
      </c>
      <c r="I1067" s="13">
        <f t="shared" si="81"/>
        <v>15</v>
      </c>
      <c r="J1067" s="13" t="str">
        <f t="shared" ca="1" si="82"/>
        <v>Paid</v>
      </c>
      <c r="K1067" s="13">
        <f t="shared" ca="1" si="83"/>
        <v>0</v>
      </c>
      <c r="L1067" s="13" t="str">
        <f t="shared" si="84"/>
        <v>Paid</v>
      </c>
      <c r="M1067" s="14">
        <v>45748</v>
      </c>
      <c r="N1067" s="14">
        <v>45809</v>
      </c>
    </row>
    <row r="1068" spans="1:14" x14ac:dyDescent="0.25">
      <c r="A1068" s="10" t="s">
        <v>1195</v>
      </c>
      <c r="B1068" s="10" t="s">
        <v>87</v>
      </c>
      <c r="C1068" s="11">
        <v>45768</v>
      </c>
      <c r="D1068" s="11">
        <v>45798</v>
      </c>
      <c r="E1068" s="11">
        <v>45819</v>
      </c>
      <c r="F1068" s="12">
        <v>27314.79</v>
      </c>
      <c r="G1068" s="12">
        <v>27314.79</v>
      </c>
      <c r="H1068" s="12">
        <f t="shared" si="80"/>
        <v>0</v>
      </c>
      <c r="I1068" s="10">
        <f t="shared" si="81"/>
        <v>21</v>
      </c>
      <c r="J1068" s="10" t="str">
        <f t="shared" ca="1" si="82"/>
        <v>Paid</v>
      </c>
      <c r="K1068" s="10">
        <f t="shared" ca="1" si="83"/>
        <v>0</v>
      </c>
      <c r="L1068" s="10" t="str">
        <f t="shared" si="84"/>
        <v>Paid</v>
      </c>
      <c r="M1068" s="11">
        <v>45748</v>
      </c>
      <c r="N1068" s="11">
        <v>45809</v>
      </c>
    </row>
    <row r="1069" spans="1:14" x14ac:dyDescent="0.25">
      <c r="A1069" s="13" t="s">
        <v>1196</v>
      </c>
      <c r="B1069" s="13" t="s">
        <v>72</v>
      </c>
      <c r="C1069" s="14">
        <v>45766</v>
      </c>
      <c r="D1069" s="14">
        <v>45796</v>
      </c>
      <c r="E1069" s="14">
        <v>45851</v>
      </c>
      <c r="F1069" s="15">
        <v>25886.93</v>
      </c>
      <c r="G1069" s="15">
        <v>25886.93</v>
      </c>
      <c r="H1069" s="15">
        <f t="shared" si="80"/>
        <v>0</v>
      </c>
      <c r="I1069" s="13">
        <f t="shared" si="81"/>
        <v>55</v>
      </c>
      <c r="J1069" s="13" t="str">
        <f t="shared" ca="1" si="82"/>
        <v>Paid</v>
      </c>
      <c r="K1069" s="13">
        <f t="shared" ca="1" si="83"/>
        <v>0</v>
      </c>
      <c r="L1069" s="13" t="str">
        <f t="shared" si="84"/>
        <v>Paid</v>
      </c>
      <c r="M1069" s="14">
        <v>45748</v>
      </c>
      <c r="N1069" s="14">
        <v>45839</v>
      </c>
    </row>
    <row r="1070" spans="1:14" x14ac:dyDescent="0.25">
      <c r="A1070" s="10" t="s">
        <v>1197</v>
      </c>
      <c r="B1070" s="10" t="s">
        <v>123</v>
      </c>
      <c r="C1070" s="11">
        <v>45757</v>
      </c>
      <c r="D1070" s="11">
        <v>45787</v>
      </c>
      <c r="E1070" s="11">
        <v>45805</v>
      </c>
      <c r="F1070" s="12">
        <v>22026.65</v>
      </c>
      <c r="G1070" s="12">
        <v>22026.65</v>
      </c>
      <c r="H1070" s="12">
        <f t="shared" si="80"/>
        <v>0</v>
      </c>
      <c r="I1070" s="10">
        <f t="shared" si="81"/>
        <v>18</v>
      </c>
      <c r="J1070" s="10" t="str">
        <f t="shared" ca="1" si="82"/>
        <v>Paid</v>
      </c>
      <c r="K1070" s="10">
        <f t="shared" ca="1" si="83"/>
        <v>0</v>
      </c>
      <c r="L1070" s="10" t="str">
        <f t="shared" si="84"/>
        <v>Paid</v>
      </c>
      <c r="M1070" s="11">
        <v>45748</v>
      </c>
      <c r="N1070" s="11">
        <v>45778</v>
      </c>
    </row>
    <row r="1071" spans="1:14" x14ac:dyDescent="0.25">
      <c r="A1071" s="13" t="s">
        <v>1198</v>
      </c>
      <c r="B1071" s="13" t="s">
        <v>153</v>
      </c>
      <c r="C1071" s="14">
        <v>45749</v>
      </c>
      <c r="D1071" s="14">
        <v>45779</v>
      </c>
      <c r="E1071" s="14">
        <v>45851</v>
      </c>
      <c r="F1071" s="15">
        <v>36368.74</v>
      </c>
      <c r="G1071" s="15">
        <v>26033.62</v>
      </c>
      <c r="H1071" s="15">
        <f t="shared" si="80"/>
        <v>10335.119999999999</v>
      </c>
      <c r="I1071" s="13">
        <f t="shared" si="81"/>
        <v>72</v>
      </c>
      <c r="J1071" s="13" t="str">
        <f t="shared" ca="1" si="82"/>
        <v>Overdue</v>
      </c>
      <c r="K1071" s="13">
        <f t="shared" ca="1" si="83"/>
        <v>477</v>
      </c>
      <c r="L1071" s="13" t="str">
        <f t="shared" ca="1" si="84"/>
        <v>120+ Days</v>
      </c>
      <c r="M1071" s="14">
        <v>45748</v>
      </c>
      <c r="N1071" s="14">
        <v>45839</v>
      </c>
    </row>
    <row r="1072" spans="1:14" x14ac:dyDescent="0.25">
      <c r="A1072" s="10" t="s">
        <v>1199</v>
      </c>
      <c r="B1072" s="10" t="s">
        <v>81</v>
      </c>
      <c r="C1072" s="11">
        <v>45770</v>
      </c>
      <c r="D1072" s="11">
        <v>45800</v>
      </c>
      <c r="E1072" s="11">
        <v>45816</v>
      </c>
      <c r="F1072" s="12">
        <v>22303.85</v>
      </c>
      <c r="G1072" s="12">
        <v>22303.85</v>
      </c>
      <c r="H1072" s="12">
        <f t="shared" si="80"/>
        <v>0</v>
      </c>
      <c r="I1072" s="10">
        <f t="shared" si="81"/>
        <v>16</v>
      </c>
      <c r="J1072" s="10" t="str">
        <f t="shared" ca="1" si="82"/>
        <v>Paid</v>
      </c>
      <c r="K1072" s="10">
        <f t="shared" ca="1" si="83"/>
        <v>0</v>
      </c>
      <c r="L1072" s="10" t="str">
        <f t="shared" si="84"/>
        <v>Paid</v>
      </c>
      <c r="M1072" s="11">
        <v>45748</v>
      </c>
      <c r="N1072" s="11">
        <v>45809</v>
      </c>
    </row>
    <row r="1073" spans="1:14" x14ac:dyDescent="0.25">
      <c r="A1073" s="13" t="s">
        <v>1200</v>
      </c>
      <c r="B1073" s="13" t="s">
        <v>115</v>
      </c>
      <c r="C1073" s="14">
        <v>45753</v>
      </c>
      <c r="D1073" s="14">
        <v>45783</v>
      </c>
      <c r="E1073" s="14">
        <v>45783</v>
      </c>
      <c r="F1073" s="15">
        <v>46275.8</v>
      </c>
      <c r="G1073" s="15">
        <v>46275.8</v>
      </c>
      <c r="H1073" s="15">
        <f t="shared" si="80"/>
        <v>0</v>
      </c>
      <c r="I1073" s="13">
        <f t="shared" si="81"/>
        <v>0</v>
      </c>
      <c r="J1073" s="13" t="str">
        <f t="shared" ca="1" si="82"/>
        <v>Paid</v>
      </c>
      <c r="K1073" s="13">
        <f t="shared" ca="1" si="83"/>
        <v>0</v>
      </c>
      <c r="L1073" s="13" t="str">
        <f t="shared" si="84"/>
        <v>Paid</v>
      </c>
      <c r="M1073" s="14">
        <v>45748</v>
      </c>
      <c r="N1073" s="14">
        <v>45778</v>
      </c>
    </row>
    <row r="1074" spans="1:14" x14ac:dyDescent="0.25">
      <c r="A1074" s="10" t="s">
        <v>1201</v>
      </c>
      <c r="B1074" s="10" t="s">
        <v>74</v>
      </c>
      <c r="C1074" s="11">
        <v>45766</v>
      </c>
      <c r="D1074" s="11">
        <v>45796</v>
      </c>
      <c r="E1074" s="11">
        <v>45796</v>
      </c>
      <c r="F1074" s="12">
        <v>81681.25</v>
      </c>
      <c r="G1074" s="12">
        <v>81681.25</v>
      </c>
      <c r="H1074" s="12">
        <f t="shared" si="80"/>
        <v>0</v>
      </c>
      <c r="I1074" s="10">
        <f t="shared" si="81"/>
        <v>0</v>
      </c>
      <c r="J1074" s="10" t="str">
        <f t="shared" ca="1" si="82"/>
        <v>Paid</v>
      </c>
      <c r="K1074" s="10">
        <f t="shared" ca="1" si="83"/>
        <v>0</v>
      </c>
      <c r="L1074" s="10" t="str">
        <f t="shared" si="84"/>
        <v>Paid</v>
      </c>
      <c r="M1074" s="11">
        <v>45748</v>
      </c>
      <c r="N1074" s="11">
        <v>45778</v>
      </c>
    </row>
    <row r="1075" spans="1:14" x14ac:dyDescent="0.25">
      <c r="A1075" s="13" t="s">
        <v>1202</v>
      </c>
      <c r="B1075" s="13" t="s">
        <v>115</v>
      </c>
      <c r="C1075" s="14">
        <v>45748</v>
      </c>
      <c r="D1075" s="14">
        <v>45778</v>
      </c>
      <c r="E1075" s="14">
        <v>45836</v>
      </c>
      <c r="F1075" s="15">
        <v>45158.35</v>
      </c>
      <c r="G1075" s="15">
        <v>45158.35</v>
      </c>
      <c r="H1075" s="15">
        <f t="shared" si="80"/>
        <v>0</v>
      </c>
      <c r="I1075" s="13">
        <f t="shared" si="81"/>
        <v>58</v>
      </c>
      <c r="J1075" s="13" t="str">
        <f t="shared" ca="1" si="82"/>
        <v>Paid</v>
      </c>
      <c r="K1075" s="13">
        <f t="shared" ca="1" si="83"/>
        <v>0</v>
      </c>
      <c r="L1075" s="13" t="str">
        <f t="shared" si="84"/>
        <v>Paid</v>
      </c>
      <c r="M1075" s="14">
        <v>45748</v>
      </c>
      <c r="N1075" s="14">
        <v>45809</v>
      </c>
    </row>
    <row r="1076" spans="1:14" x14ac:dyDescent="0.25">
      <c r="A1076" s="10" t="s">
        <v>1203</v>
      </c>
      <c r="B1076" s="10" t="s">
        <v>113</v>
      </c>
      <c r="C1076" s="11">
        <v>45764</v>
      </c>
      <c r="D1076" s="11">
        <v>45794</v>
      </c>
      <c r="E1076" s="11">
        <v>45794</v>
      </c>
      <c r="F1076" s="12">
        <v>30966.35</v>
      </c>
      <c r="G1076" s="12">
        <v>30966.35</v>
      </c>
      <c r="H1076" s="12">
        <f t="shared" si="80"/>
        <v>0</v>
      </c>
      <c r="I1076" s="10">
        <f t="shared" si="81"/>
        <v>0</v>
      </c>
      <c r="J1076" s="10" t="str">
        <f t="shared" ca="1" si="82"/>
        <v>Paid</v>
      </c>
      <c r="K1076" s="10">
        <f t="shared" ca="1" si="83"/>
        <v>0</v>
      </c>
      <c r="L1076" s="10" t="str">
        <f t="shared" si="84"/>
        <v>Paid</v>
      </c>
      <c r="M1076" s="11">
        <v>45748</v>
      </c>
      <c r="N1076" s="11">
        <v>45778</v>
      </c>
    </row>
    <row r="1077" spans="1:14" x14ac:dyDescent="0.25">
      <c r="A1077" s="13" t="s">
        <v>1204</v>
      </c>
      <c r="B1077" s="13" t="s">
        <v>136</v>
      </c>
      <c r="C1077" s="14">
        <v>45765</v>
      </c>
      <c r="D1077" s="14">
        <v>45795</v>
      </c>
      <c r="E1077" s="14"/>
      <c r="F1077" s="15">
        <v>40210.199999999997</v>
      </c>
      <c r="G1077" s="15">
        <v>0</v>
      </c>
      <c r="H1077" s="15">
        <f t="shared" si="80"/>
        <v>40210.199999999997</v>
      </c>
      <c r="I1077" s="13" t="str">
        <f t="shared" si="81"/>
        <v/>
      </c>
      <c r="J1077" s="13" t="str">
        <f t="shared" ca="1" si="82"/>
        <v>Overdue</v>
      </c>
      <c r="K1077" s="13">
        <f t="shared" ca="1" si="83"/>
        <v>461</v>
      </c>
      <c r="L1077" s="13" t="str">
        <f t="shared" ca="1" si="84"/>
        <v>120+ Days</v>
      </c>
      <c r="M1077" s="14">
        <v>45748</v>
      </c>
      <c r="N1077" s="14"/>
    </row>
    <row r="1078" spans="1:14" x14ac:dyDescent="0.25">
      <c r="A1078" s="10" t="s">
        <v>1205</v>
      </c>
      <c r="B1078" s="10" t="s">
        <v>125</v>
      </c>
      <c r="C1078" s="11">
        <v>45759</v>
      </c>
      <c r="D1078" s="11">
        <v>45789</v>
      </c>
      <c r="E1078" s="11">
        <v>45817</v>
      </c>
      <c r="F1078" s="12">
        <v>14715.91</v>
      </c>
      <c r="G1078" s="12">
        <v>14715.91</v>
      </c>
      <c r="H1078" s="12">
        <f t="shared" si="80"/>
        <v>0</v>
      </c>
      <c r="I1078" s="10">
        <f t="shared" si="81"/>
        <v>28</v>
      </c>
      <c r="J1078" s="10" t="str">
        <f t="shared" ca="1" si="82"/>
        <v>Paid</v>
      </c>
      <c r="K1078" s="10">
        <f t="shared" ca="1" si="83"/>
        <v>0</v>
      </c>
      <c r="L1078" s="10" t="str">
        <f t="shared" si="84"/>
        <v>Paid</v>
      </c>
      <c r="M1078" s="11">
        <v>45748</v>
      </c>
      <c r="N1078" s="11">
        <v>45809</v>
      </c>
    </row>
    <row r="1079" spans="1:14" x14ac:dyDescent="0.25">
      <c r="A1079" s="13" t="s">
        <v>1206</v>
      </c>
      <c r="B1079" s="13" t="s">
        <v>109</v>
      </c>
      <c r="C1079" s="14">
        <v>45755</v>
      </c>
      <c r="D1079" s="14">
        <v>45785</v>
      </c>
      <c r="E1079" s="14">
        <v>45802</v>
      </c>
      <c r="F1079" s="15">
        <v>46949.99</v>
      </c>
      <c r="G1079" s="15">
        <v>46949.99</v>
      </c>
      <c r="H1079" s="15">
        <f t="shared" si="80"/>
        <v>0</v>
      </c>
      <c r="I1079" s="13">
        <f t="shared" si="81"/>
        <v>17</v>
      </c>
      <c r="J1079" s="13" t="str">
        <f t="shared" ca="1" si="82"/>
        <v>Paid</v>
      </c>
      <c r="K1079" s="13">
        <f t="shared" ca="1" si="83"/>
        <v>0</v>
      </c>
      <c r="L1079" s="13" t="str">
        <f t="shared" si="84"/>
        <v>Paid</v>
      </c>
      <c r="M1079" s="14">
        <v>45748</v>
      </c>
      <c r="N1079" s="14">
        <v>45778</v>
      </c>
    </row>
    <row r="1080" spans="1:14" x14ac:dyDescent="0.25">
      <c r="A1080" s="10" t="s">
        <v>1207</v>
      </c>
      <c r="B1080" s="10" t="s">
        <v>188</v>
      </c>
      <c r="C1080" s="11">
        <v>45752</v>
      </c>
      <c r="D1080" s="11">
        <v>45782</v>
      </c>
      <c r="E1080" s="11">
        <v>45804</v>
      </c>
      <c r="F1080" s="12">
        <v>46567.53</v>
      </c>
      <c r="G1080" s="12">
        <v>46567.53</v>
      </c>
      <c r="H1080" s="12">
        <f t="shared" si="80"/>
        <v>0</v>
      </c>
      <c r="I1080" s="10">
        <f t="shared" si="81"/>
        <v>22</v>
      </c>
      <c r="J1080" s="10" t="str">
        <f t="shared" ca="1" si="82"/>
        <v>Paid</v>
      </c>
      <c r="K1080" s="10">
        <f t="shared" ca="1" si="83"/>
        <v>0</v>
      </c>
      <c r="L1080" s="10" t="str">
        <f t="shared" si="84"/>
        <v>Paid</v>
      </c>
      <c r="M1080" s="11">
        <v>45748</v>
      </c>
      <c r="N1080" s="11">
        <v>45778</v>
      </c>
    </row>
    <row r="1081" spans="1:14" x14ac:dyDescent="0.25">
      <c r="A1081" s="13" t="s">
        <v>1208</v>
      </c>
      <c r="B1081" s="13" t="s">
        <v>87</v>
      </c>
      <c r="C1081" s="14">
        <v>45753</v>
      </c>
      <c r="D1081" s="14">
        <v>45783</v>
      </c>
      <c r="E1081" s="14">
        <v>45783</v>
      </c>
      <c r="F1081" s="15">
        <v>49060.36</v>
      </c>
      <c r="G1081" s="15">
        <v>49060.36</v>
      </c>
      <c r="H1081" s="15">
        <f t="shared" si="80"/>
        <v>0</v>
      </c>
      <c r="I1081" s="13">
        <f t="shared" si="81"/>
        <v>0</v>
      </c>
      <c r="J1081" s="13" t="str">
        <f t="shared" ca="1" si="82"/>
        <v>Paid</v>
      </c>
      <c r="K1081" s="13">
        <f t="shared" ca="1" si="83"/>
        <v>0</v>
      </c>
      <c r="L1081" s="13" t="str">
        <f t="shared" si="84"/>
        <v>Paid</v>
      </c>
      <c r="M1081" s="14">
        <v>45748</v>
      </c>
      <c r="N1081" s="14">
        <v>45778</v>
      </c>
    </row>
    <row r="1082" spans="1:14" x14ac:dyDescent="0.25">
      <c r="A1082" s="10" t="s">
        <v>1209</v>
      </c>
      <c r="B1082" s="10" t="s">
        <v>244</v>
      </c>
      <c r="C1082" s="11">
        <v>45773</v>
      </c>
      <c r="D1082" s="11">
        <v>45803</v>
      </c>
      <c r="E1082" s="11"/>
      <c r="F1082" s="12">
        <v>18214.82</v>
      </c>
      <c r="G1082" s="12">
        <v>0</v>
      </c>
      <c r="H1082" s="12">
        <f t="shared" si="80"/>
        <v>18214.82</v>
      </c>
      <c r="I1082" s="10" t="str">
        <f t="shared" si="81"/>
        <v/>
      </c>
      <c r="J1082" s="10" t="str">
        <f t="shared" ca="1" si="82"/>
        <v>Overdue</v>
      </c>
      <c r="K1082" s="10">
        <f t="shared" ca="1" si="83"/>
        <v>453</v>
      </c>
      <c r="L1082" s="10" t="str">
        <f t="shared" ca="1" si="84"/>
        <v>120+ Days</v>
      </c>
      <c r="M1082" s="11">
        <v>45748</v>
      </c>
      <c r="N1082" s="11"/>
    </row>
    <row r="1083" spans="1:14" x14ac:dyDescent="0.25">
      <c r="A1083" s="13" t="s">
        <v>1210</v>
      </c>
      <c r="B1083" s="13" t="s">
        <v>117</v>
      </c>
      <c r="C1083" s="14">
        <v>45755</v>
      </c>
      <c r="D1083" s="14">
        <v>45785</v>
      </c>
      <c r="E1083" s="14"/>
      <c r="F1083" s="15">
        <v>45129.11</v>
      </c>
      <c r="G1083" s="15">
        <v>0</v>
      </c>
      <c r="H1083" s="15">
        <f t="shared" si="80"/>
        <v>45129.11</v>
      </c>
      <c r="I1083" s="13" t="str">
        <f t="shared" si="81"/>
        <v/>
      </c>
      <c r="J1083" s="13" t="str">
        <f t="shared" ca="1" si="82"/>
        <v>Overdue</v>
      </c>
      <c r="K1083" s="13">
        <f t="shared" ca="1" si="83"/>
        <v>471</v>
      </c>
      <c r="L1083" s="13" t="str">
        <f t="shared" ca="1" si="84"/>
        <v>120+ Days</v>
      </c>
      <c r="M1083" s="14">
        <v>45748</v>
      </c>
      <c r="N1083" s="14"/>
    </row>
    <row r="1084" spans="1:14" x14ac:dyDescent="0.25">
      <c r="A1084" s="10" t="s">
        <v>1211</v>
      </c>
      <c r="B1084" s="10" t="s">
        <v>140</v>
      </c>
      <c r="C1084" s="11">
        <v>45773</v>
      </c>
      <c r="D1084" s="11">
        <v>45803</v>
      </c>
      <c r="E1084" s="11">
        <v>45825</v>
      </c>
      <c r="F1084" s="12">
        <v>36251.4</v>
      </c>
      <c r="G1084" s="12">
        <v>36251.4</v>
      </c>
      <c r="H1084" s="12">
        <f t="shared" si="80"/>
        <v>0</v>
      </c>
      <c r="I1084" s="10">
        <f t="shared" si="81"/>
        <v>22</v>
      </c>
      <c r="J1084" s="10" t="str">
        <f t="shared" ca="1" si="82"/>
        <v>Paid</v>
      </c>
      <c r="K1084" s="10">
        <f t="shared" ca="1" si="83"/>
        <v>0</v>
      </c>
      <c r="L1084" s="10" t="str">
        <f t="shared" si="84"/>
        <v>Paid</v>
      </c>
      <c r="M1084" s="11">
        <v>45748</v>
      </c>
      <c r="N1084" s="11">
        <v>45809</v>
      </c>
    </row>
    <row r="1085" spans="1:14" x14ac:dyDescent="0.25">
      <c r="A1085" s="13" t="s">
        <v>1212</v>
      </c>
      <c r="B1085" s="13" t="s">
        <v>107</v>
      </c>
      <c r="C1085" s="14">
        <v>45766</v>
      </c>
      <c r="D1085" s="14">
        <v>45796</v>
      </c>
      <c r="E1085" s="14">
        <v>45796</v>
      </c>
      <c r="F1085" s="15">
        <v>53310.01</v>
      </c>
      <c r="G1085" s="15">
        <v>53310.01</v>
      </c>
      <c r="H1085" s="15">
        <f t="shared" si="80"/>
        <v>0</v>
      </c>
      <c r="I1085" s="13">
        <f t="shared" si="81"/>
        <v>0</v>
      </c>
      <c r="J1085" s="13" t="str">
        <f t="shared" ca="1" si="82"/>
        <v>Paid</v>
      </c>
      <c r="K1085" s="13">
        <f t="shared" ca="1" si="83"/>
        <v>0</v>
      </c>
      <c r="L1085" s="13" t="str">
        <f t="shared" si="84"/>
        <v>Paid</v>
      </c>
      <c r="M1085" s="14">
        <v>45748</v>
      </c>
      <c r="N1085" s="14">
        <v>45778</v>
      </c>
    </row>
    <row r="1086" spans="1:14" x14ac:dyDescent="0.25">
      <c r="A1086" s="10" t="s">
        <v>1213</v>
      </c>
      <c r="B1086" s="10" t="s">
        <v>171</v>
      </c>
      <c r="C1086" s="11">
        <v>45766</v>
      </c>
      <c r="D1086" s="11">
        <v>45796</v>
      </c>
      <c r="E1086" s="11">
        <v>45808</v>
      </c>
      <c r="F1086" s="12">
        <v>28825.56</v>
      </c>
      <c r="G1086" s="12">
        <v>28825.56</v>
      </c>
      <c r="H1086" s="12">
        <f t="shared" si="80"/>
        <v>0</v>
      </c>
      <c r="I1086" s="10">
        <f t="shared" si="81"/>
        <v>12</v>
      </c>
      <c r="J1086" s="10" t="str">
        <f t="shared" ca="1" si="82"/>
        <v>Paid</v>
      </c>
      <c r="K1086" s="10">
        <f t="shared" ca="1" si="83"/>
        <v>0</v>
      </c>
      <c r="L1086" s="10" t="str">
        <f t="shared" si="84"/>
        <v>Paid</v>
      </c>
      <c r="M1086" s="11">
        <v>45748</v>
      </c>
      <c r="N1086" s="11">
        <v>45778</v>
      </c>
    </row>
    <row r="1087" spans="1:14" x14ac:dyDescent="0.25">
      <c r="A1087" s="13" t="s">
        <v>1214</v>
      </c>
      <c r="B1087" s="13" t="s">
        <v>101</v>
      </c>
      <c r="C1087" s="14">
        <v>45771</v>
      </c>
      <c r="D1087" s="14">
        <v>45801</v>
      </c>
      <c r="E1087" s="14">
        <v>45847</v>
      </c>
      <c r="F1087" s="15">
        <v>12028.74</v>
      </c>
      <c r="G1087" s="15">
        <v>12028.74</v>
      </c>
      <c r="H1087" s="15">
        <f t="shared" si="80"/>
        <v>0</v>
      </c>
      <c r="I1087" s="13">
        <f t="shared" si="81"/>
        <v>46</v>
      </c>
      <c r="J1087" s="13" t="str">
        <f t="shared" ca="1" si="82"/>
        <v>Paid</v>
      </c>
      <c r="K1087" s="13">
        <f t="shared" ca="1" si="83"/>
        <v>0</v>
      </c>
      <c r="L1087" s="13" t="str">
        <f t="shared" si="84"/>
        <v>Paid</v>
      </c>
      <c r="M1087" s="14">
        <v>45748</v>
      </c>
      <c r="N1087" s="14">
        <v>45839</v>
      </c>
    </row>
    <row r="1088" spans="1:14" x14ac:dyDescent="0.25">
      <c r="A1088" s="10" t="s">
        <v>1215</v>
      </c>
      <c r="B1088" s="10" t="s">
        <v>233</v>
      </c>
      <c r="C1088" s="11">
        <v>45774</v>
      </c>
      <c r="D1088" s="11">
        <v>45804</v>
      </c>
      <c r="E1088" s="11">
        <v>45831</v>
      </c>
      <c r="F1088" s="12">
        <v>17512.060000000001</v>
      </c>
      <c r="G1088" s="12">
        <v>17512.060000000001</v>
      </c>
      <c r="H1088" s="12">
        <f t="shared" si="80"/>
        <v>0</v>
      </c>
      <c r="I1088" s="10">
        <f t="shared" si="81"/>
        <v>27</v>
      </c>
      <c r="J1088" s="10" t="str">
        <f t="shared" ca="1" si="82"/>
        <v>Paid</v>
      </c>
      <c r="K1088" s="10">
        <f t="shared" ca="1" si="83"/>
        <v>0</v>
      </c>
      <c r="L1088" s="10" t="str">
        <f t="shared" si="84"/>
        <v>Paid</v>
      </c>
      <c r="M1088" s="11">
        <v>45748</v>
      </c>
      <c r="N1088" s="11">
        <v>45809</v>
      </c>
    </row>
    <row r="1089" spans="1:14" x14ac:dyDescent="0.25">
      <c r="A1089" s="13" t="s">
        <v>1216</v>
      </c>
      <c r="B1089" s="13" t="s">
        <v>131</v>
      </c>
      <c r="C1089" s="14">
        <v>45748</v>
      </c>
      <c r="D1089" s="14">
        <v>45778</v>
      </c>
      <c r="E1089" s="14">
        <v>45779</v>
      </c>
      <c r="F1089" s="15">
        <v>47163.88</v>
      </c>
      <c r="G1089" s="15">
        <v>47163.88</v>
      </c>
      <c r="H1089" s="15">
        <f t="shared" si="80"/>
        <v>0</v>
      </c>
      <c r="I1089" s="13">
        <f t="shared" si="81"/>
        <v>1</v>
      </c>
      <c r="J1089" s="13" t="str">
        <f t="shared" ca="1" si="82"/>
        <v>Paid</v>
      </c>
      <c r="K1089" s="13">
        <f t="shared" ca="1" si="83"/>
        <v>0</v>
      </c>
      <c r="L1089" s="13" t="str">
        <f t="shared" si="84"/>
        <v>Paid</v>
      </c>
      <c r="M1089" s="14">
        <v>45748</v>
      </c>
      <c r="N1089" s="14">
        <v>45778</v>
      </c>
    </row>
    <row r="1090" spans="1:14" x14ac:dyDescent="0.25">
      <c r="A1090" s="10" t="s">
        <v>1217</v>
      </c>
      <c r="B1090" s="10" t="s">
        <v>150</v>
      </c>
      <c r="C1090" s="11">
        <v>45774</v>
      </c>
      <c r="D1090" s="11">
        <v>45804</v>
      </c>
      <c r="E1090" s="11">
        <v>45823</v>
      </c>
      <c r="F1090" s="12">
        <v>122629.3</v>
      </c>
      <c r="G1090" s="12">
        <v>122629.3</v>
      </c>
      <c r="H1090" s="12">
        <f t="shared" ref="H1090:H1153" si="85">MAX(0,F1090-G1090)</f>
        <v>0</v>
      </c>
      <c r="I1090" s="10">
        <f t="shared" ref="I1090:I1153" si="86">IF(E1090="","",MAX(0,E1090-D1090))</f>
        <v>19</v>
      </c>
      <c r="J1090" s="10" t="str">
        <f t="shared" ref="J1090:J1153" ca="1" si="87">IF(H1090=0,"Paid",IF(D1090&lt;TODAY(),"Overdue","Open"))</f>
        <v>Paid</v>
      </c>
      <c r="K1090" s="10">
        <f t="shared" ref="K1090:K1153" ca="1" si="88">IF(H1090=0,0,MAX(0,TODAY()-D1090))</f>
        <v>0</v>
      </c>
      <c r="L1090" s="10" t="str">
        <f t="shared" ref="L1090:L1153" si="89">IF(H1090=0,"Paid",IF(K1090&lt;=30,"0-30 Days",IF(K1090&lt;=60,"31-60 Days",IF(K1090&lt;=90,"61-90 Days",IF(K1090&lt;=120,"91-120 Days","120+ Days")))))</f>
        <v>Paid</v>
      </c>
      <c r="M1090" s="11">
        <v>45748</v>
      </c>
      <c r="N1090" s="11">
        <v>45809</v>
      </c>
    </row>
    <row r="1091" spans="1:14" x14ac:dyDescent="0.25">
      <c r="A1091" s="13" t="s">
        <v>1218</v>
      </c>
      <c r="B1091" s="13" t="s">
        <v>331</v>
      </c>
      <c r="C1091" s="14">
        <v>45753</v>
      </c>
      <c r="D1091" s="14">
        <v>45783</v>
      </c>
      <c r="E1091" s="14">
        <v>45830</v>
      </c>
      <c r="F1091" s="15">
        <v>52415.57</v>
      </c>
      <c r="G1091" s="15">
        <v>52415.57</v>
      </c>
      <c r="H1091" s="15">
        <f t="shared" si="85"/>
        <v>0</v>
      </c>
      <c r="I1091" s="13">
        <f t="shared" si="86"/>
        <v>47</v>
      </c>
      <c r="J1091" s="13" t="str">
        <f t="shared" ca="1" si="87"/>
        <v>Paid</v>
      </c>
      <c r="K1091" s="13">
        <f t="shared" ca="1" si="88"/>
        <v>0</v>
      </c>
      <c r="L1091" s="13" t="str">
        <f t="shared" si="89"/>
        <v>Paid</v>
      </c>
      <c r="M1091" s="14">
        <v>45748</v>
      </c>
      <c r="N1091" s="14">
        <v>45809</v>
      </c>
    </row>
    <row r="1092" spans="1:14" x14ac:dyDescent="0.25">
      <c r="A1092" s="10" t="s">
        <v>1219</v>
      </c>
      <c r="B1092" s="10" t="s">
        <v>109</v>
      </c>
      <c r="C1092" s="11">
        <v>45761</v>
      </c>
      <c r="D1092" s="11">
        <v>45791</v>
      </c>
      <c r="E1092" s="11">
        <v>45791</v>
      </c>
      <c r="F1092" s="12">
        <v>44614.21</v>
      </c>
      <c r="G1092" s="12">
        <v>44614.21</v>
      </c>
      <c r="H1092" s="12">
        <f t="shared" si="85"/>
        <v>0</v>
      </c>
      <c r="I1092" s="10">
        <f t="shared" si="86"/>
        <v>0</v>
      </c>
      <c r="J1092" s="10" t="str">
        <f t="shared" ca="1" si="87"/>
        <v>Paid</v>
      </c>
      <c r="K1092" s="10">
        <f t="shared" ca="1" si="88"/>
        <v>0</v>
      </c>
      <c r="L1092" s="10" t="str">
        <f t="shared" si="89"/>
        <v>Paid</v>
      </c>
      <c r="M1092" s="11">
        <v>45748</v>
      </c>
      <c r="N1092" s="11">
        <v>45778</v>
      </c>
    </row>
    <row r="1093" spans="1:14" x14ac:dyDescent="0.25">
      <c r="A1093" s="13" t="s">
        <v>1220</v>
      </c>
      <c r="B1093" s="13" t="s">
        <v>107</v>
      </c>
      <c r="C1093" s="14">
        <v>45769</v>
      </c>
      <c r="D1093" s="14">
        <v>45799</v>
      </c>
      <c r="E1093" s="14">
        <v>45799</v>
      </c>
      <c r="F1093" s="15">
        <v>45481.47</v>
      </c>
      <c r="G1093" s="15">
        <v>45481.47</v>
      </c>
      <c r="H1093" s="15">
        <f t="shared" si="85"/>
        <v>0</v>
      </c>
      <c r="I1093" s="13">
        <f t="shared" si="86"/>
        <v>0</v>
      </c>
      <c r="J1093" s="13" t="str">
        <f t="shared" ca="1" si="87"/>
        <v>Paid</v>
      </c>
      <c r="K1093" s="13">
        <f t="shared" ca="1" si="88"/>
        <v>0</v>
      </c>
      <c r="L1093" s="13" t="str">
        <f t="shared" si="89"/>
        <v>Paid</v>
      </c>
      <c r="M1093" s="14">
        <v>45748</v>
      </c>
      <c r="N1093" s="14">
        <v>45778</v>
      </c>
    </row>
    <row r="1094" spans="1:14" x14ac:dyDescent="0.25">
      <c r="A1094" s="10" t="s">
        <v>1221</v>
      </c>
      <c r="B1094" s="10" t="s">
        <v>150</v>
      </c>
      <c r="C1094" s="11">
        <v>45754</v>
      </c>
      <c r="D1094" s="11">
        <v>45784</v>
      </c>
      <c r="E1094" s="11">
        <v>45787</v>
      </c>
      <c r="F1094" s="12">
        <v>122521.82</v>
      </c>
      <c r="G1094" s="12">
        <v>122521.82</v>
      </c>
      <c r="H1094" s="12">
        <f t="shared" si="85"/>
        <v>0</v>
      </c>
      <c r="I1094" s="10">
        <f t="shared" si="86"/>
        <v>3</v>
      </c>
      <c r="J1094" s="10" t="str">
        <f t="shared" ca="1" si="87"/>
        <v>Paid</v>
      </c>
      <c r="K1094" s="10">
        <f t="shared" ca="1" si="88"/>
        <v>0</v>
      </c>
      <c r="L1094" s="10" t="str">
        <f t="shared" si="89"/>
        <v>Paid</v>
      </c>
      <c r="M1094" s="11">
        <v>45748</v>
      </c>
      <c r="N1094" s="11">
        <v>45778</v>
      </c>
    </row>
    <row r="1095" spans="1:14" x14ac:dyDescent="0.25">
      <c r="A1095" s="13" t="s">
        <v>1222</v>
      </c>
      <c r="B1095" s="13" t="s">
        <v>123</v>
      </c>
      <c r="C1095" s="14">
        <v>45767</v>
      </c>
      <c r="D1095" s="14">
        <v>45797</v>
      </c>
      <c r="E1095" s="14">
        <v>45820</v>
      </c>
      <c r="F1095" s="15">
        <v>38363.620000000003</v>
      </c>
      <c r="G1095" s="15">
        <v>38363.620000000003</v>
      </c>
      <c r="H1095" s="15">
        <f t="shared" si="85"/>
        <v>0</v>
      </c>
      <c r="I1095" s="13">
        <f t="shared" si="86"/>
        <v>23</v>
      </c>
      <c r="J1095" s="13" t="str">
        <f t="shared" ca="1" si="87"/>
        <v>Paid</v>
      </c>
      <c r="K1095" s="13">
        <f t="shared" ca="1" si="88"/>
        <v>0</v>
      </c>
      <c r="L1095" s="13" t="str">
        <f t="shared" si="89"/>
        <v>Paid</v>
      </c>
      <c r="M1095" s="14">
        <v>45748</v>
      </c>
      <c r="N1095" s="14">
        <v>45809</v>
      </c>
    </row>
    <row r="1096" spans="1:14" x14ac:dyDescent="0.25">
      <c r="A1096" s="10" t="s">
        <v>1223</v>
      </c>
      <c r="B1096" s="10" t="s">
        <v>76</v>
      </c>
      <c r="C1096" s="11">
        <v>45768</v>
      </c>
      <c r="D1096" s="11">
        <v>45798</v>
      </c>
      <c r="E1096" s="11">
        <v>45813</v>
      </c>
      <c r="F1096" s="12">
        <v>38901.879999999997</v>
      </c>
      <c r="G1096" s="12">
        <v>38901.879999999997</v>
      </c>
      <c r="H1096" s="12">
        <f t="shared" si="85"/>
        <v>0</v>
      </c>
      <c r="I1096" s="10">
        <f t="shared" si="86"/>
        <v>15</v>
      </c>
      <c r="J1096" s="10" t="str">
        <f t="shared" ca="1" si="87"/>
        <v>Paid</v>
      </c>
      <c r="K1096" s="10">
        <f t="shared" ca="1" si="88"/>
        <v>0</v>
      </c>
      <c r="L1096" s="10" t="str">
        <f t="shared" si="89"/>
        <v>Paid</v>
      </c>
      <c r="M1096" s="11">
        <v>45748</v>
      </c>
      <c r="N1096" s="11">
        <v>45809</v>
      </c>
    </row>
    <row r="1097" spans="1:14" x14ac:dyDescent="0.25">
      <c r="A1097" s="13" t="s">
        <v>1224</v>
      </c>
      <c r="B1097" s="13" t="s">
        <v>125</v>
      </c>
      <c r="C1097" s="14">
        <v>45773</v>
      </c>
      <c r="D1097" s="14">
        <v>45803</v>
      </c>
      <c r="E1097" s="14">
        <v>45810</v>
      </c>
      <c r="F1097" s="15">
        <v>35482.959999999999</v>
      </c>
      <c r="G1097" s="15">
        <v>35482.959999999999</v>
      </c>
      <c r="H1097" s="15">
        <f t="shared" si="85"/>
        <v>0</v>
      </c>
      <c r="I1097" s="13">
        <f t="shared" si="86"/>
        <v>7</v>
      </c>
      <c r="J1097" s="13" t="str">
        <f t="shared" ca="1" si="87"/>
        <v>Paid</v>
      </c>
      <c r="K1097" s="13">
        <f t="shared" ca="1" si="88"/>
        <v>0</v>
      </c>
      <c r="L1097" s="13" t="str">
        <f t="shared" si="89"/>
        <v>Paid</v>
      </c>
      <c r="M1097" s="14">
        <v>45748</v>
      </c>
      <c r="N1097" s="14">
        <v>45809</v>
      </c>
    </row>
    <row r="1098" spans="1:14" x14ac:dyDescent="0.25">
      <c r="A1098" s="10" t="s">
        <v>1225</v>
      </c>
      <c r="B1098" s="10" t="s">
        <v>138</v>
      </c>
      <c r="C1098" s="11">
        <v>45760</v>
      </c>
      <c r="D1098" s="11">
        <v>45790</v>
      </c>
      <c r="E1098" s="11">
        <v>45822</v>
      </c>
      <c r="F1098" s="12">
        <v>74253.22</v>
      </c>
      <c r="G1098" s="12">
        <v>74253.22</v>
      </c>
      <c r="H1098" s="12">
        <f t="shared" si="85"/>
        <v>0</v>
      </c>
      <c r="I1098" s="10">
        <f t="shared" si="86"/>
        <v>32</v>
      </c>
      <c r="J1098" s="10" t="str">
        <f t="shared" ca="1" si="87"/>
        <v>Paid</v>
      </c>
      <c r="K1098" s="10">
        <f t="shared" ca="1" si="88"/>
        <v>0</v>
      </c>
      <c r="L1098" s="10" t="str">
        <f t="shared" si="89"/>
        <v>Paid</v>
      </c>
      <c r="M1098" s="11">
        <v>45748</v>
      </c>
      <c r="N1098" s="11">
        <v>45809</v>
      </c>
    </row>
    <row r="1099" spans="1:14" x14ac:dyDescent="0.25">
      <c r="A1099" s="13" t="s">
        <v>1226</v>
      </c>
      <c r="B1099" s="13" t="s">
        <v>99</v>
      </c>
      <c r="C1099" s="14">
        <v>45764</v>
      </c>
      <c r="D1099" s="14">
        <v>45794</v>
      </c>
      <c r="E1099" s="14">
        <v>45809</v>
      </c>
      <c r="F1099" s="15">
        <v>30867.37</v>
      </c>
      <c r="G1099" s="15">
        <v>30867.37</v>
      </c>
      <c r="H1099" s="15">
        <f t="shared" si="85"/>
        <v>0</v>
      </c>
      <c r="I1099" s="13">
        <f t="shared" si="86"/>
        <v>15</v>
      </c>
      <c r="J1099" s="13" t="str">
        <f t="shared" ca="1" si="87"/>
        <v>Paid</v>
      </c>
      <c r="K1099" s="13">
        <f t="shared" ca="1" si="88"/>
        <v>0</v>
      </c>
      <c r="L1099" s="13" t="str">
        <f t="shared" si="89"/>
        <v>Paid</v>
      </c>
      <c r="M1099" s="14">
        <v>45748</v>
      </c>
      <c r="N1099" s="14">
        <v>45809</v>
      </c>
    </row>
    <row r="1100" spans="1:14" x14ac:dyDescent="0.25">
      <c r="A1100" s="10" t="s">
        <v>1227</v>
      </c>
      <c r="B1100" s="10" t="s">
        <v>87</v>
      </c>
      <c r="C1100" s="11">
        <v>45749</v>
      </c>
      <c r="D1100" s="11">
        <v>45779</v>
      </c>
      <c r="E1100" s="11">
        <v>45792</v>
      </c>
      <c r="F1100" s="12">
        <v>19813.82</v>
      </c>
      <c r="G1100" s="12">
        <v>19813.82</v>
      </c>
      <c r="H1100" s="12">
        <f t="shared" si="85"/>
        <v>0</v>
      </c>
      <c r="I1100" s="10">
        <f t="shared" si="86"/>
        <v>13</v>
      </c>
      <c r="J1100" s="10" t="str">
        <f t="shared" ca="1" si="87"/>
        <v>Paid</v>
      </c>
      <c r="K1100" s="10">
        <f t="shared" ca="1" si="88"/>
        <v>0</v>
      </c>
      <c r="L1100" s="10" t="str">
        <f t="shared" si="89"/>
        <v>Paid</v>
      </c>
      <c r="M1100" s="11">
        <v>45748</v>
      </c>
      <c r="N1100" s="11">
        <v>45778</v>
      </c>
    </row>
    <row r="1101" spans="1:14" x14ac:dyDescent="0.25">
      <c r="A1101" s="13" t="s">
        <v>1228</v>
      </c>
      <c r="B1101" s="13" t="s">
        <v>131</v>
      </c>
      <c r="C1101" s="14">
        <v>45764</v>
      </c>
      <c r="D1101" s="14">
        <v>45794</v>
      </c>
      <c r="E1101" s="14">
        <v>45851</v>
      </c>
      <c r="F1101" s="15">
        <v>47499.7</v>
      </c>
      <c r="G1101" s="15">
        <v>22719.5</v>
      </c>
      <c r="H1101" s="15">
        <f t="shared" si="85"/>
        <v>24780.199999999997</v>
      </c>
      <c r="I1101" s="13">
        <f t="shared" si="86"/>
        <v>57</v>
      </c>
      <c r="J1101" s="13" t="str">
        <f t="shared" ca="1" si="87"/>
        <v>Overdue</v>
      </c>
      <c r="K1101" s="13">
        <f t="shared" ca="1" si="88"/>
        <v>462</v>
      </c>
      <c r="L1101" s="13" t="str">
        <f t="shared" ca="1" si="89"/>
        <v>120+ Days</v>
      </c>
      <c r="M1101" s="14">
        <v>45748</v>
      </c>
      <c r="N1101" s="14">
        <v>45839</v>
      </c>
    </row>
    <row r="1102" spans="1:14" x14ac:dyDescent="0.25">
      <c r="A1102" s="10" t="s">
        <v>1229</v>
      </c>
      <c r="B1102" s="10" t="s">
        <v>101</v>
      </c>
      <c r="C1102" s="11">
        <v>45754</v>
      </c>
      <c r="D1102" s="11">
        <v>45784</v>
      </c>
      <c r="E1102" s="11"/>
      <c r="F1102" s="12">
        <v>72356.070000000007</v>
      </c>
      <c r="G1102" s="12">
        <v>0</v>
      </c>
      <c r="H1102" s="12">
        <f t="shared" si="85"/>
        <v>72356.070000000007</v>
      </c>
      <c r="I1102" s="10" t="str">
        <f t="shared" si="86"/>
        <v/>
      </c>
      <c r="J1102" s="10" t="str">
        <f t="shared" ca="1" si="87"/>
        <v>Overdue</v>
      </c>
      <c r="K1102" s="10">
        <f t="shared" ca="1" si="88"/>
        <v>472</v>
      </c>
      <c r="L1102" s="10" t="str">
        <f t="shared" ca="1" si="89"/>
        <v>120+ Days</v>
      </c>
      <c r="M1102" s="11">
        <v>45748</v>
      </c>
      <c r="N1102" s="11"/>
    </row>
    <row r="1103" spans="1:14" x14ac:dyDescent="0.25">
      <c r="A1103" s="13" t="s">
        <v>1230</v>
      </c>
      <c r="B1103" s="13" t="s">
        <v>220</v>
      </c>
      <c r="C1103" s="14">
        <v>45772</v>
      </c>
      <c r="D1103" s="14">
        <v>45802</v>
      </c>
      <c r="E1103" s="14">
        <v>45848</v>
      </c>
      <c r="F1103" s="15">
        <v>22504.080000000002</v>
      </c>
      <c r="G1103" s="15">
        <v>22504.080000000002</v>
      </c>
      <c r="H1103" s="15">
        <f t="shared" si="85"/>
        <v>0</v>
      </c>
      <c r="I1103" s="13">
        <f t="shared" si="86"/>
        <v>46</v>
      </c>
      <c r="J1103" s="13" t="str">
        <f t="shared" ca="1" si="87"/>
        <v>Paid</v>
      </c>
      <c r="K1103" s="13">
        <f t="shared" ca="1" si="88"/>
        <v>0</v>
      </c>
      <c r="L1103" s="13" t="str">
        <f t="shared" si="89"/>
        <v>Paid</v>
      </c>
      <c r="M1103" s="14">
        <v>45748</v>
      </c>
      <c r="N1103" s="14">
        <v>45839</v>
      </c>
    </row>
    <row r="1104" spans="1:14" x14ac:dyDescent="0.25">
      <c r="A1104" s="10" t="s">
        <v>1231</v>
      </c>
      <c r="B1104" s="10" t="s">
        <v>79</v>
      </c>
      <c r="C1104" s="11">
        <v>45766</v>
      </c>
      <c r="D1104" s="11">
        <v>45796</v>
      </c>
      <c r="E1104" s="11">
        <v>45822</v>
      </c>
      <c r="F1104" s="12">
        <v>42718.67</v>
      </c>
      <c r="G1104" s="12">
        <v>42718.67</v>
      </c>
      <c r="H1104" s="12">
        <f t="shared" si="85"/>
        <v>0</v>
      </c>
      <c r="I1104" s="10">
        <f t="shared" si="86"/>
        <v>26</v>
      </c>
      <c r="J1104" s="10" t="str">
        <f t="shared" ca="1" si="87"/>
        <v>Paid</v>
      </c>
      <c r="K1104" s="10">
        <f t="shared" ca="1" si="88"/>
        <v>0</v>
      </c>
      <c r="L1104" s="10" t="str">
        <f t="shared" si="89"/>
        <v>Paid</v>
      </c>
      <c r="M1104" s="11">
        <v>45748</v>
      </c>
      <c r="N1104" s="11">
        <v>45809</v>
      </c>
    </row>
    <row r="1105" spans="1:14" x14ac:dyDescent="0.25">
      <c r="A1105" s="13" t="s">
        <v>1232</v>
      </c>
      <c r="B1105" s="13" t="s">
        <v>113</v>
      </c>
      <c r="C1105" s="14">
        <v>45749</v>
      </c>
      <c r="D1105" s="14">
        <v>45779</v>
      </c>
      <c r="E1105" s="14">
        <v>45779</v>
      </c>
      <c r="F1105" s="15">
        <v>54308.27</v>
      </c>
      <c r="G1105" s="15">
        <v>54308.27</v>
      </c>
      <c r="H1105" s="15">
        <f t="shared" si="85"/>
        <v>0</v>
      </c>
      <c r="I1105" s="13">
        <f t="shared" si="86"/>
        <v>0</v>
      </c>
      <c r="J1105" s="13" t="str">
        <f t="shared" ca="1" si="87"/>
        <v>Paid</v>
      </c>
      <c r="K1105" s="13">
        <f t="shared" ca="1" si="88"/>
        <v>0</v>
      </c>
      <c r="L1105" s="13" t="str">
        <f t="shared" si="89"/>
        <v>Paid</v>
      </c>
      <c r="M1105" s="14">
        <v>45748</v>
      </c>
      <c r="N1105" s="14">
        <v>45778</v>
      </c>
    </row>
    <row r="1106" spans="1:14" x14ac:dyDescent="0.25">
      <c r="A1106" s="10" t="s">
        <v>1233</v>
      </c>
      <c r="B1106" s="10" t="s">
        <v>171</v>
      </c>
      <c r="C1106" s="11">
        <v>45803</v>
      </c>
      <c r="D1106" s="11">
        <v>45833</v>
      </c>
      <c r="E1106" s="11">
        <v>45861</v>
      </c>
      <c r="F1106" s="12">
        <v>31006.22</v>
      </c>
      <c r="G1106" s="12">
        <v>31006.22</v>
      </c>
      <c r="H1106" s="12">
        <f t="shared" si="85"/>
        <v>0</v>
      </c>
      <c r="I1106" s="10">
        <f t="shared" si="86"/>
        <v>28</v>
      </c>
      <c r="J1106" s="10" t="str">
        <f t="shared" ca="1" si="87"/>
        <v>Paid</v>
      </c>
      <c r="K1106" s="10">
        <f t="shared" ca="1" si="88"/>
        <v>0</v>
      </c>
      <c r="L1106" s="10" t="str">
        <f t="shared" si="89"/>
        <v>Paid</v>
      </c>
      <c r="M1106" s="11">
        <v>45778</v>
      </c>
      <c r="N1106" s="11">
        <v>45839</v>
      </c>
    </row>
    <row r="1107" spans="1:14" x14ac:dyDescent="0.25">
      <c r="A1107" s="13" t="s">
        <v>1234</v>
      </c>
      <c r="B1107" s="13" t="s">
        <v>117</v>
      </c>
      <c r="C1107" s="14">
        <v>45792</v>
      </c>
      <c r="D1107" s="14">
        <v>45822</v>
      </c>
      <c r="E1107" s="14"/>
      <c r="F1107" s="15">
        <v>9446.84</v>
      </c>
      <c r="G1107" s="15">
        <v>0</v>
      </c>
      <c r="H1107" s="15">
        <f t="shared" si="85"/>
        <v>9446.84</v>
      </c>
      <c r="I1107" s="13" t="str">
        <f t="shared" si="86"/>
        <v/>
      </c>
      <c r="J1107" s="13" t="str">
        <f t="shared" ca="1" si="87"/>
        <v>Overdue</v>
      </c>
      <c r="K1107" s="13">
        <f t="shared" ca="1" si="88"/>
        <v>434</v>
      </c>
      <c r="L1107" s="13" t="str">
        <f t="shared" ca="1" si="89"/>
        <v>120+ Days</v>
      </c>
      <c r="M1107" s="14">
        <v>45778</v>
      </c>
      <c r="N1107" s="14"/>
    </row>
    <row r="1108" spans="1:14" x14ac:dyDescent="0.25">
      <c r="A1108" s="10" t="s">
        <v>1235</v>
      </c>
      <c r="B1108" s="10" t="s">
        <v>146</v>
      </c>
      <c r="C1108" s="11">
        <v>45791</v>
      </c>
      <c r="D1108" s="11">
        <v>45821</v>
      </c>
      <c r="E1108" s="11">
        <v>45821</v>
      </c>
      <c r="F1108" s="12">
        <v>30464.36</v>
      </c>
      <c r="G1108" s="12">
        <v>30464.36</v>
      </c>
      <c r="H1108" s="12">
        <f t="shared" si="85"/>
        <v>0</v>
      </c>
      <c r="I1108" s="10">
        <f t="shared" si="86"/>
        <v>0</v>
      </c>
      <c r="J1108" s="10" t="str">
        <f t="shared" ca="1" si="87"/>
        <v>Paid</v>
      </c>
      <c r="K1108" s="10">
        <f t="shared" ca="1" si="88"/>
        <v>0</v>
      </c>
      <c r="L1108" s="10" t="str">
        <f t="shared" si="89"/>
        <v>Paid</v>
      </c>
      <c r="M1108" s="11">
        <v>45778</v>
      </c>
      <c r="N1108" s="11">
        <v>45809</v>
      </c>
    </row>
    <row r="1109" spans="1:14" x14ac:dyDescent="0.25">
      <c r="A1109" s="13" t="s">
        <v>1236</v>
      </c>
      <c r="B1109" s="13" t="s">
        <v>111</v>
      </c>
      <c r="C1109" s="14">
        <v>45786</v>
      </c>
      <c r="D1109" s="14">
        <v>45816</v>
      </c>
      <c r="E1109" s="14">
        <v>45829</v>
      </c>
      <c r="F1109" s="15">
        <v>26264.2</v>
      </c>
      <c r="G1109" s="15">
        <v>26264.2</v>
      </c>
      <c r="H1109" s="15">
        <f t="shared" si="85"/>
        <v>0</v>
      </c>
      <c r="I1109" s="13">
        <f t="shared" si="86"/>
        <v>13</v>
      </c>
      <c r="J1109" s="13" t="str">
        <f t="shared" ca="1" si="87"/>
        <v>Paid</v>
      </c>
      <c r="K1109" s="13">
        <f t="shared" ca="1" si="88"/>
        <v>0</v>
      </c>
      <c r="L1109" s="13" t="str">
        <f t="shared" si="89"/>
        <v>Paid</v>
      </c>
      <c r="M1109" s="14">
        <v>45778</v>
      </c>
      <c r="N1109" s="14">
        <v>45809</v>
      </c>
    </row>
    <row r="1110" spans="1:14" x14ac:dyDescent="0.25">
      <c r="A1110" s="10" t="s">
        <v>1237</v>
      </c>
      <c r="B1110" s="10" t="s">
        <v>79</v>
      </c>
      <c r="C1110" s="11">
        <v>45784</v>
      </c>
      <c r="D1110" s="11">
        <v>45814</v>
      </c>
      <c r="E1110" s="11">
        <v>45861</v>
      </c>
      <c r="F1110" s="12">
        <v>16064.67</v>
      </c>
      <c r="G1110" s="12">
        <v>16064.67</v>
      </c>
      <c r="H1110" s="12">
        <f t="shared" si="85"/>
        <v>0</v>
      </c>
      <c r="I1110" s="10">
        <f t="shared" si="86"/>
        <v>47</v>
      </c>
      <c r="J1110" s="10" t="str">
        <f t="shared" ca="1" si="87"/>
        <v>Paid</v>
      </c>
      <c r="K1110" s="10">
        <f t="shared" ca="1" si="88"/>
        <v>0</v>
      </c>
      <c r="L1110" s="10" t="str">
        <f t="shared" si="89"/>
        <v>Paid</v>
      </c>
      <c r="M1110" s="11">
        <v>45778</v>
      </c>
      <c r="N1110" s="11">
        <v>45839</v>
      </c>
    </row>
    <row r="1111" spans="1:14" x14ac:dyDescent="0.25">
      <c r="A1111" s="13" t="s">
        <v>1238</v>
      </c>
      <c r="B1111" s="13" t="s">
        <v>188</v>
      </c>
      <c r="C1111" s="14">
        <v>45795</v>
      </c>
      <c r="D1111" s="14">
        <v>45825</v>
      </c>
      <c r="E1111" s="14">
        <v>45886</v>
      </c>
      <c r="F1111" s="15">
        <v>39780.31</v>
      </c>
      <c r="G1111" s="15">
        <v>33803.68</v>
      </c>
      <c r="H1111" s="15">
        <f t="shared" si="85"/>
        <v>5976.6299999999974</v>
      </c>
      <c r="I1111" s="13">
        <f t="shared" si="86"/>
        <v>61</v>
      </c>
      <c r="J1111" s="13" t="str">
        <f t="shared" ca="1" si="87"/>
        <v>Overdue</v>
      </c>
      <c r="K1111" s="13">
        <f t="shared" ca="1" si="88"/>
        <v>431</v>
      </c>
      <c r="L1111" s="13" t="str">
        <f t="shared" ca="1" si="89"/>
        <v>120+ Days</v>
      </c>
      <c r="M1111" s="14">
        <v>45778</v>
      </c>
      <c r="N1111" s="14">
        <v>45870</v>
      </c>
    </row>
    <row r="1112" spans="1:14" x14ac:dyDescent="0.25">
      <c r="A1112" s="10" t="s">
        <v>1239</v>
      </c>
      <c r="B1112" s="10" t="s">
        <v>331</v>
      </c>
      <c r="C1112" s="11">
        <v>45796</v>
      </c>
      <c r="D1112" s="11">
        <v>45826</v>
      </c>
      <c r="E1112" s="11">
        <v>45847</v>
      </c>
      <c r="F1112" s="12">
        <v>96053.75</v>
      </c>
      <c r="G1112" s="12">
        <v>96053.75</v>
      </c>
      <c r="H1112" s="12">
        <f t="shared" si="85"/>
        <v>0</v>
      </c>
      <c r="I1112" s="10">
        <f t="shared" si="86"/>
        <v>21</v>
      </c>
      <c r="J1112" s="10" t="str">
        <f t="shared" ca="1" si="87"/>
        <v>Paid</v>
      </c>
      <c r="K1112" s="10">
        <f t="shared" ca="1" si="88"/>
        <v>0</v>
      </c>
      <c r="L1112" s="10" t="str">
        <f t="shared" si="89"/>
        <v>Paid</v>
      </c>
      <c r="M1112" s="11">
        <v>45778</v>
      </c>
      <c r="N1112" s="11">
        <v>45839</v>
      </c>
    </row>
    <row r="1113" spans="1:14" x14ac:dyDescent="0.25">
      <c r="A1113" s="13" t="s">
        <v>1240</v>
      </c>
      <c r="B1113" s="13" t="s">
        <v>171</v>
      </c>
      <c r="C1113" s="14">
        <v>45799</v>
      </c>
      <c r="D1113" s="14">
        <v>45829</v>
      </c>
      <c r="E1113" s="14">
        <v>45829</v>
      </c>
      <c r="F1113" s="15">
        <v>69764.34</v>
      </c>
      <c r="G1113" s="15">
        <v>69764.34</v>
      </c>
      <c r="H1113" s="15">
        <f t="shared" si="85"/>
        <v>0</v>
      </c>
      <c r="I1113" s="13">
        <f t="shared" si="86"/>
        <v>0</v>
      </c>
      <c r="J1113" s="13" t="str">
        <f t="shared" ca="1" si="87"/>
        <v>Paid</v>
      </c>
      <c r="K1113" s="13">
        <f t="shared" ca="1" si="88"/>
        <v>0</v>
      </c>
      <c r="L1113" s="13" t="str">
        <f t="shared" si="89"/>
        <v>Paid</v>
      </c>
      <c r="M1113" s="14">
        <v>45778</v>
      </c>
      <c r="N1113" s="14">
        <v>45809</v>
      </c>
    </row>
    <row r="1114" spans="1:14" x14ac:dyDescent="0.25">
      <c r="A1114" s="10" t="s">
        <v>1241</v>
      </c>
      <c r="B1114" s="10" t="s">
        <v>159</v>
      </c>
      <c r="C1114" s="11">
        <v>45790</v>
      </c>
      <c r="D1114" s="11">
        <v>45820</v>
      </c>
      <c r="E1114" s="11">
        <v>45916</v>
      </c>
      <c r="F1114" s="12">
        <v>38183.11</v>
      </c>
      <c r="G1114" s="12">
        <v>38183.11</v>
      </c>
      <c r="H1114" s="12">
        <f t="shared" si="85"/>
        <v>0</v>
      </c>
      <c r="I1114" s="10">
        <f t="shared" si="86"/>
        <v>96</v>
      </c>
      <c r="J1114" s="10" t="str">
        <f t="shared" ca="1" si="87"/>
        <v>Paid</v>
      </c>
      <c r="K1114" s="10">
        <f t="shared" ca="1" si="88"/>
        <v>0</v>
      </c>
      <c r="L1114" s="10" t="str">
        <f t="shared" si="89"/>
        <v>Paid</v>
      </c>
      <c r="M1114" s="11">
        <v>45778</v>
      </c>
      <c r="N1114" s="11">
        <v>45901</v>
      </c>
    </row>
    <row r="1115" spans="1:14" x14ac:dyDescent="0.25">
      <c r="A1115" s="13" t="s">
        <v>1242</v>
      </c>
      <c r="B1115" s="13" t="s">
        <v>115</v>
      </c>
      <c r="C1115" s="14">
        <v>45788</v>
      </c>
      <c r="D1115" s="14">
        <v>45818</v>
      </c>
      <c r="E1115" s="14">
        <v>45829</v>
      </c>
      <c r="F1115" s="15">
        <v>45932.88</v>
      </c>
      <c r="G1115" s="15">
        <v>45932.88</v>
      </c>
      <c r="H1115" s="15">
        <f t="shared" si="85"/>
        <v>0</v>
      </c>
      <c r="I1115" s="13">
        <f t="shared" si="86"/>
        <v>11</v>
      </c>
      <c r="J1115" s="13" t="str">
        <f t="shared" ca="1" si="87"/>
        <v>Paid</v>
      </c>
      <c r="K1115" s="13">
        <f t="shared" ca="1" si="88"/>
        <v>0</v>
      </c>
      <c r="L1115" s="13" t="str">
        <f t="shared" si="89"/>
        <v>Paid</v>
      </c>
      <c r="M1115" s="14">
        <v>45778</v>
      </c>
      <c r="N1115" s="14">
        <v>45809</v>
      </c>
    </row>
    <row r="1116" spans="1:14" x14ac:dyDescent="0.25">
      <c r="A1116" s="10" t="s">
        <v>1243</v>
      </c>
      <c r="B1116" s="10" t="s">
        <v>224</v>
      </c>
      <c r="C1116" s="11">
        <v>45794</v>
      </c>
      <c r="D1116" s="11">
        <v>45824</v>
      </c>
      <c r="E1116" s="11">
        <v>45830</v>
      </c>
      <c r="F1116" s="12">
        <v>39100.769999999997</v>
      </c>
      <c r="G1116" s="12">
        <v>39100.769999999997</v>
      </c>
      <c r="H1116" s="12">
        <f t="shared" si="85"/>
        <v>0</v>
      </c>
      <c r="I1116" s="10">
        <f t="shared" si="86"/>
        <v>6</v>
      </c>
      <c r="J1116" s="10" t="str">
        <f t="shared" ca="1" si="87"/>
        <v>Paid</v>
      </c>
      <c r="K1116" s="10">
        <f t="shared" ca="1" si="88"/>
        <v>0</v>
      </c>
      <c r="L1116" s="10" t="str">
        <f t="shared" si="89"/>
        <v>Paid</v>
      </c>
      <c r="M1116" s="11">
        <v>45778</v>
      </c>
      <c r="N1116" s="11">
        <v>45809</v>
      </c>
    </row>
    <row r="1117" spans="1:14" x14ac:dyDescent="0.25">
      <c r="A1117" s="13" t="s">
        <v>1244</v>
      </c>
      <c r="B1117" s="13" t="s">
        <v>182</v>
      </c>
      <c r="C1117" s="14">
        <v>45784</v>
      </c>
      <c r="D1117" s="14">
        <v>45814</v>
      </c>
      <c r="E1117" s="14">
        <v>45814</v>
      </c>
      <c r="F1117" s="15">
        <v>37088.54</v>
      </c>
      <c r="G1117" s="15">
        <v>37088.54</v>
      </c>
      <c r="H1117" s="15">
        <f t="shared" si="85"/>
        <v>0</v>
      </c>
      <c r="I1117" s="13">
        <f t="shared" si="86"/>
        <v>0</v>
      </c>
      <c r="J1117" s="13" t="str">
        <f t="shared" ca="1" si="87"/>
        <v>Paid</v>
      </c>
      <c r="K1117" s="13">
        <f t="shared" ca="1" si="88"/>
        <v>0</v>
      </c>
      <c r="L1117" s="13" t="str">
        <f t="shared" si="89"/>
        <v>Paid</v>
      </c>
      <c r="M1117" s="14">
        <v>45778</v>
      </c>
      <c r="N1117" s="14">
        <v>45809</v>
      </c>
    </row>
    <row r="1118" spans="1:14" x14ac:dyDescent="0.25">
      <c r="A1118" s="10" t="s">
        <v>1245</v>
      </c>
      <c r="B1118" s="10" t="s">
        <v>87</v>
      </c>
      <c r="C1118" s="11">
        <v>45791</v>
      </c>
      <c r="D1118" s="11">
        <v>45821</v>
      </c>
      <c r="E1118" s="11">
        <v>45829</v>
      </c>
      <c r="F1118" s="12">
        <v>180000</v>
      </c>
      <c r="G1118" s="12">
        <v>180000</v>
      </c>
      <c r="H1118" s="12">
        <f t="shared" si="85"/>
        <v>0</v>
      </c>
      <c r="I1118" s="10">
        <f t="shared" si="86"/>
        <v>8</v>
      </c>
      <c r="J1118" s="10" t="str">
        <f t="shared" ca="1" si="87"/>
        <v>Paid</v>
      </c>
      <c r="K1118" s="10">
        <f t="shared" ca="1" si="88"/>
        <v>0</v>
      </c>
      <c r="L1118" s="10" t="str">
        <f t="shared" si="89"/>
        <v>Paid</v>
      </c>
      <c r="M1118" s="11">
        <v>45778</v>
      </c>
      <c r="N1118" s="11">
        <v>45809</v>
      </c>
    </row>
    <row r="1119" spans="1:14" x14ac:dyDescent="0.25">
      <c r="A1119" s="13" t="s">
        <v>1246</v>
      </c>
      <c r="B1119" s="13" t="s">
        <v>111</v>
      </c>
      <c r="C1119" s="14">
        <v>45794</v>
      </c>
      <c r="D1119" s="14">
        <v>45824</v>
      </c>
      <c r="E1119" s="14">
        <v>45824</v>
      </c>
      <c r="F1119" s="15">
        <v>16770.669999999998</v>
      </c>
      <c r="G1119" s="15">
        <v>16770.669999999998</v>
      </c>
      <c r="H1119" s="15">
        <f t="shared" si="85"/>
        <v>0</v>
      </c>
      <c r="I1119" s="13">
        <f t="shared" si="86"/>
        <v>0</v>
      </c>
      <c r="J1119" s="13" t="str">
        <f t="shared" ca="1" si="87"/>
        <v>Paid</v>
      </c>
      <c r="K1119" s="13">
        <f t="shared" ca="1" si="88"/>
        <v>0</v>
      </c>
      <c r="L1119" s="13" t="str">
        <f t="shared" si="89"/>
        <v>Paid</v>
      </c>
      <c r="M1119" s="14">
        <v>45778</v>
      </c>
      <c r="N1119" s="14">
        <v>45809</v>
      </c>
    </row>
    <row r="1120" spans="1:14" x14ac:dyDescent="0.25">
      <c r="A1120" s="10" t="s">
        <v>1247</v>
      </c>
      <c r="B1120" s="10" t="s">
        <v>138</v>
      </c>
      <c r="C1120" s="11">
        <v>45785</v>
      </c>
      <c r="D1120" s="11">
        <v>45815</v>
      </c>
      <c r="E1120" s="11"/>
      <c r="F1120" s="12">
        <v>67831.740000000005</v>
      </c>
      <c r="G1120" s="12">
        <v>0</v>
      </c>
      <c r="H1120" s="12">
        <f t="shared" si="85"/>
        <v>67831.740000000005</v>
      </c>
      <c r="I1120" s="10" t="str">
        <f t="shared" si="86"/>
        <v/>
      </c>
      <c r="J1120" s="10" t="str">
        <f t="shared" ca="1" si="87"/>
        <v>Overdue</v>
      </c>
      <c r="K1120" s="10">
        <f t="shared" ca="1" si="88"/>
        <v>441</v>
      </c>
      <c r="L1120" s="10" t="str">
        <f t="shared" ca="1" si="89"/>
        <v>120+ Days</v>
      </c>
      <c r="M1120" s="11">
        <v>45778</v>
      </c>
      <c r="N1120" s="11"/>
    </row>
    <row r="1121" spans="1:14" x14ac:dyDescent="0.25">
      <c r="A1121" s="13" t="s">
        <v>1248</v>
      </c>
      <c r="B1121" s="13" t="s">
        <v>449</v>
      </c>
      <c r="C1121" s="14">
        <v>45778</v>
      </c>
      <c r="D1121" s="14">
        <v>45808</v>
      </c>
      <c r="E1121" s="14">
        <v>45863</v>
      </c>
      <c r="F1121" s="15">
        <v>52188.91</v>
      </c>
      <c r="G1121" s="15">
        <v>52188.91</v>
      </c>
      <c r="H1121" s="15">
        <f t="shared" si="85"/>
        <v>0</v>
      </c>
      <c r="I1121" s="13">
        <f t="shared" si="86"/>
        <v>55</v>
      </c>
      <c r="J1121" s="13" t="str">
        <f t="shared" ca="1" si="87"/>
        <v>Paid</v>
      </c>
      <c r="K1121" s="13">
        <f t="shared" ca="1" si="88"/>
        <v>0</v>
      </c>
      <c r="L1121" s="13" t="str">
        <f t="shared" si="89"/>
        <v>Paid</v>
      </c>
      <c r="M1121" s="14">
        <v>45778</v>
      </c>
      <c r="N1121" s="14">
        <v>45839</v>
      </c>
    </row>
    <row r="1122" spans="1:14" x14ac:dyDescent="0.25">
      <c r="A1122" s="10" t="s">
        <v>1249</v>
      </c>
      <c r="B1122" s="10" t="s">
        <v>95</v>
      </c>
      <c r="C1122" s="11">
        <v>45778</v>
      </c>
      <c r="D1122" s="11">
        <v>45808</v>
      </c>
      <c r="E1122" s="11">
        <v>45844</v>
      </c>
      <c r="F1122" s="12">
        <v>88495.63</v>
      </c>
      <c r="G1122" s="12">
        <v>88495.63</v>
      </c>
      <c r="H1122" s="12">
        <f t="shared" si="85"/>
        <v>0</v>
      </c>
      <c r="I1122" s="10">
        <f t="shared" si="86"/>
        <v>36</v>
      </c>
      <c r="J1122" s="10" t="str">
        <f t="shared" ca="1" si="87"/>
        <v>Paid</v>
      </c>
      <c r="K1122" s="10">
        <f t="shared" ca="1" si="88"/>
        <v>0</v>
      </c>
      <c r="L1122" s="10" t="str">
        <f t="shared" si="89"/>
        <v>Paid</v>
      </c>
      <c r="M1122" s="11">
        <v>45778</v>
      </c>
      <c r="N1122" s="11">
        <v>45839</v>
      </c>
    </row>
    <row r="1123" spans="1:14" x14ac:dyDescent="0.25">
      <c r="A1123" s="13" t="s">
        <v>1250</v>
      </c>
      <c r="B1123" s="13" t="s">
        <v>70</v>
      </c>
      <c r="C1123" s="14">
        <v>45793</v>
      </c>
      <c r="D1123" s="14">
        <v>45823</v>
      </c>
      <c r="E1123" s="14">
        <v>45823</v>
      </c>
      <c r="F1123" s="15">
        <v>23855.22</v>
      </c>
      <c r="G1123" s="15">
        <v>23855.22</v>
      </c>
      <c r="H1123" s="15">
        <f t="shared" si="85"/>
        <v>0</v>
      </c>
      <c r="I1123" s="13">
        <f t="shared" si="86"/>
        <v>0</v>
      </c>
      <c r="J1123" s="13" t="str">
        <f t="shared" ca="1" si="87"/>
        <v>Paid</v>
      </c>
      <c r="K1123" s="13">
        <f t="shared" ca="1" si="88"/>
        <v>0</v>
      </c>
      <c r="L1123" s="13" t="str">
        <f t="shared" si="89"/>
        <v>Paid</v>
      </c>
      <c r="M1123" s="14">
        <v>45778</v>
      </c>
      <c r="N1123" s="14">
        <v>45809</v>
      </c>
    </row>
    <row r="1124" spans="1:14" x14ac:dyDescent="0.25">
      <c r="A1124" s="10" t="s">
        <v>1251</v>
      </c>
      <c r="B1124" s="10" t="s">
        <v>136</v>
      </c>
      <c r="C1124" s="11">
        <v>45782</v>
      </c>
      <c r="D1124" s="11">
        <v>45812</v>
      </c>
      <c r="E1124" s="11">
        <v>45856</v>
      </c>
      <c r="F1124" s="12">
        <v>33275.29</v>
      </c>
      <c r="G1124" s="12">
        <v>33275.29</v>
      </c>
      <c r="H1124" s="12">
        <f t="shared" si="85"/>
        <v>0</v>
      </c>
      <c r="I1124" s="10">
        <f t="shared" si="86"/>
        <v>44</v>
      </c>
      <c r="J1124" s="10" t="str">
        <f t="shared" ca="1" si="87"/>
        <v>Paid</v>
      </c>
      <c r="K1124" s="10">
        <f t="shared" ca="1" si="88"/>
        <v>0</v>
      </c>
      <c r="L1124" s="10" t="str">
        <f t="shared" si="89"/>
        <v>Paid</v>
      </c>
      <c r="M1124" s="11">
        <v>45778</v>
      </c>
      <c r="N1124" s="11">
        <v>45839</v>
      </c>
    </row>
    <row r="1125" spans="1:14" x14ac:dyDescent="0.25">
      <c r="A1125" s="13" t="s">
        <v>1252</v>
      </c>
      <c r="B1125" s="13" t="s">
        <v>89</v>
      </c>
      <c r="C1125" s="14">
        <v>45801</v>
      </c>
      <c r="D1125" s="14">
        <v>45831</v>
      </c>
      <c r="E1125" s="14">
        <v>45850</v>
      </c>
      <c r="F1125" s="15">
        <v>36511.81</v>
      </c>
      <c r="G1125" s="15">
        <v>36511.81</v>
      </c>
      <c r="H1125" s="15">
        <f t="shared" si="85"/>
        <v>0</v>
      </c>
      <c r="I1125" s="13">
        <f t="shared" si="86"/>
        <v>19</v>
      </c>
      <c r="J1125" s="13" t="str">
        <f t="shared" ca="1" si="87"/>
        <v>Paid</v>
      </c>
      <c r="K1125" s="13">
        <f t="shared" ca="1" si="88"/>
        <v>0</v>
      </c>
      <c r="L1125" s="13" t="str">
        <f t="shared" si="89"/>
        <v>Paid</v>
      </c>
      <c r="M1125" s="14">
        <v>45778</v>
      </c>
      <c r="N1125" s="14">
        <v>45839</v>
      </c>
    </row>
    <row r="1126" spans="1:14" x14ac:dyDescent="0.25">
      <c r="A1126" s="10" t="s">
        <v>1253</v>
      </c>
      <c r="B1126" s="10" t="s">
        <v>222</v>
      </c>
      <c r="C1126" s="11">
        <v>45797</v>
      </c>
      <c r="D1126" s="11">
        <v>45827</v>
      </c>
      <c r="E1126" s="11"/>
      <c r="F1126" s="12">
        <v>23351.91</v>
      </c>
      <c r="G1126" s="12">
        <v>0</v>
      </c>
      <c r="H1126" s="12">
        <f t="shared" si="85"/>
        <v>23351.91</v>
      </c>
      <c r="I1126" s="10" t="str">
        <f t="shared" si="86"/>
        <v/>
      </c>
      <c r="J1126" s="10" t="str">
        <f t="shared" ca="1" si="87"/>
        <v>Overdue</v>
      </c>
      <c r="K1126" s="10">
        <f t="shared" ca="1" si="88"/>
        <v>429</v>
      </c>
      <c r="L1126" s="10" t="str">
        <f t="shared" ca="1" si="89"/>
        <v>120+ Days</v>
      </c>
      <c r="M1126" s="11">
        <v>45778</v>
      </c>
      <c r="N1126" s="11"/>
    </row>
    <row r="1127" spans="1:14" x14ac:dyDescent="0.25">
      <c r="A1127" s="13" t="s">
        <v>1254</v>
      </c>
      <c r="B1127" s="13" t="s">
        <v>198</v>
      </c>
      <c r="C1127" s="14">
        <v>45778</v>
      </c>
      <c r="D1127" s="14">
        <v>45808</v>
      </c>
      <c r="E1127" s="14">
        <v>45812</v>
      </c>
      <c r="F1127" s="15">
        <v>47758.93</v>
      </c>
      <c r="G1127" s="15">
        <v>47758.93</v>
      </c>
      <c r="H1127" s="15">
        <f t="shared" si="85"/>
        <v>0</v>
      </c>
      <c r="I1127" s="13">
        <f t="shared" si="86"/>
        <v>4</v>
      </c>
      <c r="J1127" s="13" t="str">
        <f t="shared" ca="1" si="87"/>
        <v>Paid</v>
      </c>
      <c r="K1127" s="13">
        <f t="shared" ca="1" si="88"/>
        <v>0</v>
      </c>
      <c r="L1127" s="13" t="str">
        <f t="shared" si="89"/>
        <v>Paid</v>
      </c>
      <c r="M1127" s="14">
        <v>45778</v>
      </c>
      <c r="N1127" s="14">
        <v>45809</v>
      </c>
    </row>
    <row r="1128" spans="1:14" x14ac:dyDescent="0.25">
      <c r="A1128" s="10" t="s">
        <v>1255</v>
      </c>
      <c r="B1128" s="10" t="s">
        <v>449</v>
      </c>
      <c r="C1128" s="11">
        <v>45784</v>
      </c>
      <c r="D1128" s="11">
        <v>45814</v>
      </c>
      <c r="E1128" s="11">
        <v>45826</v>
      </c>
      <c r="F1128" s="12">
        <v>40091.300000000003</v>
      </c>
      <c r="G1128" s="12">
        <v>40091.300000000003</v>
      </c>
      <c r="H1128" s="12">
        <f t="shared" si="85"/>
        <v>0</v>
      </c>
      <c r="I1128" s="10">
        <f t="shared" si="86"/>
        <v>12</v>
      </c>
      <c r="J1128" s="10" t="str">
        <f t="shared" ca="1" si="87"/>
        <v>Paid</v>
      </c>
      <c r="K1128" s="10">
        <f t="shared" ca="1" si="88"/>
        <v>0</v>
      </c>
      <c r="L1128" s="10" t="str">
        <f t="shared" si="89"/>
        <v>Paid</v>
      </c>
      <c r="M1128" s="11">
        <v>45778</v>
      </c>
      <c r="N1128" s="11">
        <v>45809</v>
      </c>
    </row>
    <row r="1129" spans="1:14" x14ac:dyDescent="0.25">
      <c r="A1129" s="13" t="s">
        <v>1256</v>
      </c>
      <c r="B1129" s="13" t="s">
        <v>265</v>
      </c>
      <c r="C1129" s="14">
        <v>45787</v>
      </c>
      <c r="D1129" s="14">
        <v>45817</v>
      </c>
      <c r="E1129" s="14">
        <v>45818</v>
      </c>
      <c r="F1129" s="15">
        <v>25263.5</v>
      </c>
      <c r="G1129" s="15">
        <v>25263.5</v>
      </c>
      <c r="H1129" s="15">
        <f t="shared" si="85"/>
        <v>0</v>
      </c>
      <c r="I1129" s="13">
        <f t="shared" si="86"/>
        <v>1</v>
      </c>
      <c r="J1129" s="13" t="str">
        <f t="shared" ca="1" si="87"/>
        <v>Paid</v>
      </c>
      <c r="K1129" s="13">
        <f t="shared" ca="1" si="88"/>
        <v>0</v>
      </c>
      <c r="L1129" s="13" t="str">
        <f t="shared" si="89"/>
        <v>Paid</v>
      </c>
      <c r="M1129" s="14">
        <v>45778</v>
      </c>
      <c r="N1129" s="14">
        <v>45809</v>
      </c>
    </row>
    <row r="1130" spans="1:14" x14ac:dyDescent="0.25">
      <c r="A1130" s="10" t="s">
        <v>1257</v>
      </c>
      <c r="B1130" s="10" t="s">
        <v>127</v>
      </c>
      <c r="C1130" s="11">
        <v>45787</v>
      </c>
      <c r="D1130" s="11">
        <v>45817</v>
      </c>
      <c r="E1130" s="11">
        <v>45829</v>
      </c>
      <c r="F1130" s="12">
        <v>111868.67</v>
      </c>
      <c r="G1130" s="12">
        <v>111868.67</v>
      </c>
      <c r="H1130" s="12">
        <f t="shared" si="85"/>
        <v>0</v>
      </c>
      <c r="I1130" s="10">
        <f t="shared" si="86"/>
        <v>12</v>
      </c>
      <c r="J1130" s="10" t="str">
        <f t="shared" ca="1" si="87"/>
        <v>Paid</v>
      </c>
      <c r="K1130" s="10">
        <f t="shared" ca="1" si="88"/>
        <v>0</v>
      </c>
      <c r="L1130" s="10" t="str">
        <f t="shared" si="89"/>
        <v>Paid</v>
      </c>
      <c r="M1130" s="11">
        <v>45778</v>
      </c>
      <c r="N1130" s="11">
        <v>45809</v>
      </c>
    </row>
    <row r="1131" spans="1:14" x14ac:dyDescent="0.25">
      <c r="A1131" s="13" t="s">
        <v>1258</v>
      </c>
      <c r="B1131" s="13" t="s">
        <v>340</v>
      </c>
      <c r="C1131" s="14">
        <v>45786</v>
      </c>
      <c r="D1131" s="14">
        <v>45816</v>
      </c>
      <c r="E1131" s="14">
        <v>45816</v>
      </c>
      <c r="F1131" s="15">
        <v>31152.959999999999</v>
      </c>
      <c r="G1131" s="15">
        <v>31152.959999999999</v>
      </c>
      <c r="H1131" s="15">
        <f t="shared" si="85"/>
        <v>0</v>
      </c>
      <c r="I1131" s="13">
        <f t="shared" si="86"/>
        <v>0</v>
      </c>
      <c r="J1131" s="13" t="str">
        <f t="shared" ca="1" si="87"/>
        <v>Paid</v>
      </c>
      <c r="K1131" s="13">
        <f t="shared" ca="1" si="88"/>
        <v>0</v>
      </c>
      <c r="L1131" s="13" t="str">
        <f t="shared" si="89"/>
        <v>Paid</v>
      </c>
      <c r="M1131" s="14">
        <v>45778</v>
      </c>
      <c r="N1131" s="14">
        <v>45809</v>
      </c>
    </row>
    <row r="1132" spans="1:14" x14ac:dyDescent="0.25">
      <c r="A1132" s="10" t="s">
        <v>1259</v>
      </c>
      <c r="B1132" s="10" t="s">
        <v>233</v>
      </c>
      <c r="C1132" s="11">
        <v>45802</v>
      </c>
      <c r="D1132" s="11">
        <v>45832</v>
      </c>
      <c r="E1132" s="11">
        <v>45857</v>
      </c>
      <c r="F1132" s="12">
        <v>48852.959999999999</v>
      </c>
      <c r="G1132" s="12">
        <v>48852.959999999999</v>
      </c>
      <c r="H1132" s="12">
        <f t="shared" si="85"/>
        <v>0</v>
      </c>
      <c r="I1132" s="10">
        <f t="shared" si="86"/>
        <v>25</v>
      </c>
      <c r="J1132" s="10" t="str">
        <f t="shared" ca="1" si="87"/>
        <v>Paid</v>
      </c>
      <c r="K1132" s="10">
        <f t="shared" ca="1" si="88"/>
        <v>0</v>
      </c>
      <c r="L1132" s="10" t="str">
        <f t="shared" si="89"/>
        <v>Paid</v>
      </c>
      <c r="M1132" s="11">
        <v>45778</v>
      </c>
      <c r="N1132" s="11">
        <v>45839</v>
      </c>
    </row>
    <row r="1133" spans="1:14" x14ac:dyDescent="0.25">
      <c r="A1133" s="13" t="s">
        <v>1260</v>
      </c>
      <c r="B1133" s="13" t="s">
        <v>449</v>
      </c>
      <c r="C1133" s="14">
        <v>45784</v>
      </c>
      <c r="D1133" s="14">
        <v>45814</v>
      </c>
      <c r="E1133" s="14">
        <v>45832</v>
      </c>
      <c r="F1133" s="15">
        <v>57232.62</v>
      </c>
      <c r="G1133" s="15">
        <v>34709.339999999997</v>
      </c>
      <c r="H1133" s="15">
        <f t="shared" si="85"/>
        <v>22523.280000000006</v>
      </c>
      <c r="I1133" s="13">
        <f t="shared" si="86"/>
        <v>18</v>
      </c>
      <c r="J1133" s="13" t="str">
        <f t="shared" ca="1" si="87"/>
        <v>Overdue</v>
      </c>
      <c r="K1133" s="13">
        <f t="shared" ca="1" si="88"/>
        <v>442</v>
      </c>
      <c r="L1133" s="13" t="str">
        <f t="shared" ca="1" si="89"/>
        <v>120+ Days</v>
      </c>
      <c r="M1133" s="14">
        <v>45778</v>
      </c>
      <c r="N1133" s="14">
        <v>45809</v>
      </c>
    </row>
    <row r="1134" spans="1:14" x14ac:dyDescent="0.25">
      <c r="A1134" s="10" t="s">
        <v>1261</v>
      </c>
      <c r="B1134" s="10" t="s">
        <v>89</v>
      </c>
      <c r="C1134" s="11">
        <v>45787</v>
      </c>
      <c r="D1134" s="11">
        <v>45817</v>
      </c>
      <c r="E1134" s="11"/>
      <c r="F1134" s="12">
        <v>101146.99</v>
      </c>
      <c r="G1134" s="12">
        <v>0</v>
      </c>
      <c r="H1134" s="12">
        <f t="shared" si="85"/>
        <v>101146.99</v>
      </c>
      <c r="I1134" s="10" t="str">
        <f t="shared" si="86"/>
        <v/>
      </c>
      <c r="J1134" s="10" t="str">
        <f t="shared" ca="1" si="87"/>
        <v>Overdue</v>
      </c>
      <c r="K1134" s="10">
        <f t="shared" ca="1" si="88"/>
        <v>439</v>
      </c>
      <c r="L1134" s="10" t="str">
        <f t="shared" ca="1" si="89"/>
        <v>120+ Days</v>
      </c>
      <c r="M1134" s="11">
        <v>45778</v>
      </c>
      <c r="N1134" s="11"/>
    </row>
    <row r="1135" spans="1:14" x14ac:dyDescent="0.25">
      <c r="A1135" s="13" t="s">
        <v>1262</v>
      </c>
      <c r="B1135" s="13" t="s">
        <v>76</v>
      </c>
      <c r="C1135" s="14">
        <v>45792</v>
      </c>
      <c r="D1135" s="14">
        <v>45822</v>
      </c>
      <c r="E1135" s="14">
        <v>45827</v>
      </c>
      <c r="F1135" s="15">
        <v>11367.56</v>
      </c>
      <c r="G1135" s="15">
        <v>11367.56</v>
      </c>
      <c r="H1135" s="15">
        <f t="shared" si="85"/>
        <v>0</v>
      </c>
      <c r="I1135" s="13">
        <f t="shared" si="86"/>
        <v>5</v>
      </c>
      <c r="J1135" s="13" t="str">
        <f t="shared" ca="1" si="87"/>
        <v>Paid</v>
      </c>
      <c r="K1135" s="13">
        <f t="shared" ca="1" si="88"/>
        <v>0</v>
      </c>
      <c r="L1135" s="13" t="str">
        <f t="shared" si="89"/>
        <v>Paid</v>
      </c>
      <c r="M1135" s="14">
        <v>45778</v>
      </c>
      <c r="N1135" s="14">
        <v>45809</v>
      </c>
    </row>
    <row r="1136" spans="1:14" x14ac:dyDescent="0.25">
      <c r="A1136" s="10" t="s">
        <v>1263</v>
      </c>
      <c r="B1136" s="10" t="s">
        <v>220</v>
      </c>
      <c r="C1136" s="11">
        <v>45801</v>
      </c>
      <c r="D1136" s="11">
        <v>45831</v>
      </c>
      <c r="E1136" s="11"/>
      <c r="F1136" s="12">
        <v>18427.32</v>
      </c>
      <c r="G1136" s="12">
        <v>0</v>
      </c>
      <c r="H1136" s="12">
        <f t="shared" si="85"/>
        <v>18427.32</v>
      </c>
      <c r="I1136" s="10" t="str">
        <f t="shared" si="86"/>
        <v/>
      </c>
      <c r="J1136" s="10" t="str">
        <f t="shared" ca="1" si="87"/>
        <v>Overdue</v>
      </c>
      <c r="K1136" s="10">
        <f t="shared" ca="1" si="88"/>
        <v>425</v>
      </c>
      <c r="L1136" s="10" t="str">
        <f t="shared" ca="1" si="89"/>
        <v>120+ Days</v>
      </c>
      <c r="M1136" s="11">
        <v>45778</v>
      </c>
      <c r="N1136" s="11"/>
    </row>
    <row r="1137" spans="1:14" x14ac:dyDescent="0.25">
      <c r="A1137" s="13" t="s">
        <v>1264</v>
      </c>
      <c r="B1137" s="13" t="s">
        <v>274</v>
      </c>
      <c r="C1137" s="14">
        <v>45799</v>
      </c>
      <c r="D1137" s="14">
        <v>45829</v>
      </c>
      <c r="E1137" s="14"/>
      <c r="F1137" s="15">
        <v>45337.83</v>
      </c>
      <c r="G1137" s="15">
        <v>0</v>
      </c>
      <c r="H1137" s="15">
        <f t="shared" si="85"/>
        <v>45337.83</v>
      </c>
      <c r="I1137" s="13" t="str">
        <f t="shared" si="86"/>
        <v/>
      </c>
      <c r="J1137" s="13" t="str">
        <f t="shared" ca="1" si="87"/>
        <v>Overdue</v>
      </c>
      <c r="K1137" s="13">
        <f t="shared" ca="1" si="88"/>
        <v>427</v>
      </c>
      <c r="L1137" s="13" t="str">
        <f t="shared" ca="1" si="89"/>
        <v>120+ Days</v>
      </c>
      <c r="M1137" s="14">
        <v>45778</v>
      </c>
      <c r="N1137" s="14"/>
    </row>
    <row r="1138" spans="1:14" x14ac:dyDescent="0.25">
      <c r="A1138" s="10" t="s">
        <v>1265</v>
      </c>
      <c r="B1138" s="10" t="s">
        <v>198</v>
      </c>
      <c r="C1138" s="11">
        <v>45782</v>
      </c>
      <c r="D1138" s="11">
        <v>45812</v>
      </c>
      <c r="E1138" s="11">
        <v>45814</v>
      </c>
      <c r="F1138" s="12">
        <v>56797.68</v>
      </c>
      <c r="G1138" s="12">
        <v>56797.68</v>
      </c>
      <c r="H1138" s="12">
        <f t="shared" si="85"/>
        <v>0</v>
      </c>
      <c r="I1138" s="10">
        <f t="shared" si="86"/>
        <v>2</v>
      </c>
      <c r="J1138" s="10" t="str">
        <f t="shared" ca="1" si="87"/>
        <v>Paid</v>
      </c>
      <c r="K1138" s="10">
        <f t="shared" ca="1" si="88"/>
        <v>0</v>
      </c>
      <c r="L1138" s="10" t="str">
        <f t="shared" si="89"/>
        <v>Paid</v>
      </c>
      <c r="M1138" s="11">
        <v>45778</v>
      </c>
      <c r="N1138" s="11">
        <v>45809</v>
      </c>
    </row>
    <row r="1139" spans="1:14" x14ac:dyDescent="0.25">
      <c r="A1139" s="13" t="s">
        <v>1266</v>
      </c>
      <c r="B1139" s="13" t="s">
        <v>79</v>
      </c>
      <c r="C1139" s="14">
        <v>45781</v>
      </c>
      <c r="D1139" s="14">
        <v>45811</v>
      </c>
      <c r="E1139" s="14"/>
      <c r="F1139" s="15">
        <v>53425.91</v>
      </c>
      <c r="G1139" s="15">
        <v>0</v>
      </c>
      <c r="H1139" s="15">
        <f t="shared" si="85"/>
        <v>53425.91</v>
      </c>
      <c r="I1139" s="13" t="str">
        <f t="shared" si="86"/>
        <v/>
      </c>
      <c r="J1139" s="13" t="str">
        <f t="shared" ca="1" si="87"/>
        <v>Overdue</v>
      </c>
      <c r="K1139" s="13">
        <f t="shared" ca="1" si="88"/>
        <v>445</v>
      </c>
      <c r="L1139" s="13" t="str">
        <f t="shared" ca="1" si="89"/>
        <v>120+ Days</v>
      </c>
      <c r="M1139" s="14">
        <v>45778</v>
      </c>
      <c r="N1139" s="14"/>
    </row>
    <row r="1140" spans="1:14" x14ac:dyDescent="0.25">
      <c r="A1140" s="10" t="s">
        <v>1267</v>
      </c>
      <c r="B1140" s="10" t="s">
        <v>150</v>
      </c>
      <c r="C1140" s="11">
        <v>45798</v>
      </c>
      <c r="D1140" s="11">
        <v>45828</v>
      </c>
      <c r="E1140" s="11">
        <v>45828</v>
      </c>
      <c r="F1140" s="12">
        <v>42205.85</v>
      </c>
      <c r="G1140" s="12">
        <v>42205.85</v>
      </c>
      <c r="H1140" s="12">
        <f t="shared" si="85"/>
        <v>0</v>
      </c>
      <c r="I1140" s="10">
        <f t="shared" si="86"/>
        <v>0</v>
      </c>
      <c r="J1140" s="10" t="str">
        <f t="shared" ca="1" si="87"/>
        <v>Paid</v>
      </c>
      <c r="K1140" s="10">
        <f t="shared" ca="1" si="88"/>
        <v>0</v>
      </c>
      <c r="L1140" s="10" t="str">
        <f t="shared" si="89"/>
        <v>Paid</v>
      </c>
      <c r="M1140" s="11">
        <v>45778</v>
      </c>
      <c r="N1140" s="11">
        <v>45809</v>
      </c>
    </row>
    <row r="1141" spans="1:14" x14ac:dyDescent="0.25">
      <c r="A1141" s="13" t="s">
        <v>1268</v>
      </c>
      <c r="B1141" s="13" t="s">
        <v>109</v>
      </c>
      <c r="C1141" s="14">
        <v>45780</v>
      </c>
      <c r="D1141" s="14">
        <v>45810</v>
      </c>
      <c r="E1141" s="14"/>
      <c r="F1141" s="15">
        <v>22977.23</v>
      </c>
      <c r="G1141" s="15">
        <v>0</v>
      </c>
      <c r="H1141" s="15">
        <f t="shared" si="85"/>
        <v>22977.23</v>
      </c>
      <c r="I1141" s="13" t="str">
        <f t="shared" si="86"/>
        <v/>
      </c>
      <c r="J1141" s="13" t="str">
        <f t="shared" ca="1" si="87"/>
        <v>Overdue</v>
      </c>
      <c r="K1141" s="13">
        <f t="shared" ca="1" si="88"/>
        <v>446</v>
      </c>
      <c r="L1141" s="13" t="str">
        <f t="shared" ca="1" si="89"/>
        <v>120+ Days</v>
      </c>
      <c r="M1141" s="14">
        <v>45778</v>
      </c>
      <c r="N1141" s="14"/>
    </row>
    <row r="1142" spans="1:14" x14ac:dyDescent="0.25">
      <c r="A1142" s="10" t="s">
        <v>1269</v>
      </c>
      <c r="B1142" s="10" t="s">
        <v>95</v>
      </c>
      <c r="C1142" s="11">
        <v>45780</v>
      </c>
      <c r="D1142" s="11">
        <v>45810</v>
      </c>
      <c r="E1142" s="11">
        <v>45822</v>
      </c>
      <c r="F1142" s="12">
        <v>39588.379999999997</v>
      </c>
      <c r="G1142" s="12">
        <v>39588.379999999997</v>
      </c>
      <c r="H1142" s="12">
        <f t="shared" si="85"/>
        <v>0</v>
      </c>
      <c r="I1142" s="10">
        <f t="shared" si="86"/>
        <v>12</v>
      </c>
      <c r="J1142" s="10" t="str">
        <f t="shared" ca="1" si="87"/>
        <v>Paid</v>
      </c>
      <c r="K1142" s="10">
        <f t="shared" ca="1" si="88"/>
        <v>0</v>
      </c>
      <c r="L1142" s="10" t="str">
        <f t="shared" si="89"/>
        <v>Paid</v>
      </c>
      <c r="M1142" s="11">
        <v>45778</v>
      </c>
      <c r="N1142" s="11">
        <v>45809</v>
      </c>
    </row>
    <row r="1143" spans="1:14" x14ac:dyDescent="0.25">
      <c r="A1143" s="13" t="s">
        <v>1270</v>
      </c>
      <c r="B1143" s="13" t="s">
        <v>222</v>
      </c>
      <c r="C1143" s="14">
        <v>45798</v>
      </c>
      <c r="D1143" s="14">
        <v>45828</v>
      </c>
      <c r="E1143" s="14">
        <v>45849</v>
      </c>
      <c r="F1143" s="15">
        <v>19022.39</v>
      </c>
      <c r="G1143" s="15">
        <v>19022.39</v>
      </c>
      <c r="H1143" s="15">
        <f t="shared" si="85"/>
        <v>0</v>
      </c>
      <c r="I1143" s="13">
        <f t="shared" si="86"/>
        <v>21</v>
      </c>
      <c r="J1143" s="13" t="str">
        <f t="shared" ca="1" si="87"/>
        <v>Paid</v>
      </c>
      <c r="K1143" s="13">
        <f t="shared" ca="1" si="88"/>
        <v>0</v>
      </c>
      <c r="L1143" s="13" t="str">
        <f t="shared" si="89"/>
        <v>Paid</v>
      </c>
      <c r="M1143" s="14">
        <v>45778</v>
      </c>
      <c r="N1143" s="14">
        <v>45839</v>
      </c>
    </row>
    <row r="1144" spans="1:14" x14ac:dyDescent="0.25">
      <c r="A1144" s="10" t="s">
        <v>1271</v>
      </c>
      <c r="B1144" s="10" t="s">
        <v>463</v>
      </c>
      <c r="C1144" s="11">
        <v>45799</v>
      </c>
      <c r="D1144" s="11">
        <v>45829</v>
      </c>
      <c r="E1144" s="11">
        <v>45857</v>
      </c>
      <c r="F1144" s="12">
        <v>89402.08</v>
      </c>
      <c r="G1144" s="12">
        <v>74197.710000000006</v>
      </c>
      <c r="H1144" s="12">
        <f t="shared" si="85"/>
        <v>15204.369999999995</v>
      </c>
      <c r="I1144" s="10">
        <f t="shared" si="86"/>
        <v>28</v>
      </c>
      <c r="J1144" s="10" t="str">
        <f t="shared" ca="1" si="87"/>
        <v>Overdue</v>
      </c>
      <c r="K1144" s="10">
        <f t="shared" ca="1" si="88"/>
        <v>427</v>
      </c>
      <c r="L1144" s="10" t="str">
        <f t="shared" ca="1" si="89"/>
        <v>120+ Days</v>
      </c>
      <c r="M1144" s="11">
        <v>45778</v>
      </c>
      <c r="N1144" s="11">
        <v>45839</v>
      </c>
    </row>
    <row r="1145" spans="1:14" x14ac:dyDescent="0.25">
      <c r="A1145" s="13" t="s">
        <v>1272</v>
      </c>
      <c r="B1145" s="13" t="s">
        <v>111</v>
      </c>
      <c r="C1145" s="14">
        <v>45789</v>
      </c>
      <c r="D1145" s="14">
        <v>45819</v>
      </c>
      <c r="E1145" s="14">
        <v>45825</v>
      </c>
      <c r="F1145" s="15">
        <v>28472.99</v>
      </c>
      <c r="G1145" s="15">
        <v>28472.99</v>
      </c>
      <c r="H1145" s="15">
        <f t="shared" si="85"/>
        <v>0</v>
      </c>
      <c r="I1145" s="13">
        <f t="shared" si="86"/>
        <v>6</v>
      </c>
      <c r="J1145" s="13" t="str">
        <f t="shared" ca="1" si="87"/>
        <v>Paid</v>
      </c>
      <c r="K1145" s="13">
        <f t="shared" ca="1" si="88"/>
        <v>0</v>
      </c>
      <c r="L1145" s="13" t="str">
        <f t="shared" si="89"/>
        <v>Paid</v>
      </c>
      <c r="M1145" s="14">
        <v>45778</v>
      </c>
      <c r="N1145" s="14">
        <v>45809</v>
      </c>
    </row>
    <row r="1146" spans="1:14" x14ac:dyDescent="0.25">
      <c r="A1146" s="10" t="s">
        <v>1273</v>
      </c>
      <c r="B1146" s="10" t="s">
        <v>220</v>
      </c>
      <c r="C1146" s="11">
        <v>45804</v>
      </c>
      <c r="D1146" s="11">
        <v>45834</v>
      </c>
      <c r="E1146" s="11">
        <v>45873</v>
      </c>
      <c r="F1146" s="12">
        <v>83749.55</v>
      </c>
      <c r="G1146" s="12">
        <v>83749.55</v>
      </c>
      <c r="H1146" s="12">
        <f t="shared" si="85"/>
        <v>0</v>
      </c>
      <c r="I1146" s="10">
        <f t="shared" si="86"/>
        <v>39</v>
      </c>
      <c r="J1146" s="10" t="str">
        <f t="shared" ca="1" si="87"/>
        <v>Paid</v>
      </c>
      <c r="K1146" s="10">
        <f t="shared" ca="1" si="88"/>
        <v>0</v>
      </c>
      <c r="L1146" s="10" t="str">
        <f t="shared" si="89"/>
        <v>Paid</v>
      </c>
      <c r="M1146" s="11">
        <v>45778</v>
      </c>
      <c r="N1146" s="11">
        <v>45870</v>
      </c>
    </row>
    <row r="1147" spans="1:14" x14ac:dyDescent="0.25">
      <c r="A1147" s="13" t="s">
        <v>1274</v>
      </c>
      <c r="B1147" s="13" t="s">
        <v>70</v>
      </c>
      <c r="C1147" s="14">
        <v>45781</v>
      </c>
      <c r="D1147" s="14">
        <v>45811</v>
      </c>
      <c r="E1147" s="14">
        <v>45811</v>
      </c>
      <c r="F1147" s="15">
        <v>25245.02</v>
      </c>
      <c r="G1147" s="15">
        <v>25245.02</v>
      </c>
      <c r="H1147" s="15">
        <f t="shared" si="85"/>
        <v>0</v>
      </c>
      <c r="I1147" s="13">
        <f t="shared" si="86"/>
        <v>0</v>
      </c>
      <c r="J1147" s="13" t="str">
        <f t="shared" ca="1" si="87"/>
        <v>Paid</v>
      </c>
      <c r="K1147" s="13">
        <f t="shared" ca="1" si="88"/>
        <v>0</v>
      </c>
      <c r="L1147" s="13" t="str">
        <f t="shared" si="89"/>
        <v>Paid</v>
      </c>
      <c r="M1147" s="14">
        <v>45778</v>
      </c>
      <c r="N1147" s="14">
        <v>45809</v>
      </c>
    </row>
    <row r="1148" spans="1:14" x14ac:dyDescent="0.25">
      <c r="A1148" s="10" t="s">
        <v>1275</v>
      </c>
      <c r="B1148" s="10" t="s">
        <v>180</v>
      </c>
      <c r="C1148" s="11">
        <v>45797</v>
      </c>
      <c r="D1148" s="11">
        <v>45827</v>
      </c>
      <c r="E1148" s="11"/>
      <c r="F1148" s="12">
        <v>45309.64</v>
      </c>
      <c r="G1148" s="12">
        <v>0</v>
      </c>
      <c r="H1148" s="12">
        <f t="shared" si="85"/>
        <v>45309.64</v>
      </c>
      <c r="I1148" s="10" t="str">
        <f t="shared" si="86"/>
        <v/>
      </c>
      <c r="J1148" s="10" t="str">
        <f t="shared" ca="1" si="87"/>
        <v>Overdue</v>
      </c>
      <c r="K1148" s="10">
        <f t="shared" ca="1" si="88"/>
        <v>429</v>
      </c>
      <c r="L1148" s="10" t="str">
        <f t="shared" ca="1" si="89"/>
        <v>120+ Days</v>
      </c>
      <c r="M1148" s="11">
        <v>45778</v>
      </c>
      <c r="N1148" s="11"/>
    </row>
    <row r="1149" spans="1:14" x14ac:dyDescent="0.25">
      <c r="A1149" s="13" t="s">
        <v>1276</v>
      </c>
      <c r="B1149" s="13" t="s">
        <v>278</v>
      </c>
      <c r="C1149" s="14">
        <v>45780</v>
      </c>
      <c r="D1149" s="14">
        <v>45810</v>
      </c>
      <c r="E1149" s="14"/>
      <c r="F1149" s="15">
        <v>80579.64</v>
      </c>
      <c r="G1149" s="15">
        <v>0</v>
      </c>
      <c r="H1149" s="15">
        <f t="shared" si="85"/>
        <v>80579.64</v>
      </c>
      <c r="I1149" s="13" t="str">
        <f t="shared" si="86"/>
        <v/>
      </c>
      <c r="J1149" s="13" t="str">
        <f t="shared" ca="1" si="87"/>
        <v>Overdue</v>
      </c>
      <c r="K1149" s="13">
        <f t="shared" ca="1" si="88"/>
        <v>446</v>
      </c>
      <c r="L1149" s="13" t="str">
        <f t="shared" ca="1" si="89"/>
        <v>120+ Days</v>
      </c>
      <c r="M1149" s="14">
        <v>45778</v>
      </c>
      <c r="N1149" s="14"/>
    </row>
    <row r="1150" spans="1:14" x14ac:dyDescent="0.25">
      <c r="A1150" s="10" t="s">
        <v>1277</v>
      </c>
      <c r="B1150" s="10" t="s">
        <v>131</v>
      </c>
      <c r="C1150" s="11">
        <v>45778</v>
      </c>
      <c r="D1150" s="11">
        <v>45808</v>
      </c>
      <c r="E1150" s="11">
        <v>45808</v>
      </c>
      <c r="F1150" s="12">
        <v>17466.669999999998</v>
      </c>
      <c r="G1150" s="12">
        <v>17466.669999999998</v>
      </c>
      <c r="H1150" s="12">
        <f t="shared" si="85"/>
        <v>0</v>
      </c>
      <c r="I1150" s="10">
        <f t="shared" si="86"/>
        <v>0</v>
      </c>
      <c r="J1150" s="10" t="str">
        <f t="shared" ca="1" si="87"/>
        <v>Paid</v>
      </c>
      <c r="K1150" s="10">
        <f t="shared" ca="1" si="88"/>
        <v>0</v>
      </c>
      <c r="L1150" s="10" t="str">
        <f t="shared" si="89"/>
        <v>Paid</v>
      </c>
      <c r="M1150" s="11">
        <v>45778</v>
      </c>
      <c r="N1150" s="11">
        <v>45778</v>
      </c>
    </row>
    <row r="1151" spans="1:14" x14ac:dyDescent="0.25">
      <c r="A1151" s="13" t="s">
        <v>1278</v>
      </c>
      <c r="B1151" s="13" t="s">
        <v>134</v>
      </c>
      <c r="C1151" s="14">
        <v>45793</v>
      </c>
      <c r="D1151" s="14">
        <v>45823</v>
      </c>
      <c r="E1151" s="14">
        <v>45823</v>
      </c>
      <c r="F1151" s="15">
        <v>56962.22</v>
      </c>
      <c r="G1151" s="15">
        <v>56962.22</v>
      </c>
      <c r="H1151" s="15">
        <f t="shared" si="85"/>
        <v>0</v>
      </c>
      <c r="I1151" s="13">
        <f t="shared" si="86"/>
        <v>0</v>
      </c>
      <c r="J1151" s="13" t="str">
        <f t="shared" ca="1" si="87"/>
        <v>Paid</v>
      </c>
      <c r="K1151" s="13">
        <f t="shared" ca="1" si="88"/>
        <v>0</v>
      </c>
      <c r="L1151" s="13" t="str">
        <f t="shared" si="89"/>
        <v>Paid</v>
      </c>
      <c r="M1151" s="14">
        <v>45778</v>
      </c>
      <c r="N1151" s="14">
        <v>45809</v>
      </c>
    </row>
    <row r="1152" spans="1:14" x14ac:dyDescent="0.25">
      <c r="A1152" s="10" t="s">
        <v>1279</v>
      </c>
      <c r="B1152" s="10" t="s">
        <v>70</v>
      </c>
      <c r="C1152" s="11">
        <v>45794</v>
      </c>
      <c r="D1152" s="11">
        <v>45824</v>
      </c>
      <c r="E1152" s="11">
        <v>45824</v>
      </c>
      <c r="F1152" s="12">
        <v>16784.95</v>
      </c>
      <c r="G1152" s="12">
        <v>16784.95</v>
      </c>
      <c r="H1152" s="12">
        <f t="shared" si="85"/>
        <v>0</v>
      </c>
      <c r="I1152" s="10">
        <f t="shared" si="86"/>
        <v>0</v>
      </c>
      <c r="J1152" s="10" t="str">
        <f t="shared" ca="1" si="87"/>
        <v>Paid</v>
      </c>
      <c r="K1152" s="10">
        <f t="shared" ca="1" si="88"/>
        <v>0</v>
      </c>
      <c r="L1152" s="10" t="str">
        <f t="shared" si="89"/>
        <v>Paid</v>
      </c>
      <c r="M1152" s="11">
        <v>45778</v>
      </c>
      <c r="N1152" s="11">
        <v>45809</v>
      </c>
    </row>
    <row r="1153" spans="1:14" x14ac:dyDescent="0.25">
      <c r="A1153" s="13" t="s">
        <v>1280</v>
      </c>
      <c r="B1153" s="13" t="s">
        <v>115</v>
      </c>
      <c r="C1153" s="14">
        <v>45795</v>
      </c>
      <c r="D1153" s="14">
        <v>45825</v>
      </c>
      <c r="E1153" s="14">
        <v>45834</v>
      </c>
      <c r="F1153" s="15">
        <v>51065.03</v>
      </c>
      <c r="G1153" s="15">
        <v>51065.03</v>
      </c>
      <c r="H1153" s="15">
        <f t="shared" si="85"/>
        <v>0</v>
      </c>
      <c r="I1153" s="13">
        <f t="shared" si="86"/>
        <v>9</v>
      </c>
      <c r="J1153" s="13" t="str">
        <f t="shared" ca="1" si="87"/>
        <v>Paid</v>
      </c>
      <c r="K1153" s="13">
        <f t="shared" ca="1" si="88"/>
        <v>0</v>
      </c>
      <c r="L1153" s="13" t="str">
        <f t="shared" si="89"/>
        <v>Paid</v>
      </c>
      <c r="M1153" s="14">
        <v>45778</v>
      </c>
      <c r="N1153" s="14">
        <v>45809</v>
      </c>
    </row>
    <row r="1154" spans="1:14" x14ac:dyDescent="0.25">
      <c r="A1154" s="10" t="s">
        <v>1281</v>
      </c>
      <c r="B1154" s="10" t="s">
        <v>97</v>
      </c>
      <c r="C1154" s="11">
        <v>45780</v>
      </c>
      <c r="D1154" s="11">
        <v>45810</v>
      </c>
      <c r="E1154" s="11">
        <v>45829</v>
      </c>
      <c r="F1154" s="12">
        <v>60859.93</v>
      </c>
      <c r="G1154" s="12">
        <v>60859.93</v>
      </c>
      <c r="H1154" s="12">
        <f t="shared" ref="H1154:H1217" si="90">MAX(0,F1154-G1154)</f>
        <v>0</v>
      </c>
      <c r="I1154" s="10">
        <f t="shared" ref="I1154:I1217" si="91">IF(E1154="","",MAX(0,E1154-D1154))</f>
        <v>19</v>
      </c>
      <c r="J1154" s="10" t="str">
        <f t="shared" ref="J1154:J1217" ca="1" si="92">IF(H1154=0,"Paid",IF(D1154&lt;TODAY(),"Overdue","Open"))</f>
        <v>Paid</v>
      </c>
      <c r="K1154" s="10">
        <f t="shared" ref="K1154:K1217" ca="1" si="93">IF(H1154=0,0,MAX(0,TODAY()-D1154))</f>
        <v>0</v>
      </c>
      <c r="L1154" s="10" t="str">
        <f t="shared" ref="L1154:L1217" si="94">IF(H1154=0,"Paid",IF(K1154&lt;=30,"0-30 Days",IF(K1154&lt;=60,"31-60 Days",IF(K1154&lt;=90,"61-90 Days",IF(K1154&lt;=120,"91-120 Days","120+ Days")))))</f>
        <v>Paid</v>
      </c>
      <c r="M1154" s="11">
        <v>45778</v>
      </c>
      <c r="N1154" s="11">
        <v>45809</v>
      </c>
    </row>
    <row r="1155" spans="1:14" x14ac:dyDescent="0.25">
      <c r="A1155" s="13" t="s">
        <v>1282</v>
      </c>
      <c r="B1155" s="13" t="s">
        <v>274</v>
      </c>
      <c r="C1155" s="14">
        <v>45787</v>
      </c>
      <c r="D1155" s="14">
        <v>45817</v>
      </c>
      <c r="E1155" s="14">
        <v>45849</v>
      </c>
      <c r="F1155" s="15">
        <v>17699.38</v>
      </c>
      <c r="G1155" s="15">
        <v>17699.38</v>
      </c>
      <c r="H1155" s="15">
        <f t="shared" si="90"/>
        <v>0</v>
      </c>
      <c r="I1155" s="13">
        <f t="shared" si="91"/>
        <v>32</v>
      </c>
      <c r="J1155" s="13" t="str">
        <f t="shared" ca="1" si="92"/>
        <v>Paid</v>
      </c>
      <c r="K1155" s="13">
        <f t="shared" ca="1" si="93"/>
        <v>0</v>
      </c>
      <c r="L1155" s="13" t="str">
        <f t="shared" si="94"/>
        <v>Paid</v>
      </c>
      <c r="M1155" s="14">
        <v>45778</v>
      </c>
      <c r="N1155" s="14">
        <v>45839</v>
      </c>
    </row>
    <row r="1156" spans="1:14" x14ac:dyDescent="0.25">
      <c r="A1156" s="10" t="s">
        <v>1283</v>
      </c>
      <c r="B1156" s="10" t="s">
        <v>129</v>
      </c>
      <c r="C1156" s="11">
        <v>45797</v>
      </c>
      <c r="D1156" s="11">
        <v>45827</v>
      </c>
      <c r="E1156" s="11">
        <v>45835</v>
      </c>
      <c r="F1156" s="12">
        <v>37405.07</v>
      </c>
      <c r="G1156" s="12">
        <v>37405.07</v>
      </c>
      <c r="H1156" s="12">
        <f t="shared" si="90"/>
        <v>0</v>
      </c>
      <c r="I1156" s="10">
        <f t="shared" si="91"/>
        <v>8</v>
      </c>
      <c r="J1156" s="10" t="str">
        <f t="shared" ca="1" si="92"/>
        <v>Paid</v>
      </c>
      <c r="K1156" s="10">
        <f t="shared" ca="1" si="93"/>
        <v>0</v>
      </c>
      <c r="L1156" s="10" t="str">
        <f t="shared" si="94"/>
        <v>Paid</v>
      </c>
      <c r="M1156" s="11">
        <v>45778</v>
      </c>
      <c r="N1156" s="11">
        <v>45809</v>
      </c>
    </row>
    <row r="1157" spans="1:14" x14ac:dyDescent="0.25">
      <c r="A1157" s="13" t="s">
        <v>1284</v>
      </c>
      <c r="B1157" s="13" t="s">
        <v>85</v>
      </c>
      <c r="C1157" s="14">
        <v>45804</v>
      </c>
      <c r="D1157" s="14">
        <v>45834</v>
      </c>
      <c r="E1157" s="14"/>
      <c r="F1157" s="15">
        <v>21104.57</v>
      </c>
      <c r="G1157" s="15">
        <v>0</v>
      </c>
      <c r="H1157" s="15">
        <f t="shared" si="90"/>
        <v>21104.57</v>
      </c>
      <c r="I1157" s="13" t="str">
        <f t="shared" si="91"/>
        <v/>
      </c>
      <c r="J1157" s="13" t="str">
        <f t="shared" ca="1" si="92"/>
        <v>Overdue</v>
      </c>
      <c r="K1157" s="13">
        <f t="shared" ca="1" si="93"/>
        <v>422</v>
      </c>
      <c r="L1157" s="13" t="str">
        <f t="shared" ca="1" si="94"/>
        <v>120+ Days</v>
      </c>
      <c r="M1157" s="14">
        <v>45778</v>
      </c>
      <c r="N1157" s="14"/>
    </row>
    <row r="1158" spans="1:14" x14ac:dyDescent="0.25">
      <c r="A1158" s="10" t="s">
        <v>1285</v>
      </c>
      <c r="B1158" s="10" t="s">
        <v>107</v>
      </c>
      <c r="C1158" s="11">
        <v>45784</v>
      </c>
      <c r="D1158" s="11">
        <v>45814</v>
      </c>
      <c r="E1158" s="11">
        <v>45814</v>
      </c>
      <c r="F1158" s="12">
        <v>82470.94</v>
      </c>
      <c r="G1158" s="12">
        <v>82470.94</v>
      </c>
      <c r="H1158" s="12">
        <f t="shared" si="90"/>
        <v>0</v>
      </c>
      <c r="I1158" s="10">
        <f t="shared" si="91"/>
        <v>0</v>
      </c>
      <c r="J1158" s="10" t="str">
        <f t="shared" ca="1" si="92"/>
        <v>Paid</v>
      </c>
      <c r="K1158" s="10">
        <f t="shared" ca="1" si="93"/>
        <v>0</v>
      </c>
      <c r="L1158" s="10" t="str">
        <f t="shared" si="94"/>
        <v>Paid</v>
      </c>
      <c r="M1158" s="11">
        <v>45778</v>
      </c>
      <c r="N1158" s="11">
        <v>45809</v>
      </c>
    </row>
    <row r="1159" spans="1:14" x14ac:dyDescent="0.25">
      <c r="A1159" s="13" t="s">
        <v>1286</v>
      </c>
      <c r="B1159" s="13" t="s">
        <v>331</v>
      </c>
      <c r="C1159" s="14">
        <v>45778</v>
      </c>
      <c r="D1159" s="14">
        <v>45808</v>
      </c>
      <c r="E1159" s="14"/>
      <c r="F1159" s="15">
        <v>33329.99</v>
      </c>
      <c r="G1159" s="15">
        <v>0</v>
      </c>
      <c r="H1159" s="15">
        <f t="shared" si="90"/>
        <v>33329.99</v>
      </c>
      <c r="I1159" s="13" t="str">
        <f t="shared" si="91"/>
        <v/>
      </c>
      <c r="J1159" s="13" t="str">
        <f t="shared" ca="1" si="92"/>
        <v>Overdue</v>
      </c>
      <c r="K1159" s="13">
        <f t="shared" ca="1" si="93"/>
        <v>448</v>
      </c>
      <c r="L1159" s="13" t="str">
        <f t="shared" ca="1" si="94"/>
        <v>120+ Days</v>
      </c>
      <c r="M1159" s="14">
        <v>45778</v>
      </c>
      <c r="N1159" s="14"/>
    </row>
    <row r="1160" spans="1:14" x14ac:dyDescent="0.25">
      <c r="A1160" s="10" t="s">
        <v>1287</v>
      </c>
      <c r="B1160" s="10" t="s">
        <v>180</v>
      </c>
      <c r="C1160" s="11">
        <v>45788</v>
      </c>
      <c r="D1160" s="11">
        <v>45818</v>
      </c>
      <c r="E1160" s="11"/>
      <c r="F1160" s="12">
        <v>52807.98</v>
      </c>
      <c r="G1160" s="12">
        <v>0</v>
      </c>
      <c r="H1160" s="12">
        <f t="shared" si="90"/>
        <v>52807.98</v>
      </c>
      <c r="I1160" s="10" t="str">
        <f t="shared" si="91"/>
        <v/>
      </c>
      <c r="J1160" s="10" t="str">
        <f t="shared" ca="1" si="92"/>
        <v>Overdue</v>
      </c>
      <c r="K1160" s="10">
        <f t="shared" ca="1" si="93"/>
        <v>438</v>
      </c>
      <c r="L1160" s="10" t="str">
        <f t="shared" ca="1" si="94"/>
        <v>120+ Days</v>
      </c>
      <c r="M1160" s="11">
        <v>45778</v>
      </c>
      <c r="N1160" s="11"/>
    </row>
    <row r="1161" spans="1:14" x14ac:dyDescent="0.25">
      <c r="A1161" s="13" t="s">
        <v>1288</v>
      </c>
      <c r="B1161" s="13" t="s">
        <v>81</v>
      </c>
      <c r="C1161" s="14">
        <v>45778</v>
      </c>
      <c r="D1161" s="14">
        <v>45808</v>
      </c>
      <c r="E1161" s="14">
        <v>45827</v>
      </c>
      <c r="F1161" s="15">
        <v>27119.01</v>
      </c>
      <c r="G1161" s="15">
        <v>27119.01</v>
      </c>
      <c r="H1161" s="15">
        <f t="shared" si="90"/>
        <v>0</v>
      </c>
      <c r="I1161" s="13">
        <f t="shared" si="91"/>
        <v>19</v>
      </c>
      <c r="J1161" s="13" t="str">
        <f t="shared" ca="1" si="92"/>
        <v>Paid</v>
      </c>
      <c r="K1161" s="13">
        <f t="shared" ca="1" si="93"/>
        <v>0</v>
      </c>
      <c r="L1161" s="13" t="str">
        <f t="shared" si="94"/>
        <v>Paid</v>
      </c>
      <c r="M1161" s="14">
        <v>45778</v>
      </c>
      <c r="N1161" s="14">
        <v>45809</v>
      </c>
    </row>
    <row r="1162" spans="1:14" x14ac:dyDescent="0.25">
      <c r="A1162" s="10" t="s">
        <v>1289</v>
      </c>
      <c r="B1162" s="10" t="s">
        <v>340</v>
      </c>
      <c r="C1162" s="11">
        <v>45780</v>
      </c>
      <c r="D1162" s="11">
        <v>45810</v>
      </c>
      <c r="E1162" s="11"/>
      <c r="F1162" s="12">
        <v>47095.360000000001</v>
      </c>
      <c r="G1162" s="12">
        <v>0</v>
      </c>
      <c r="H1162" s="12">
        <f t="shared" si="90"/>
        <v>47095.360000000001</v>
      </c>
      <c r="I1162" s="10" t="str">
        <f t="shared" si="91"/>
        <v/>
      </c>
      <c r="J1162" s="10" t="str">
        <f t="shared" ca="1" si="92"/>
        <v>Overdue</v>
      </c>
      <c r="K1162" s="10">
        <f t="shared" ca="1" si="93"/>
        <v>446</v>
      </c>
      <c r="L1162" s="10" t="str">
        <f t="shared" ca="1" si="94"/>
        <v>120+ Days</v>
      </c>
      <c r="M1162" s="11">
        <v>45778</v>
      </c>
      <c r="N1162" s="11"/>
    </row>
    <row r="1163" spans="1:14" x14ac:dyDescent="0.25">
      <c r="A1163" s="13" t="s">
        <v>1290</v>
      </c>
      <c r="B1163" s="13" t="s">
        <v>72</v>
      </c>
      <c r="C1163" s="14">
        <v>45782</v>
      </c>
      <c r="D1163" s="14">
        <v>45812</v>
      </c>
      <c r="E1163" s="14"/>
      <c r="F1163" s="15">
        <v>69388.7</v>
      </c>
      <c r="G1163" s="15">
        <v>0</v>
      </c>
      <c r="H1163" s="15">
        <f t="shared" si="90"/>
        <v>69388.7</v>
      </c>
      <c r="I1163" s="13" t="str">
        <f t="shared" si="91"/>
        <v/>
      </c>
      <c r="J1163" s="13" t="str">
        <f t="shared" ca="1" si="92"/>
        <v>Overdue</v>
      </c>
      <c r="K1163" s="13">
        <f t="shared" ca="1" si="93"/>
        <v>444</v>
      </c>
      <c r="L1163" s="13" t="str">
        <f t="shared" ca="1" si="94"/>
        <v>120+ Days</v>
      </c>
      <c r="M1163" s="14">
        <v>45778</v>
      </c>
      <c r="N1163" s="14"/>
    </row>
    <row r="1164" spans="1:14" x14ac:dyDescent="0.25">
      <c r="A1164" s="10" t="s">
        <v>1291</v>
      </c>
      <c r="B1164" s="10" t="s">
        <v>125</v>
      </c>
      <c r="C1164" s="11">
        <v>45802</v>
      </c>
      <c r="D1164" s="11">
        <v>45832</v>
      </c>
      <c r="E1164" s="11">
        <v>45834</v>
      </c>
      <c r="F1164" s="12">
        <v>51337.35</v>
      </c>
      <c r="G1164" s="12">
        <v>51337.35</v>
      </c>
      <c r="H1164" s="12">
        <f t="shared" si="90"/>
        <v>0</v>
      </c>
      <c r="I1164" s="10">
        <f t="shared" si="91"/>
        <v>2</v>
      </c>
      <c r="J1164" s="10" t="str">
        <f t="shared" ca="1" si="92"/>
        <v>Paid</v>
      </c>
      <c r="K1164" s="10">
        <f t="shared" ca="1" si="93"/>
        <v>0</v>
      </c>
      <c r="L1164" s="10" t="str">
        <f t="shared" si="94"/>
        <v>Paid</v>
      </c>
      <c r="M1164" s="11">
        <v>45778</v>
      </c>
      <c r="N1164" s="11">
        <v>45809</v>
      </c>
    </row>
    <row r="1165" spans="1:14" x14ac:dyDescent="0.25">
      <c r="A1165" s="13" t="s">
        <v>1292</v>
      </c>
      <c r="B1165" s="13" t="s">
        <v>146</v>
      </c>
      <c r="C1165" s="14">
        <v>45793</v>
      </c>
      <c r="D1165" s="14">
        <v>45823</v>
      </c>
      <c r="E1165" s="14">
        <v>45834</v>
      </c>
      <c r="F1165" s="15">
        <v>145025.85</v>
      </c>
      <c r="G1165" s="15">
        <v>145025.85</v>
      </c>
      <c r="H1165" s="15">
        <f t="shared" si="90"/>
        <v>0</v>
      </c>
      <c r="I1165" s="13">
        <f t="shared" si="91"/>
        <v>11</v>
      </c>
      <c r="J1165" s="13" t="str">
        <f t="shared" ca="1" si="92"/>
        <v>Paid</v>
      </c>
      <c r="K1165" s="13">
        <f t="shared" ca="1" si="93"/>
        <v>0</v>
      </c>
      <c r="L1165" s="13" t="str">
        <f t="shared" si="94"/>
        <v>Paid</v>
      </c>
      <c r="M1165" s="14">
        <v>45778</v>
      </c>
      <c r="N1165" s="14">
        <v>45809</v>
      </c>
    </row>
    <row r="1166" spans="1:14" x14ac:dyDescent="0.25">
      <c r="A1166" s="10" t="s">
        <v>1293</v>
      </c>
      <c r="B1166" s="10" t="s">
        <v>70</v>
      </c>
      <c r="C1166" s="11">
        <v>45786</v>
      </c>
      <c r="D1166" s="11">
        <v>45816</v>
      </c>
      <c r="E1166" s="11">
        <v>45816</v>
      </c>
      <c r="F1166" s="12">
        <v>101935.08</v>
      </c>
      <c r="G1166" s="12">
        <v>101935.08</v>
      </c>
      <c r="H1166" s="12">
        <f t="shared" si="90"/>
        <v>0</v>
      </c>
      <c r="I1166" s="10">
        <f t="shared" si="91"/>
        <v>0</v>
      </c>
      <c r="J1166" s="10" t="str">
        <f t="shared" ca="1" si="92"/>
        <v>Paid</v>
      </c>
      <c r="K1166" s="10">
        <f t="shared" ca="1" si="93"/>
        <v>0</v>
      </c>
      <c r="L1166" s="10" t="str">
        <f t="shared" si="94"/>
        <v>Paid</v>
      </c>
      <c r="M1166" s="11">
        <v>45778</v>
      </c>
      <c r="N1166" s="11">
        <v>45809</v>
      </c>
    </row>
    <row r="1167" spans="1:14" x14ac:dyDescent="0.25">
      <c r="A1167" s="13" t="s">
        <v>1294</v>
      </c>
      <c r="B1167" s="13" t="s">
        <v>215</v>
      </c>
      <c r="C1167" s="14">
        <v>45800</v>
      </c>
      <c r="D1167" s="14">
        <v>45830</v>
      </c>
      <c r="E1167" s="14"/>
      <c r="F1167" s="15">
        <v>50611.15</v>
      </c>
      <c r="G1167" s="15">
        <v>0</v>
      </c>
      <c r="H1167" s="15">
        <f t="shared" si="90"/>
        <v>50611.15</v>
      </c>
      <c r="I1167" s="13" t="str">
        <f t="shared" si="91"/>
        <v/>
      </c>
      <c r="J1167" s="13" t="str">
        <f t="shared" ca="1" si="92"/>
        <v>Overdue</v>
      </c>
      <c r="K1167" s="13">
        <f t="shared" ca="1" si="93"/>
        <v>426</v>
      </c>
      <c r="L1167" s="13" t="str">
        <f t="shared" ca="1" si="94"/>
        <v>120+ Days</v>
      </c>
      <c r="M1167" s="14">
        <v>45778</v>
      </c>
      <c r="N1167" s="14"/>
    </row>
    <row r="1168" spans="1:14" x14ac:dyDescent="0.25">
      <c r="A1168" s="10" t="s">
        <v>1295</v>
      </c>
      <c r="B1168" s="10" t="s">
        <v>87</v>
      </c>
      <c r="C1168" s="11">
        <v>45803</v>
      </c>
      <c r="D1168" s="11">
        <v>45833</v>
      </c>
      <c r="E1168" s="11">
        <v>45843</v>
      </c>
      <c r="F1168" s="12">
        <v>57929.98</v>
      </c>
      <c r="G1168" s="12">
        <v>57929.98</v>
      </c>
      <c r="H1168" s="12">
        <f t="shared" si="90"/>
        <v>0</v>
      </c>
      <c r="I1168" s="10">
        <f t="shared" si="91"/>
        <v>10</v>
      </c>
      <c r="J1168" s="10" t="str">
        <f t="shared" ca="1" si="92"/>
        <v>Paid</v>
      </c>
      <c r="K1168" s="10">
        <f t="shared" ca="1" si="93"/>
        <v>0</v>
      </c>
      <c r="L1168" s="10" t="str">
        <f t="shared" si="94"/>
        <v>Paid</v>
      </c>
      <c r="M1168" s="11">
        <v>45778</v>
      </c>
      <c r="N1168" s="11">
        <v>45839</v>
      </c>
    </row>
    <row r="1169" spans="1:14" x14ac:dyDescent="0.25">
      <c r="A1169" s="13" t="s">
        <v>1296</v>
      </c>
      <c r="B1169" s="13" t="s">
        <v>129</v>
      </c>
      <c r="C1169" s="14">
        <v>45800</v>
      </c>
      <c r="D1169" s="14">
        <v>45830</v>
      </c>
      <c r="E1169" s="14"/>
      <c r="F1169" s="15">
        <v>37307.29</v>
      </c>
      <c r="G1169" s="15">
        <v>0</v>
      </c>
      <c r="H1169" s="15">
        <f t="shared" si="90"/>
        <v>37307.29</v>
      </c>
      <c r="I1169" s="13" t="str">
        <f t="shared" si="91"/>
        <v/>
      </c>
      <c r="J1169" s="13" t="str">
        <f t="shared" ca="1" si="92"/>
        <v>Overdue</v>
      </c>
      <c r="K1169" s="13">
        <f t="shared" ca="1" si="93"/>
        <v>426</v>
      </c>
      <c r="L1169" s="13" t="str">
        <f t="shared" ca="1" si="94"/>
        <v>120+ Days</v>
      </c>
      <c r="M1169" s="14">
        <v>45778</v>
      </c>
      <c r="N1169" s="14"/>
    </row>
    <row r="1170" spans="1:14" x14ac:dyDescent="0.25">
      <c r="A1170" s="10" t="s">
        <v>1297</v>
      </c>
      <c r="B1170" s="10" t="s">
        <v>171</v>
      </c>
      <c r="C1170" s="11">
        <v>45779</v>
      </c>
      <c r="D1170" s="11">
        <v>45809</v>
      </c>
      <c r="E1170" s="11">
        <v>45841</v>
      </c>
      <c r="F1170" s="12">
        <v>39438.639999999999</v>
      </c>
      <c r="G1170" s="12">
        <v>39438.639999999999</v>
      </c>
      <c r="H1170" s="12">
        <f t="shared" si="90"/>
        <v>0</v>
      </c>
      <c r="I1170" s="10">
        <f t="shared" si="91"/>
        <v>32</v>
      </c>
      <c r="J1170" s="10" t="str">
        <f t="shared" ca="1" si="92"/>
        <v>Paid</v>
      </c>
      <c r="K1170" s="10">
        <f t="shared" ca="1" si="93"/>
        <v>0</v>
      </c>
      <c r="L1170" s="10" t="str">
        <f t="shared" si="94"/>
        <v>Paid</v>
      </c>
      <c r="M1170" s="11">
        <v>45778</v>
      </c>
      <c r="N1170" s="11">
        <v>45839</v>
      </c>
    </row>
    <row r="1171" spans="1:14" x14ac:dyDescent="0.25">
      <c r="A1171" s="13" t="s">
        <v>1298</v>
      </c>
      <c r="B1171" s="13" t="s">
        <v>171</v>
      </c>
      <c r="C1171" s="14">
        <v>45795</v>
      </c>
      <c r="D1171" s="14">
        <v>45825</v>
      </c>
      <c r="E1171" s="14">
        <v>45827</v>
      </c>
      <c r="F1171" s="15">
        <v>21424.04</v>
      </c>
      <c r="G1171" s="15">
        <v>21424.04</v>
      </c>
      <c r="H1171" s="15">
        <f t="shared" si="90"/>
        <v>0</v>
      </c>
      <c r="I1171" s="13">
        <f t="shared" si="91"/>
        <v>2</v>
      </c>
      <c r="J1171" s="13" t="str">
        <f t="shared" ca="1" si="92"/>
        <v>Paid</v>
      </c>
      <c r="K1171" s="13">
        <f t="shared" ca="1" si="93"/>
        <v>0</v>
      </c>
      <c r="L1171" s="13" t="str">
        <f t="shared" si="94"/>
        <v>Paid</v>
      </c>
      <c r="M1171" s="14">
        <v>45778</v>
      </c>
      <c r="N1171" s="14">
        <v>45809</v>
      </c>
    </row>
    <row r="1172" spans="1:14" x14ac:dyDescent="0.25">
      <c r="A1172" s="10" t="s">
        <v>1299</v>
      </c>
      <c r="B1172" s="10" t="s">
        <v>91</v>
      </c>
      <c r="C1172" s="11">
        <v>45781</v>
      </c>
      <c r="D1172" s="11">
        <v>45811</v>
      </c>
      <c r="E1172" s="11">
        <v>45861</v>
      </c>
      <c r="F1172" s="12">
        <v>23227.32</v>
      </c>
      <c r="G1172" s="12">
        <v>23227.32</v>
      </c>
      <c r="H1172" s="12">
        <f t="shared" si="90"/>
        <v>0</v>
      </c>
      <c r="I1172" s="10">
        <f t="shared" si="91"/>
        <v>50</v>
      </c>
      <c r="J1172" s="10" t="str">
        <f t="shared" ca="1" si="92"/>
        <v>Paid</v>
      </c>
      <c r="K1172" s="10">
        <f t="shared" ca="1" si="93"/>
        <v>0</v>
      </c>
      <c r="L1172" s="10" t="str">
        <f t="shared" si="94"/>
        <v>Paid</v>
      </c>
      <c r="M1172" s="11">
        <v>45778</v>
      </c>
      <c r="N1172" s="11">
        <v>45839</v>
      </c>
    </row>
    <row r="1173" spans="1:14" x14ac:dyDescent="0.25">
      <c r="A1173" s="13" t="s">
        <v>1300</v>
      </c>
      <c r="B1173" s="13" t="s">
        <v>171</v>
      </c>
      <c r="C1173" s="14">
        <v>45804</v>
      </c>
      <c r="D1173" s="14">
        <v>45834</v>
      </c>
      <c r="E1173" s="14">
        <v>45834</v>
      </c>
      <c r="F1173" s="15">
        <v>45611.07</v>
      </c>
      <c r="G1173" s="15">
        <v>45611.07</v>
      </c>
      <c r="H1173" s="15">
        <f t="shared" si="90"/>
        <v>0</v>
      </c>
      <c r="I1173" s="13">
        <f t="shared" si="91"/>
        <v>0</v>
      </c>
      <c r="J1173" s="13" t="str">
        <f t="shared" ca="1" si="92"/>
        <v>Paid</v>
      </c>
      <c r="K1173" s="13">
        <f t="shared" ca="1" si="93"/>
        <v>0</v>
      </c>
      <c r="L1173" s="13" t="str">
        <f t="shared" si="94"/>
        <v>Paid</v>
      </c>
      <c r="M1173" s="14">
        <v>45778</v>
      </c>
      <c r="N1173" s="14">
        <v>45809</v>
      </c>
    </row>
    <row r="1174" spans="1:14" x14ac:dyDescent="0.25">
      <c r="A1174" s="10" t="s">
        <v>1301</v>
      </c>
      <c r="B1174" s="10" t="s">
        <v>222</v>
      </c>
      <c r="C1174" s="11">
        <v>45795</v>
      </c>
      <c r="D1174" s="11">
        <v>45825</v>
      </c>
      <c r="E1174" s="11"/>
      <c r="F1174" s="12">
        <v>43574.69</v>
      </c>
      <c r="G1174" s="12">
        <v>0</v>
      </c>
      <c r="H1174" s="12">
        <f t="shared" si="90"/>
        <v>43574.69</v>
      </c>
      <c r="I1174" s="10" t="str">
        <f t="shared" si="91"/>
        <v/>
      </c>
      <c r="J1174" s="10" t="str">
        <f t="shared" ca="1" si="92"/>
        <v>Overdue</v>
      </c>
      <c r="K1174" s="10">
        <f t="shared" ca="1" si="93"/>
        <v>431</v>
      </c>
      <c r="L1174" s="10" t="str">
        <f t="shared" ca="1" si="94"/>
        <v>120+ Days</v>
      </c>
      <c r="M1174" s="11">
        <v>45778</v>
      </c>
      <c r="N1174" s="11"/>
    </row>
    <row r="1175" spans="1:14" x14ac:dyDescent="0.25">
      <c r="A1175" s="13" t="s">
        <v>1302</v>
      </c>
      <c r="B1175" s="13" t="s">
        <v>314</v>
      </c>
      <c r="C1175" s="14">
        <v>45804</v>
      </c>
      <c r="D1175" s="14">
        <v>45834</v>
      </c>
      <c r="E1175" s="14"/>
      <c r="F1175" s="15">
        <v>16840.95</v>
      </c>
      <c r="G1175" s="15">
        <v>0</v>
      </c>
      <c r="H1175" s="15">
        <f t="shared" si="90"/>
        <v>16840.95</v>
      </c>
      <c r="I1175" s="13" t="str">
        <f t="shared" si="91"/>
        <v/>
      </c>
      <c r="J1175" s="13" t="str">
        <f t="shared" ca="1" si="92"/>
        <v>Overdue</v>
      </c>
      <c r="K1175" s="13">
        <f t="shared" ca="1" si="93"/>
        <v>422</v>
      </c>
      <c r="L1175" s="13" t="str">
        <f t="shared" ca="1" si="94"/>
        <v>120+ Days</v>
      </c>
      <c r="M1175" s="14">
        <v>45778</v>
      </c>
      <c r="N1175" s="14"/>
    </row>
    <row r="1176" spans="1:14" x14ac:dyDescent="0.25">
      <c r="A1176" s="10" t="s">
        <v>1303</v>
      </c>
      <c r="B1176" s="10" t="s">
        <v>123</v>
      </c>
      <c r="C1176" s="11">
        <v>45802</v>
      </c>
      <c r="D1176" s="11">
        <v>45832</v>
      </c>
      <c r="E1176" s="11"/>
      <c r="F1176" s="12">
        <v>59178.82</v>
      </c>
      <c r="G1176" s="12">
        <v>0</v>
      </c>
      <c r="H1176" s="12">
        <f t="shared" si="90"/>
        <v>59178.82</v>
      </c>
      <c r="I1176" s="10" t="str">
        <f t="shared" si="91"/>
        <v/>
      </c>
      <c r="J1176" s="10" t="str">
        <f t="shared" ca="1" si="92"/>
        <v>Overdue</v>
      </c>
      <c r="K1176" s="10">
        <f t="shared" ca="1" si="93"/>
        <v>424</v>
      </c>
      <c r="L1176" s="10" t="str">
        <f t="shared" ca="1" si="94"/>
        <v>120+ Days</v>
      </c>
      <c r="M1176" s="11">
        <v>45778</v>
      </c>
      <c r="N1176" s="11"/>
    </row>
    <row r="1177" spans="1:14" x14ac:dyDescent="0.25">
      <c r="A1177" s="13" t="s">
        <v>1304</v>
      </c>
      <c r="B1177" s="13" t="s">
        <v>125</v>
      </c>
      <c r="C1177" s="14">
        <v>45814</v>
      </c>
      <c r="D1177" s="14">
        <v>45844</v>
      </c>
      <c r="E1177" s="14">
        <v>45844</v>
      </c>
      <c r="F1177" s="15">
        <v>38015.550000000003</v>
      </c>
      <c r="G1177" s="15">
        <v>38015.550000000003</v>
      </c>
      <c r="H1177" s="15">
        <f t="shared" si="90"/>
        <v>0</v>
      </c>
      <c r="I1177" s="13">
        <f t="shared" si="91"/>
        <v>0</v>
      </c>
      <c r="J1177" s="13" t="str">
        <f t="shared" ca="1" si="92"/>
        <v>Paid</v>
      </c>
      <c r="K1177" s="13">
        <f t="shared" ca="1" si="93"/>
        <v>0</v>
      </c>
      <c r="L1177" s="13" t="str">
        <f t="shared" si="94"/>
        <v>Paid</v>
      </c>
      <c r="M1177" s="14">
        <v>45809</v>
      </c>
      <c r="N1177" s="14">
        <v>45839</v>
      </c>
    </row>
    <row r="1178" spans="1:14" x14ac:dyDescent="0.25">
      <c r="A1178" s="10" t="s">
        <v>1305</v>
      </c>
      <c r="B1178" s="10" t="s">
        <v>265</v>
      </c>
      <c r="C1178" s="11">
        <v>45818</v>
      </c>
      <c r="D1178" s="11">
        <v>45848</v>
      </c>
      <c r="E1178" s="11"/>
      <c r="F1178" s="12">
        <v>20772.38</v>
      </c>
      <c r="G1178" s="12">
        <v>0</v>
      </c>
      <c r="H1178" s="12">
        <f t="shared" si="90"/>
        <v>20772.38</v>
      </c>
      <c r="I1178" s="10" t="str">
        <f t="shared" si="91"/>
        <v/>
      </c>
      <c r="J1178" s="10" t="str">
        <f t="shared" ca="1" si="92"/>
        <v>Overdue</v>
      </c>
      <c r="K1178" s="10">
        <f t="shared" ca="1" si="93"/>
        <v>408</v>
      </c>
      <c r="L1178" s="10" t="str">
        <f t="shared" ca="1" si="94"/>
        <v>120+ Days</v>
      </c>
      <c r="M1178" s="11">
        <v>45809</v>
      </c>
      <c r="N1178" s="11"/>
    </row>
    <row r="1179" spans="1:14" x14ac:dyDescent="0.25">
      <c r="A1179" s="13" t="s">
        <v>1306</v>
      </c>
      <c r="B1179" s="13" t="s">
        <v>129</v>
      </c>
      <c r="C1179" s="14">
        <v>45816</v>
      </c>
      <c r="D1179" s="14">
        <v>45846</v>
      </c>
      <c r="E1179" s="14">
        <v>45846</v>
      </c>
      <c r="F1179" s="15">
        <v>68309.84</v>
      </c>
      <c r="G1179" s="15">
        <v>68309.84</v>
      </c>
      <c r="H1179" s="15">
        <f t="shared" si="90"/>
        <v>0</v>
      </c>
      <c r="I1179" s="13">
        <f t="shared" si="91"/>
        <v>0</v>
      </c>
      <c r="J1179" s="13" t="str">
        <f t="shared" ca="1" si="92"/>
        <v>Paid</v>
      </c>
      <c r="K1179" s="13">
        <f t="shared" ca="1" si="93"/>
        <v>0</v>
      </c>
      <c r="L1179" s="13" t="str">
        <f t="shared" si="94"/>
        <v>Paid</v>
      </c>
      <c r="M1179" s="14">
        <v>45809</v>
      </c>
      <c r="N1179" s="14">
        <v>45839</v>
      </c>
    </row>
    <row r="1180" spans="1:14" x14ac:dyDescent="0.25">
      <c r="A1180" s="10" t="s">
        <v>1307</v>
      </c>
      <c r="B1180" s="10" t="s">
        <v>233</v>
      </c>
      <c r="C1180" s="11">
        <v>45814</v>
      </c>
      <c r="D1180" s="11">
        <v>45844</v>
      </c>
      <c r="E1180" s="11">
        <v>45844</v>
      </c>
      <c r="F1180" s="12">
        <v>52082.82</v>
      </c>
      <c r="G1180" s="12">
        <v>52082.82</v>
      </c>
      <c r="H1180" s="12">
        <f t="shared" si="90"/>
        <v>0</v>
      </c>
      <c r="I1180" s="10">
        <f t="shared" si="91"/>
        <v>0</v>
      </c>
      <c r="J1180" s="10" t="str">
        <f t="shared" ca="1" si="92"/>
        <v>Paid</v>
      </c>
      <c r="K1180" s="10">
        <f t="shared" ca="1" si="93"/>
        <v>0</v>
      </c>
      <c r="L1180" s="10" t="str">
        <f t="shared" si="94"/>
        <v>Paid</v>
      </c>
      <c r="M1180" s="11">
        <v>45809</v>
      </c>
      <c r="N1180" s="11">
        <v>45839</v>
      </c>
    </row>
    <row r="1181" spans="1:14" x14ac:dyDescent="0.25">
      <c r="A1181" s="13" t="s">
        <v>1308</v>
      </c>
      <c r="B1181" s="13" t="s">
        <v>138</v>
      </c>
      <c r="C1181" s="14">
        <v>45831</v>
      </c>
      <c r="D1181" s="14">
        <v>45861</v>
      </c>
      <c r="E1181" s="14"/>
      <c r="F1181" s="15">
        <v>75626.100000000006</v>
      </c>
      <c r="G1181" s="15">
        <v>0</v>
      </c>
      <c r="H1181" s="15">
        <f t="shared" si="90"/>
        <v>75626.100000000006</v>
      </c>
      <c r="I1181" s="13" t="str">
        <f t="shared" si="91"/>
        <v/>
      </c>
      <c r="J1181" s="13" t="str">
        <f t="shared" ca="1" si="92"/>
        <v>Overdue</v>
      </c>
      <c r="K1181" s="13">
        <f t="shared" ca="1" si="93"/>
        <v>395</v>
      </c>
      <c r="L1181" s="13" t="str">
        <f t="shared" ca="1" si="94"/>
        <v>120+ Days</v>
      </c>
      <c r="M1181" s="14">
        <v>45809</v>
      </c>
      <c r="N1181" s="14"/>
    </row>
    <row r="1182" spans="1:14" x14ac:dyDescent="0.25">
      <c r="A1182" s="10" t="s">
        <v>1309</v>
      </c>
      <c r="B1182" s="10" t="s">
        <v>99</v>
      </c>
      <c r="C1182" s="11">
        <v>45811</v>
      </c>
      <c r="D1182" s="11">
        <v>45841</v>
      </c>
      <c r="E1182" s="11">
        <v>45841</v>
      </c>
      <c r="F1182" s="12">
        <v>65987.83</v>
      </c>
      <c r="G1182" s="12">
        <v>65987.83</v>
      </c>
      <c r="H1182" s="12">
        <f t="shared" si="90"/>
        <v>0</v>
      </c>
      <c r="I1182" s="10">
        <f t="shared" si="91"/>
        <v>0</v>
      </c>
      <c r="J1182" s="10" t="str">
        <f t="shared" ca="1" si="92"/>
        <v>Paid</v>
      </c>
      <c r="K1182" s="10">
        <f t="shared" ca="1" si="93"/>
        <v>0</v>
      </c>
      <c r="L1182" s="10" t="str">
        <f t="shared" si="94"/>
        <v>Paid</v>
      </c>
      <c r="M1182" s="11">
        <v>45809</v>
      </c>
      <c r="N1182" s="11">
        <v>45839</v>
      </c>
    </row>
    <row r="1183" spans="1:14" x14ac:dyDescent="0.25">
      <c r="A1183" s="13" t="s">
        <v>1310</v>
      </c>
      <c r="B1183" s="13" t="s">
        <v>171</v>
      </c>
      <c r="C1183" s="14">
        <v>45811</v>
      </c>
      <c r="D1183" s="14">
        <v>45841</v>
      </c>
      <c r="E1183" s="14">
        <v>45872</v>
      </c>
      <c r="F1183" s="15">
        <v>46494.720000000001</v>
      </c>
      <c r="G1183" s="15">
        <v>46494.720000000001</v>
      </c>
      <c r="H1183" s="15">
        <f t="shared" si="90"/>
        <v>0</v>
      </c>
      <c r="I1183" s="13">
        <f t="shared" si="91"/>
        <v>31</v>
      </c>
      <c r="J1183" s="13" t="str">
        <f t="shared" ca="1" si="92"/>
        <v>Paid</v>
      </c>
      <c r="K1183" s="13">
        <f t="shared" ca="1" si="93"/>
        <v>0</v>
      </c>
      <c r="L1183" s="13" t="str">
        <f t="shared" si="94"/>
        <v>Paid</v>
      </c>
      <c r="M1183" s="14">
        <v>45809</v>
      </c>
      <c r="N1183" s="14">
        <v>45870</v>
      </c>
    </row>
    <row r="1184" spans="1:14" x14ac:dyDescent="0.25">
      <c r="A1184" s="10" t="s">
        <v>1311</v>
      </c>
      <c r="B1184" s="10" t="s">
        <v>131</v>
      </c>
      <c r="C1184" s="11">
        <v>45820</v>
      </c>
      <c r="D1184" s="11">
        <v>45850</v>
      </c>
      <c r="E1184" s="11">
        <v>45850</v>
      </c>
      <c r="F1184" s="12">
        <v>49232.639999999999</v>
      </c>
      <c r="G1184" s="12">
        <v>49232.639999999999</v>
      </c>
      <c r="H1184" s="12">
        <f t="shared" si="90"/>
        <v>0</v>
      </c>
      <c r="I1184" s="10">
        <f t="shared" si="91"/>
        <v>0</v>
      </c>
      <c r="J1184" s="10" t="str">
        <f t="shared" ca="1" si="92"/>
        <v>Paid</v>
      </c>
      <c r="K1184" s="10">
        <f t="shared" ca="1" si="93"/>
        <v>0</v>
      </c>
      <c r="L1184" s="10" t="str">
        <f t="shared" si="94"/>
        <v>Paid</v>
      </c>
      <c r="M1184" s="11">
        <v>45809</v>
      </c>
      <c r="N1184" s="11">
        <v>45839</v>
      </c>
    </row>
    <row r="1185" spans="1:14" x14ac:dyDescent="0.25">
      <c r="A1185" s="13" t="s">
        <v>1312</v>
      </c>
      <c r="B1185" s="13" t="s">
        <v>153</v>
      </c>
      <c r="C1185" s="14">
        <v>45824</v>
      </c>
      <c r="D1185" s="14">
        <v>45854</v>
      </c>
      <c r="E1185" s="14">
        <v>45886</v>
      </c>
      <c r="F1185" s="15">
        <v>54408.82</v>
      </c>
      <c r="G1185" s="15">
        <v>54408.82</v>
      </c>
      <c r="H1185" s="15">
        <f t="shared" si="90"/>
        <v>0</v>
      </c>
      <c r="I1185" s="13">
        <f t="shared" si="91"/>
        <v>32</v>
      </c>
      <c r="J1185" s="13" t="str">
        <f t="shared" ca="1" si="92"/>
        <v>Paid</v>
      </c>
      <c r="K1185" s="13">
        <f t="shared" ca="1" si="93"/>
        <v>0</v>
      </c>
      <c r="L1185" s="13" t="str">
        <f t="shared" si="94"/>
        <v>Paid</v>
      </c>
      <c r="M1185" s="14">
        <v>45809</v>
      </c>
      <c r="N1185" s="14">
        <v>45870</v>
      </c>
    </row>
    <row r="1186" spans="1:14" x14ac:dyDescent="0.25">
      <c r="A1186" s="10" t="s">
        <v>1313</v>
      </c>
      <c r="B1186" s="10" t="s">
        <v>93</v>
      </c>
      <c r="C1186" s="11">
        <v>45832</v>
      </c>
      <c r="D1186" s="11">
        <v>45862</v>
      </c>
      <c r="E1186" s="11">
        <v>45862</v>
      </c>
      <c r="F1186" s="12">
        <v>50295.18</v>
      </c>
      <c r="G1186" s="12">
        <v>50295.18</v>
      </c>
      <c r="H1186" s="12">
        <f t="shared" si="90"/>
        <v>0</v>
      </c>
      <c r="I1186" s="10">
        <f t="shared" si="91"/>
        <v>0</v>
      </c>
      <c r="J1186" s="10" t="str">
        <f t="shared" ca="1" si="92"/>
        <v>Paid</v>
      </c>
      <c r="K1186" s="10">
        <f t="shared" ca="1" si="93"/>
        <v>0</v>
      </c>
      <c r="L1186" s="10" t="str">
        <f t="shared" si="94"/>
        <v>Paid</v>
      </c>
      <c r="M1186" s="11">
        <v>45809</v>
      </c>
      <c r="N1186" s="11">
        <v>45839</v>
      </c>
    </row>
    <row r="1187" spans="1:14" x14ac:dyDescent="0.25">
      <c r="A1187" s="13" t="s">
        <v>1314</v>
      </c>
      <c r="B1187" s="13" t="s">
        <v>182</v>
      </c>
      <c r="C1187" s="14">
        <v>45816</v>
      </c>
      <c r="D1187" s="14">
        <v>45846</v>
      </c>
      <c r="E1187" s="14">
        <v>45859</v>
      </c>
      <c r="F1187" s="15">
        <v>42124.74</v>
      </c>
      <c r="G1187" s="15">
        <v>42124.74</v>
      </c>
      <c r="H1187" s="15">
        <f t="shared" si="90"/>
        <v>0</v>
      </c>
      <c r="I1187" s="13">
        <f t="shared" si="91"/>
        <v>13</v>
      </c>
      <c r="J1187" s="13" t="str">
        <f t="shared" ca="1" si="92"/>
        <v>Paid</v>
      </c>
      <c r="K1187" s="13">
        <f t="shared" ca="1" si="93"/>
        <v>0</v>
      </c>
      <c r="L1187" s="13" t="str">
        <f t="shared" si="94"/>
        <v>Paid</v>
      </c>
      <c r="M1187" s="14">
        <v>45809</v>
      </c>
      <c r="N1187" s="14">
        <v>45839</v>
      </c>
    </row>
    <row r="1188" spans="1:14" x14ac:dyDescent="0.25">
      <c r="A1188" s="10" t="s">
        <v>1315</v>
      </c>
      <c r="B1188" s="10" t="s">
        <v>107</v>
      </c>
      <c r="C1188" s="11">
        <v>45818</v>
      </c>
      <c r="D1188" s="11">
        <v>45848</v>
      </c>
      <c r="E1188" s="11"/>
      <c r="F1188" s="12">
        <v>94201.27</v>
      </c>
      <c r="G1188" s="12">
        <v>0</v>
      </c>
      <c r="H1188" s="12">
        <f t="shared" si="90"/>
        <v>94201.27</v>
      </c>
      <c r="I1188" s="10" t="str">
        <f t="shared" si="91"/>
        <v/>
      </c>
      <c r="J1188" s="10" t="str">
        <f t="shared" ca="1" si="92"/>
        <v>Overdue</v>
      </c>
      <c r="K1188" s="10">
        <f t="shared" ca="1" si="93"/>
        <v>408</v>
      </c>
      <c r="L1188" s="10" t="str">
        <f t="shared" ca="1" si="94"/>
        <v>120+ Days</v>
      </c>
      <c r="M1188" s="11">
        <v>45809</v>
      </c>
      <c r="N1188" s="11"/>
    </row>
    <row r="1189" spans="1:14" x14ac:dyDescent="0.25">
      <c r="A1189" s="13" t="s">
        <v>1316</v>
      </c>
      <c r="B1189" s="13" t="s">
        <v>113</v>
      </c>
      <c r="C1189" s="14">
        <v>45829</v>
      </c>
      <c r="D1189" s="14">
        <v>45859</v>
      </c>
      <c r="E1189" s="14">
        <v>45872</v>
      </c>
      <c r="F1189" s="15">
        <v>18224.78</v>
      </c>
      <c r="G1189" s="15">
        <v>18224.78</v>
      </c>
      <c r="H1189" s="15">
        <f t="shared" si="90"/>
        <v>0</v>
      </c>
      <c r="I1189" s="13">
        <f t="shared" si="91"/>
        <v>13</v>
      </c>
      <c r="J1189" s="13" t="str">
        <f t="shared" ca="1" si="92"/>
        <v>Paid</v>
      </c>
      <c r="K1189" s="13">
        <f t="shared" ca="1" si="93"/>
        <v>0</v>
      </c>
      <c r="L1189" s="13" t="str">
        <f t="shared" si="94"/>
        <v>Paid</v>
      </c>
      <c r="M1189" s="14">
        <v>45809</v>
      </c>
      <c r="N1189" s="14">
        <v>45870</v>
      </c>
    </row>
    <row r="1190" spans="1:14" x14ac:dyDescent="0.25">
      <c r="A1190" s="10" t="s">
        <v>1317</v>
      </c>
      <c r="B1190" s="10" t="s">
        <v>97</v>
      </c>
      <c r="C1190" s="11">
        <v>45820</v>
      </c>
      <c r="D1190" s="11">
        <v>45850</v>
      </c>
      <c r="E1190" s="11">
        <v>45850</v>
      </c>
      <c r="F1190" s="12">
        <v>46603.28</v>
      </c>
      <c r="G1190" s="12">
        <v>46603.28</v>
      </c>
      <c r="H1190" s="12">
        <f t="shared" si="90"/>
        <v>0</v>
      </c>
      <c r="I1190" s="10">
        <f t="shared" si="91"/>
        <v>0</v>
      </c>
      <c r="J1190" s="10" t="str">
        <f t="shared" ca="1" si="92"/>
        <v>Paid</v>
      </c>
      <c r="K1190" s="10">
        <f t="shared" ca="1" si="93"/>
        <v>0</v>
      </c>
      <c r="L1190" s="10" t="str">
        <f t="shared" si="94"/>
        <v>Paid</v>
      </c>
      <c r="M1190" s="11">
        <v>45809</v>
      </c>
      <c r="N1190" s="11">
        <v>45839</v>
      </c>
    </row>
    <row r="1191" spans="1:14" x14ac:dyDescent="0.25">
      <c r="A1191" s="13" t="s">
        <v>1318</v>
      </c>
      <c r="B1191" s="13" t="s">
        <v>131</v>
      </c>
      <c r="C1191" s="14">
        <v>45832</v>
      </c>
      <c r="D1191" s="14">
        <v>45862</v>
      </c>
      <c r="E1191" s="14">
        <v>45863</v>
      </c>
      <c r="F1191" s="15">
        <v>29365.73</v>
      </c>
      <c r="G1191" s="15">
        <v>29365.73</v>
      </c>
      <c r="H1191" s="15">
        <f t="shared" si="90"/>
        <v>0</v>
      </c>
      <c r="I1191" s="13">
        <f t="shared" si="91"/>
        <v>1</v>
      </c>
      <c r="J1191" s="13" t="str">
        <f t="shared" ca="1" si="92"/>
        <v>Paid</v>
      </c>
      <c r="K1191" s="13">
        <f t="shared" ca="1" si="93"/>
        <v>0</v>
      </c>
      <c r="L1191" s="13" t="str">
        <f t="shared" si="94"/>
        <v>Paid</v>
      </c>
      <c r="M1191" s="14">
        <v>45809</v>
      </c>
      <c r="N1191" s="14">
        <v>45839</v>
      </c>
    </row>
    <row r="1192" spans="1:14" x14ac:dyDescent="0.25">
      <c r="A1192" s="10" t="s">
        <v>1319</v>
      </c>
      <c r="B1192" s="10" t="s">
        <v>150</v>
      </c>
      <c r="C1192" s="11">
        <v>45819</v>
      </c>
      <c r="D1192" s="11">
        <v>45849</v>
      </c>
      <c r="E1192" s="11">
        <v>45851</v>
      </c>
      <c r="F1192" s="12">
        <v>41431.660000000003</v>
      </c>
      <c r="G1192" s="12">
        <v>41431.660000000003</v>
      </c>
      <c r="H1192" s="12">
        <f t="shared" si="90"/>
        <v>0</v>
      </c>
      <c r="I1192" s="10">
        <f t="shared" si="91"/>
        <v>2</v>
      </c>
      <c r="J1192" s="10" t="str">
        <f t="shared" ca="1" si="92"/>
        <v>Paid</v>
      </c>
      <c r="K1192" s="10">
        <f t="shared" ca="1" si="93"/>
        <v>0</v>
      </c>
      <c r="L1192" s="10" t="str">
        <f t="shared" si="94"/>
        <v>Paid</v>
      </c>
      <c r="M1192" s="11">
        <v>45809</v>
      </c>
      <c r="N1192" s="11">
        <v>45839</v>
      </c>
    </row>
    <row r="1193" spans="1:14" x14ac:dyDescent="0.25">
      <c r="A1193" s="13" t="s">
        <v>1320</v>
      </c>
      <c r="B1193" s="13" t="s">
        <v>182</v>
      </c>
      <c r="C1193" s="14">
        <v>45827</v>
      </c>
      <c r="D1193" s="14">
        <v>45857</v>
      </c>
      <c r="E1193" s="14"/>
      <c r="F1193" s="15">
        <v>49374.44</v>
      </c>
      <c r="G1193" s="15">
        <v>0</v>
      </c>
      <c r="H1193" s="15">
        <f t="shared" si="90"/>
        <v>49374.44</v>
      </c>
      <c r="I1193" s="13" t="str">
        <f t="shared" si="91"/>
        <v/>
      </c>
      <c r="J1193" s="13" t="str">
        <f t="shared" ca="1" si="92"/>
        <v>Overdue</v>
      </c>
      <c r="K1193" s="13">
        <f t="shared" ca="1" si="93"/>
        <v>399</v>
      </c>
      <c r="L1193" s="13" t="str">
        <f t="shared" ca="1" si="94"/>
        <v>120+ Days</v>
      </c>
      <c r="M1193" s="14">
        <v>45809</v>
      </c>
      <c r="N1193" s="14"/>
    </row>
    <row r="1194" spans="1:14" x14ac:dyDescent="0.25">
      <c r="A1194" s="10" t="s">
        <v>1321</v>
      </c>
      <c r="B1194" s="10" t="s">
        <v>115</v>
      </c>
      <c r="C1194" s="11">
        <v>45835</v>
      </c>
      <c r="D1194" s="11">
        <v>45865</v>
      </c>
      <c r="E1194" s="11">
        <v>45869</v>
      </c>
      <c r="F1194" s="12">
        <v>14933.31</v>
      </c>
      <c r="G1194" s="12">
        <v>14933.31</v>
      </c>
      <c r="H1194" s="12">
        <f t="shared" si="90"/>
        <v>0</v>
      </c>
      <c r="I1194" s="10">
        <f t="shared" si="91"/>
        <v>4</v>
      </c>
      <c r="J1194" s="10" t="str">
        <f t="shared" ca="1" si="92"/>
        <v>Paid</v>
      </c>
      <c r="K1194" s="10">
        <f t="shared" ca="1" si="93"/>
        <v>0</v>
      </c>
      <c r="L1194" s="10" t="str">
        <f t="shared" si="94"/>
        <v>Paid</v>
      </c>
      <c r="M1194" s="11">
        <v>45809</v>
      </c>
      <c r="N1194" s="11">
        <v>45839</v>
      </c>
    </row>
    <row r="1195" spans="1:14" x14ac:dyDescent="0.25">
      <c r="A1195" s="13" t="s">
        <v>1322</v>
      </c>
      <c r="B1195" s="13" t="s">
        <v>74</v>
      </c>
      <c r="C1195" s="14">
        <v>45820</v>
      </c>
      <c r="D1195" s="14">
        <v>45850</v>
      </c>
      <c r="E1195" s="14">
        <v>45860</v>
      </c>
      <c r="F1195" s="15">
        <v>60881.45</v>
      </c>
      <c r="G1195" s="15">
        <v>60881.45</v>
      </c>
      <c r="H1195" s="15">
        <f t="shared" si="90"/>
        <v>0</v>
      </c>
      <c r="I1195" s="13">
        <f t="shared" si="91"/>
        <v>10</v>
      </c>
      <c r="J1195" s="13" t="str">
        <f t="shared" ca="1" si="92"/>
        <v>Paid</v>
      </c>
      <c r="K1195" s="13">
        <f t="shared" ca="1" si="93"/>
        <v>0</v>
      </c>
      <c r="L1195" s="13" t="str">
        <f t="shared" si="94"/>
        <v>Paid</v>
      </c>
      <c r="M1195" s="14">
        <v>45809</v>
      </c>
      <c r="N1195" s="14">
        <v>45839</v>
      </c>
    </row>
    <row r="1196" spans="1:14" x14ac:dyDescent="0.25">
      <c r="A1196" s="10" t="s">
        <v>1323</v>
      </c>
      <c r="B1196" s="10" t="s">
        <v>340</v>
      </c>
      <c r="C1196" s="11">
        <v>45820</v>
      </c>
      <c r="D1196" s="11">
        <v>45850</v>
      </c>
      <c r="E1196" s="11">
        <v>45855</v>
      </c>
      <c r="F1196" s="12">
        <v>57896.67</v>
      </c>
      <c r="G1196" s="12">
        <v>29062.98</v>
      </c>
      <c r="H1196" s="12">
        <f t="shared" si="90"/>
        <v>28833.69</v>
      </c>
      <c r="I1196" s="10">
        <f t="shared" si="91"/>
        <v>5</v>
      </c>
      <c r="J1196" s="10" t="str">
        <f t="shared" ca="1" si="92"/>
        <v>Overdue</v>
      </c>
      <c r="K1196" s="10">
        <f t="shared" ca="1" si="93"/>
        <v>406</v>
      </c>
      <c r="L1196" s="10" t="str">
        <f t="shared" ca="1" si="94"/>
        <v>120+ Days</v>
      </c>
      <c r="M1196" s="11">
        <v>45809</v>
      </c>
      <c r="N1196" s="11">
        <v>45839</v>
      </c>
    </row>
    <row r="1197" spans="1:14" x14ac:dyDescent="0.25">
      <c r="A1197" s="13" t="s">
        <v>1324</v>
      </c>
      <c r="B1197" s="13" t="s">
        <v>140</v>
      </c>
      <c r="C1197" s="14">
        <v>45813</v>
      </c>
      <c r="D1197" s="14">
        <v>45843</v>
      </c>
      <c r="E1197" s="14">
        <v>45878</v>
      </c>
      <c r="F1197" s="15">
        <v>45783.040000000001</v>
      </c>
      <c r="G1197" s="15">
        <v>45783.040000000001</v>
      </c>
      <c r="H1197" s="15">
        <f t="shared" si="90"/>
        <v>0</v>
      </c>
      <c r="I1197" s="13">
        <f t="shared" si="91"/>
        <v>35</v>
      </c>
      <c r="J1197" s="13" t="str">
        <f t="shared" ca="1" si="92"/>
        <v>Paid</v>
      </c>
      <c r="K1197" s="13">
        <f t="shared" ca="1" si="93"/>
        <v>0</v>
      </c>
      <c r="L1197" s="13" t="str">
        <f t="shared" si="94"/>
        <v>Paid</v>
      </c>
      <c r="M1197" s="14">
        <v>45809</v>
      </c>
      <c r="N1197" s="14">
        <v>45870</v>
      </c>
    </row>
    <row r="1198" spans="1:14" x14ac:dyDescent="0.25">
      <c r="A1198" s="10" t="s">
        <v>1325</v>
      </c>
      <c r="B1198" s="10" t="s">
        <v>215</v>
      </c>
      <c r="C1198" s="11">
        <v>45820</v>
      </c>
      <c r="D1198" s="11">
        <v>45850</v>
      </c>
      <c r="E1198" s="11">
        <v>45886</v>
      </c>
      <c r="F1198" s="12">
        <v>39115.589999999997</v>
      </c>
      <c r="G1198" s="12">
        <v>39115.589999999997</v>
      </c>
      <c r="H1198" s="12">
        <f t="shared" si="90"/>
        <v>0</v>
      </c>
      <c r="I1198" s="10">
        <f t="shared" si="91"/>
        <v>36</v>
      </c>
      <c r="J1198" s="10" t="str">
        <f t="shared" ca="1" si="92"/>
        <v>Paid</v>
      </c>
      <c r="K1198" s="10">
        <f t="shared" ca="1" si="93"/>
        <v>0</v>
      </c>
      <c r="L1198" s="10" t="str">
        <f t="shared" si="94"/>
        <v>Paid</v>
      </c>
      <c r="M1198" s="11">
        <v>45809</v>
      </c>
      <c r="N1198" s="11">
        <v>45870</v>
      </c>
    </row>
    <row r="1199" spans="1:14" x14ac:dyDescent="0.25">
      <c r="A1199" s="13" t="s">
        <v>1326</v>
      </c>
      <c r="B1199" s="13" t="s">
        <v>74</v>
      </c>
      <c r="C1199" s="14">
        <v>45824</v>
      </c>
      <c r="D1199" s="14">
        <v>45854</v>
      </c>
      <c r="E1199" s="14">
        <v>45854</v>
      </c>
      <c r="F1199" s="15">
        <v>35824.239999999998</v>
      </c>
      <c r="G1199" s="15">
        <v>35824.239999999998</v>
      </c>
      <c r="H1199" s="15">
        <f t="shared" si="90"/>
        <v>0</v>
      </c>
      <c r="I1199" s="13">
        <f t="shared" si="91"/>
        <v>0</v>
      </c>
      <c r="J1199" s="13" t="str">
        <f t="shared" ca="1" si="92"/>
        <v>Paid</v>
      </c>
      <c r="K1199" s="13">
        <f t="shared" ca="1" si="93"/>
        <v>0</v>
      </c>
      <c r="L1199" s="13" t="str">
        <f t="shared" si="94"/>
        <v>Paid</v>
      </c>
      <c r="M1199" s="14">
        <v>45809</v>
      </c>
      <c r="N1199" s="14">
        <v>45839</v>
      </c>
    </row>
    <row r="1200" spans="1:14" x14ac:dyDescent="0.25">
      <c r="A1200" s="10" t="s">
        <v>1327</v>
      </c>
      <c r="B1200" s="10" t="s">
        <v>146</v>
      </c>
      <c r="C1200" s="11">
        <v>45829</v>
      </c>
      <c r="D1200" s="11">
        <v>45859</v>
      </c>
      <c r="E1200" s="11">
        <v>45867</v>
      </c>
      <c r="F1200" s="12">
        <v>20392.009999999998</v>
      </c>
      <c r="G1200" s="12">
        <v>20392.009999999998</v>
      </c>
      <c r="H1200" s="12">
        <f t="shared" si="90"/>
        <v>0</v>
      </c>
      <c r="I1200" s="10">
        <f t="shared" si="91"/>
        <v>8</v>
      </c>
      <c r="J1200" s="10" t="str">
        <f t="shared" ca="1" si="92"/>
        <v>Paid</v>
      </c>
      <c r="K1200" s="10">
        <f t="shared" ca="1" si="93"/>
        <v>0</v>
      </c>
      <c r="L1200" s="10" t="str">
        <f t="shared" si="94"/>
        <v>Paid</v>
      </c>
      <c r="M1200" s="11">
        <v>45809</v>
      </c>
      <c r="N1200" s="11">
        <v>45839</v>
      </c>
    </row>
    <row r="1201" spans="1:14" x14ac:dyDescent="0.25">
      <c r="A1201" s="13" t="s">
        <v>1328</v>
      </c>
      <c r="B1201" s="13" t="s">
        <v>79</v>
      </c>
      <c r="C1201" s="14">
        <v>45810</v>
      </c>
      <c r="D1201" s="14">
        <v>45840</v>
      </c>
      <c r="E1201" s="14">
        <v>45858</v>
      </c>
      <c r="F1201" s="15">
        <v>114124.22</v>
      </c>
      <c r="G1201" s="15">
        <v>114124.22</v>
      </c>
      <c r="H1201" s="15">
        <f t="shared" si="90"/>
        <v>0</v>
      </c>
      <c r="I1201" s="13">
        <f t="shared" si="91"/>
        <v>18</v>
      </c>
      <c r="J1201" s="13" t="str">
        <f t="shared" ca="1" si="92"/>
        <v>Paid</v>
      </c>
      <c r="K1201" s="13">
        <f t="shared" ca="1" si="93"/>
        <v>0</v>
      </c>
      <c r="L1201" s="13" t="str">
        <f t="shared" si="94"/>
        <v>Paid</v>
      </c>
      <c r="M1201" s="14">
        <v>45809</v>
      </c>
      <c r="N1201" s="14">
        <v>45839</v>
      </c>
    </row>
    <row r="1202" spans="1:14" x14ac:dyDescent="0.25">
      <c r="A1202" s="10" t="s">
        <v>1329</v>
      </c>
      <c r="B1202" s="10" t="s">
        <v>74</v>
      </c>
      <c r="C1202" s="11">
        <v>45819</v>
      </c>
      <c r="D1202" s="11">
        <v>45849</v>
      </c>
      <c r="E1202" s="11">
        <v>45849</v>
      </c>
      <c r="F1202" s="12">
        <v>95072.35</v>
      </c>
      <c r="G1202" s="12">
        <v>95072.35</v>
      </c>
      <c r="H1202" s="12">
        <f t="shared" si="90"/>
        <v>0</v>
      </c>
      <c r="I1202" s="10">
        <f t="shared" si="91"/>
        <v>0</v>
      </c>
      <c r="J1202" s="10" t="str">
        <f t="shared" ca="1" si="92"/>
        <v>Paid</v>
      </c>
      <c r="K1202" s="10">
        <f t="shared" ca="1" si="93"/>
        <v>0</v>
      </c>
      <c r="L1202" s="10" t="str">
        <f t="shared" si="94"/>
        <v>Paid</v>
      </c>
      <c r="M1202" s="11">
        <v>45809</v>
      </c>
      <c r="N1202" s="11">
        <v>45839</v>
      </c>
    </row>
    <row r="1203" spans="1:14" x14ac:dyDescent="0.25">
      <c r="A1203" s="13" t="s">
        <v>1330</v>
      </c>
      <c r="B1203" s="13" t="s">
        <v>109</v>
      </c>
      <c r="C1203" s="14">
        <v>45833</v>
      </c>
      <c r="D1203" s="14">
        <v>45863</v>
      </c>
      <c r="E1203" s="14"/>
      <c r="F1203" s="15">
        <v>171477.75</v>
      </c>
      <c r="G1203" s="15">
        <v>0</v>
      </c>
      <c r="H1203" s="15">
        <f t="shared" si="90"/>
        <v>171477.75</v>
      </c>
      <c r="I1203" s="13" t="str">
        <f t="shared" si="91"/>
        <v/>
      </c>
      <c r="J1203" s="13" t="str">
        <f t="shared" ca="1" si="92"/>
        <v>Overdue</v>
      </c>
      <c r="K1203" s="13">
        <f t="shared" ca="1" si="93"/>
        <v>393</v>
      </c>
      <c r="L1203" s="13" t="str">
        <f t="shared" ca="1" si="94"/>
        <v>120+ Days</v>
      </c>
      <c r="M1203" s="14">
        <v>45809</v>
      </c>
      <c r="N1203" s="14"/>
    </row>
    <row r="1204" spans="1:14" x14ac:dyDescent="0.25">
      <c r="A1204" s="10" t="s">
        <v>1331</v>
      </c>
      <c r="B1204" s="10" t="s">
        <v>222</v>
      </c>
      <c r="C1204" s="11">
        <v>45814</v>
      </c>
      <c r="D1204" s="11">
        <v>45844</v>
      </c>
      <c r="E1204" s="11">
        <v>45884</v>
      </c>
      <c r="F1204" s="12">
        <v>37307.33</v>
      </c>
      <c r="G1204" s="12">
        <v>37307.33</v>
      </c>
      <c r="H1204" s="12">
        <f t="shared" si="90"/>
        <v>0</v>
      </c>
      <c r="I1204" s="10">
        <f t="shared" si="91"/>
        <v>40</v>
      </c>
      <c r="J1204" s="10" t="str">
        <f t="shared" ca="1" si="92"/>
        <v>Paid</v>
      </c>
      <c r="K1204" s="10">
        <f t="shared" ca="1" si="93"/>
        <v>0</v>
      </c>
      <c r="L1204" s="10" t="str">
        <f t="shared" si="94"/>
        <v>Paid</v>
      </c>
      <c r="M1204" s="11">
        <v>45809</v>
      </c>
      <c r="N1204" s="11">
        <v>45870</v>
      </c>
    </row>
    <row r="1205" spans="1:14" x14ac:dyDescent="0.25">
      <c r="A1205" s="13" t="s">
        <v>1332</v>
      </c>
      <c r="B1205" s="13" t="s">
        <v>340</v>
      </c>
      <c r="C1205" s="14">
        <v>45810</v>
      </c>
      <c r="D1205" s="14">
        <v>45840</v>
      </c>
      <c r="E1205" s="14"/>
      <c r="F1205" s="15">
        <v>105001.1</v>
      </c>
      <c r="G1205" s="15">
        <v>0</v>
      </c>
      <c r="H1205" s="15">
        <f t="shared" si="90"/>
        <v>105001.1</v>
      </c>
      <c r="I1205" s="13" t="str">
        <f t="shared" si="91"/>
        <v/>
      </c>
      <c r="J1205" s="13" t="str">
        <f t="shared" ca="1" si="92"/>
        <v>Overdue</v>
      </c>
      <c r="K1205" s="13">
        <f t="shared" ca="1" si="93"/>
        <v>416</v>
      </c>
      <c r="L1205" s="13" t="str">
        <f t="shared" ca="1" si="94"/>
        <v>120+ Days</v>
      </c>
      <c r="M1205" s="14">
        <v>45809</v>
      </c>
      <c r="N1205" s="14"/>
    </row>
    <row r="1206" spans="1:14" x14ac:dyDescent="0.25">
      <c r="A1206" s="10" t="s">
        <v>1333</v>
      </c>
      <c r="B1206" s="10" t="s">
        <v>101</v>
      </c>
      <c r="C1206" s="11">
        <v>45818</v>
      </c>
      <c r="D1206" s="11">
        <v>45848</v>
      </c>
      <c r="E1206" s="11">
        <v>45860</v>
      </c>
      <c r="F1206" s="12">
        <v>58858.79</v>
      </c>
      <c r="G1206" s="12">
        <v>58858.79</v>
      </c>
      <c r="H1206" s="12">
        <f t="shared" si="90"/>
        <v>0</v>
      </c>
      <c r="I1206" s="10">
        <f t="shared" si="91"/>
        <v>12</v>
      </c>
      <c r="J1206" s="10" t="str">
        <f t="shared" ca="1" si="92"/>
        <v>Paid</v>
      </c>
      <c r="K1206" s="10">
        <f t="shared" ca="1" si="93"/>
        <v>0</v>
      </c>
      <c r="L1206" s="10" t="str">
        <f t="shared" si="94"/>
        <v>Paid</v>
      </c>
      <c r="M1206" s="11">
        <v>45809</v>
      </c>
      <c r="N1206" s="11">
        <v>45839</v>
      </c>
    </row>
    <row r="1207" spans="1:14" x14ac:dyDescent="0.25">
      <c r="A1207" s="13" t="s">
        <v>1334</v>
      </c>
      <c r="B1207" s="13" t="s">
        <v>74</v>
      </c>
      <c r="C1207" s="14">
        <v>45816</v>
      </c>
      <c r="D1207" s="14">
        <v>45846</v>
      </c>
      <c r="E1207" s="14">
        <v>45846</v>
      </c>
      <c r="F1207" s="15">
        <v>14502.12</v>
      </c>
      <c r="G1207" s="15">
        <v>14502.12</v>
      </c>
      <c r="H1207" s="15">
        <f t="shared" si="90"/>
        <v>0</v>
      </c>
      <c r="I1207" s="13">
        <f t="shared" si="91"/>
        <v>0</v>
      </c>
      <c r="J1207" s="13" t="str">
        <f t="shared" ca="1" si="92"/>
        <v>Paid</v>
      </c>
      <c r="K1207" s="13">
        <f t="shared" ca="1" si="93"/>
        <v>0</v>
      </c>
      <c r="L1207" s="13" t="str">
        <f t="shared" si="94"/>
        <v>Paid</v>
      </c>
      <c r="M1207" s="14">
        <v>45809</v>
      </c>
      <c r="N1207" s="14">
        <v>45839</v>
      </c>
    </row>
    <row r="1208" spans="1:14" x14ac:dyDescent="0.25">
      <c r="A1208" s="10" t="s">
        <v>1335</v>
      </c>
      <c r="B1208" s="10" t="s">
        <v>76</v>
      </c>
      <c r="C1208" s="11">
        <v>45833</v>
      </c>
      <c r="D1208" s="11">
        <v>45863</v>
      </c>
      <c r="E1208" s="11">
        <v>45863</v>
      </c>
      <c r="F1208" s="12">
        <v>45355.199999999997</v>
      </c>
      <c r="G1208" s="12">
        <v>45355.199999999997</v>
      </c>
      <c r="H1208" s="12">
        <f t="shared" si="90"/>
        <v>0</v>
      </c>
      <c r="I1208" s="10">
        <f t="shared" si="91"/>
        <v>0</v>
      </c>
      <c r="J1208" s="10" t="str">
        <f t="shared" ca="1" si="92"/>
        <v>Paid</v>
      </c>
      <c r="K1208" s="10">
        <f t="shared" ca="1" si="93"/>
        <v>0</v>
      </c>
      <c r="L1208" s="10" t="str">
        <f t="shared" si="94"/>
        <v>Paid</v>
      </c>
      <c r="M1208" s="11">
        <v>45809</v>
      </c>
      <c r="N1208" s="11">
        <v>45839</v>
      </c>
    </row>
    <row r="1209" spans="1:14" x14ac:dyDescent="0.25">
      <c r="A1209" s="13" t="s">
        <v>1336</v>
      </c>
      <c r="B1209" s="13" t="s">
        <v>140</v>
      </c>
      <c r="C1209" s="14">
        <v>45814</v>
      </c>
      <c r="D1209" s="14">
        <v>45844</v>
      </c>
      <c r="E1209" s="14">
        <v>45844</v>
      </c>
      <c r="F1209" s="15">
        <v>21500.87</v>
      </c>
      <c r="G1209" s="15">
        <v>21500.87</v>
      </c>
      <c r="H1209" s="15">
        <f t="shared" si="90"/>
        <v>0</v>
      </c>
      <c r="I1209" s="13">
        <f t="shared" si="91"/>
        <v>0</v>
      </c>
      <c r="J1209" s="13" t="str">
        <f t="shared" ca="1" si="92"/>
        <v>Paid</v>
      </c>
      <c r="K1209" s="13">
        <f t="shared" ca="1" si="93"/>
        <v>0</v>
      </c>
      <c r="L1209" s="13" t="str">
        <f t="shared" si="94"/>
        <v>Paid</v>
      </c>
      <c r="M1209" s="14">
        <v>45809</v>
      </c>
      <c r="N1209" s="14">
        <v>45839</v>
      </c>
    </row>
    <row r="1210" spans="1:14" x14ac:dyDescent="0.25">
      <c r="A1210" s="10" t="s">
        <v>1337</v>
      </c>
      <c r="B1210" s="10" t="s">
        <v>161</v>
      </c>
      <c r="C1210" s="11">
        <v>45826</v>
      </c>
      <c r="D1210" s="11">
        <v>45856</v>
      </c>
      <c r="E1210" s="11"/>
      <c r="F1210" s="12">
        <v>27242.99</v>
      </c>
      <c r="G1210" s="12">
        <v>0</v>
      </c>
      <c r="H1210" s="12">
        <f t="shared" si="90"/>
        <v>27242.99</v>
      </c>
      <c r="I1210" s="10" t="str">
        <f t="shared" si="91"/>
        <v/>
      </c>
      <c r="J1210" s="10" t="str">
        <f t="shared" ca="1" si="92"/>
        <v>Overdue</v>
      </c>
      <c r="K1210" s="10">
        <f t="shared" ca="1" si="93"/>
        <v>400</v>
      </c>
      <c r="L1210" s="10" t="str">
        <f t="shared" ca="1" si="94"/>
        <v>120+ Days</v>
      </c>
      <c r="M1210" s="11">
        <v>45809</v>
      </c>
      <c r="N1210" s="11"/>
    </row>
    <row r="1211" spans="1:14" x14ac:dyDescent="0.25">
      <c r="A1211" s="13" t="s">
        <v>1338</v>
      </c>
      <c r="B1211" s="13" t="s">
        <v>331</v>
      </c>
      <c r="C1211" s="14">
        <v>45835</v>
      </c>
      <c r="D1211" s="14">
        <v>45865</v>
      </c>
      <c r="E1211" s="14">
        <v>45880</v>
      </c>
      <c r="F1211" s="15">
        <v>37780.92</v>
      </c>
      <c r="G1211" s="15">
        <v>37780.92</v>
      </c>
      <c r="H1211" s="15">
        <f t="shared" si="90"/>
        <v>0</v>
      </c>
      <c r="I1211" s="13">
        <f t="shared" si="91"/>
        <v>15</v>
      </c>
      <c r="J1211" s="13" t="str">
        <f t="shared" ca="1" si="92"/>
        <v>Paid</v>
      </c>
      <c r="K1211" s="13">
        <f t="shared" ca="1" si="93"/>
        <v>0</v>
      </c>
      <c r="L1211" s="13" t="str">
        <f t="shared" si="94"/>
        <v>Paid</v>
      </c>
      <c r="M1211" s="14">
        <v>45809</v>
      </c>
      <c r="N1211" s="14">
        <v>45870</v>
      </c>
    </row>
    <row r="1212" spans="1:14" x14ac:dyDescent="0.25">
      <c r="A1212" s="10" t="s">
        <v>1339</v>
      </c>
      <c r="B1212" s="10" t="s">
        <v>93</v>
      </c>
      <c r="C1212" s="11">
        <v>45831</v>
      </c>
      <c r="D1212" s="11">
        <v>45861</v>
      </c>
      <c r="E1212" s="11">
        <v>45885</v>
      </c>
      <c r="F1212" s="12">
        <v>25064.23</v>
      </c>
      <c r="G1212" s="12">
        <v>25064.23</v>
      </c>
      <c r="H1212" s="12">
        <f t="shared" si="90"/>
        <v>0</v>
      </c>
      <c r="I1212" s="10">
        <f t="shared" si="91"/>
        <v>24</v>
      </c>
      <c r="J1212" s="10" t="str">
        <f t="shared" ca="1" si="92"/>
        <v>Paid</v>
      </c>
      <c r="K1212" s="10">
        <f t="shared" ca="1" si="93"/>
        <v>0</v>
      </c>
      <c r="L1212" s="10" t="str">
        <f t="shared" si="94"/>
        <v>Paid</v>
      </c>
      <c r="M1212" s="11">
        <v>45809</v>
      </c>
      <c r="N1212" s="11">
        <v>45870</v>
      </c>
    </row>
    <row r="1213" spans="1:14" x14ac:dyDescent="0.25">
      <c r="A1213" s="13" t="s">
        <v>1340</v>
      </c>
      <c r="B1213" s="13" t="s">
        <v>131</v>
      </c>
      <c r="C1213" s="14">
        <v>45822</v>
      </c>
      <c r="D1213" s="14">
        <v>45852</v>
      </c>
      <c r="E1213" s="14">
        <v>45865</v>
      </c>
      <c r="F1213" s="15">
        <v>22707.59</v>
      </c>
      <c r="G1213" s="15">
        <v>22707.59</v>
      </c>
      <c r="H1213" s="15">
        <f t="shared" si="90"/>
        <v>0</v>
      </c>
      <c r="I1213" s="13">
        <f t="shared" si="91"/>
        <v>13</v>
      </c>
      <c r="J1213" s="13" t="str">
        <f t="shared" ca="1" si="92"/>
        <v>Paid</v>
      </c>
      <c r="K1213" s="13">
        <f t="shared" ca="1" si="93"/>
        <v>0</v>
      </c>
      <c r="L1213" s="13" t="str">
        <f t="shared" si="94"/>
        <v>Paid</v>
      </c>
      <c r="M1213" s="14">
        <v>45809</v>
      </c>
      <c r="N1213" s="14">
        <v>45839</v>
      </c>
    </row>
    <row r="1214" spans="1:14" x14ac:dyDescent="0.25">
      <c r="A1214" s="10" t="s">
        <v>1341</v>
      </c>
      <c r="B1214" s="10" t="s">
        <v>91</v>
      </c>
      <c r="C1214" s="11">
        <v>45810</v>
      </c>
      <c r="D1214" s="11">
        <v>45840</v>
      </c>
      <c r="E1214" s="11">
        <v>45891</v>
      </c>
      <c r="F1214" s="12">
        <v>41358</v>
      </c>
      <c r="G1214" s="12">
        <v>41358</v>
      </c>
      <c r="H1214" s="12">
        <f t="shared" si="90"/>
        <v>0</v>
      </c>
      <c r="I1214" s="10">
        <f t="shared" si="91"/>
        <v>51</v>
      </c>
      <c r="J1214" s="10" t="str">
        <f t="shared" ca="1" si="92"/>
        <v>Paid</v>
      </c>
      <c r="K1214" s="10">
        <f t="shared" ca="1" si="93"/>
        <v>0</v>
      </c>
      <c r="L1214" s="10" t="str">
        <f t="shared" si="94"/>
        <v>Paid</v>
      </c>
      <c r="M1214" s="11">
        <v>45809</v>
      </c>
      <c r="N1214" s="11">
        <v>45870</v>
      </c>
    </row>
    <row r="1215" spans="1:14" x14ac:dyDescent="0.25">
      <c r="A1215" s="13" t="s">
        <v>1342</v>
      </c>
      <c r="B1215" s="13" t="s">
        <v>87</v>
      </c>
      <c r="C1215" s="14">
        <v>45826</v>
      </c>
      <c r="D1215" s="14">
        <v>45856</v>
      </c>
      <c r="E1215" s="14">
        <v>45856</v>
      </c>
      <c r="F1215" s="15">
        <v>39686.76</v>
      </c>
      <c r="G1215" s="15">
        <v>39686.76</v>
      </c>
      <c r="H1215" s="15">
        <f t="shared" si="90"/>
        <v>0</v>
      </c>
      <c r="I1215" s="13">
        <f t="shared" si="91"/>
        <v>0</v>
      </c>
      <c r="J1215" s="13" t="str">
        <f t="shared" ca="1" si="92"/>
        <v>Paid</v>
      </c>
      <c r="K1215" s="13">
        <f t="shared" ca="1" si="93"/>
        <v>0</v>
      </c>
      <c r="L1215" s="13" t="str">
        <f t="shared" si="94"/>
        <v>Paid</v>
      </c>
      <c r="M1215" s="14">
        <v>45809</v>
      </c>
      <c r="N1215" s="14">
        <v>45839</v>
      </c>
    </row>
    <row r="1216" spans="1:14" x14ac:dyDescent="0.25">
      <c r="A1216" s="10" t="s">
        <v>1343</v>
      </c>
      <c r="B1216" s="10" t="s">
        <v>169</v>
      </c>
      <c r="C1216" s="11">
        <v>45821</v>
      </c>
      <c r="D1216" s="11">
        <v>45851</v>
      </c>
      <c r="E1216" s="11">
        <v>45851</v>
      </c>
      <c r="F1216" s="12">
        <v>31343.62</v>
      </c>
      <c r="G1216" s="12">
        <v>31343.62</v>
      </c>
      <c r="H1216" s="12">
        <f t="shared" si="90"/>
        <v>0</v>
      </c>
      <c r="I1216" s="10">
        <f t="shared" si="91"/>
        <v>0</v>
      </c>
      <c r="J1216" s="10" t="str">
        <f t="shared" ca="1" si="92"/>
        <v>Paid</v>
      </c>
      <c r="K1216" s="10">
        <f t="shared" ca="1" si="93"/>
        <v>0</v>
      </c>
      <c r="L1216" s="10" t="str">
        <f t="shared" si="94"/>
        <v>Paid</v>
      </c>
      <c r="M1216" s="11">
        <v>45809</v>
      </c>
      <c r="N1216" s="11">
        <v>45839</v>
      </c>
    </row>
    <row r="1217" spans="1:14" x14ac:dyDescent="0.25">
      <c r="A1217" s="13" t="s">
        <v>1344</v>
      </c>
      <c r="B1217" s="13" t="s">
        <v>230</v>
      </c>
      <c r="C1217" s="14">
        <v>45811</v>
      </c>
      <c r="D1217" s="14">
        <v>45841</v>
      </c>
      <c r="E1217" s="14"/>
      <c r="F1217" s="15">
        <v>152724.32999999999</v>
      </c>
      <c r="G1217" s="15">
        <v>0</v>
      </c>
      <c r="H1217" s="15">
        <f t="shared" si="90"/>
        <v>152724.32999999999</v>
      </c>
      <c r="I1217" s="13" t="str">
        <f t="shared" si="91"/>
        <v/>
      </c>
      <c r="J1217" s="13" t="str">
        <f t="shared" ca="1" si="92"/>
        <v>Overdue</v>
      </c>
      <c r="K1217" s="13">
        <f t="shared" ca="1" si="93"/>
        <v>415</v>
      </c>
      <c r="L1217" s="13" t="str">
        <f t="shared" ca="1" si="94"/>
        <v>120+ Days</v>
      </c>
      <c r="M1217" s="14">
        <v>45809</v>
      </c>
      <c r="N1217" s="14"/>
    </row>
    <row r="1218" spans="1:14" x14ac:dyDescent="0.25">
      <c r="A1218" s="10" t="s">
        <v>1345</v>
      </c>
      <c r="B1218" s="10" t="s">
        <v>140</v>
      </c>
      <c r="C1218" s="11">
        <v>45814</v>
      </c>
      <c r="D1218" s="11">
        <v>45844</v>
      </c>
      <c r="E1218" s="11">
        <v>45844</v>
      </c>
      <c r="F1218" s="12">
        <v>59123.49</v>
      </c>
      <c r="G1218" s="12">
        <v>59123.49</v>
      </c>
      <c r="H1218" s="12">
        <f t="shared" ref="H1218:H1281" si="95">MAX(0,F1218-G1218)</f>
        <v>0</v>
      </c>
      <c r="I1218" s="10">
        <f t="shared" ref="I1218:I1281" si="96">IF(E1218="","",MAX(0,E1218-D1218))</f>
        <v>0</v>
      </c>
      <c r="J1218" s="10" t="str">
        <f t="shared" ref="J1218:J1281" ca="1" si="97">IF(H1218=0,"Paid",IF(D1218&lt;TODAY(),"Overdue","Open"))</f>
        <v>Paid</v>
      </c>
      <c r="K1218" s="10">
        <f t="shared" ref="K1218:K1281" ca="1" si="98">IF(H1218=0,0,MAX(0,TODAY()-D1218))</f>
        <v>0</v>
      </c>
      <c r="L1218" s="10" t="str">
        <f t="shared" ref="L1218:L1281" si="99">IF(H1218=0,"Paid",IF(K1218&lt;=30,"0-30 Days",IF(K1218&lt;=60,"31-60 Days",IF(K1218&lt;=90,"61-90 Days",IF(K1218&lt;=120,"91-120 Days","120+ Days")))))</f>
        <v>Paid</v>
      </c>
      <c r="M1218" s="11">
        <v>45809</v>
      </c>
      <c r="N1218" s="11">
        <v>45839</v>
      </c>
    </row>
    <row r="1219" spans="1:14" x14ac:dyDescent="0.25">
      <c r="A1219" s="13" t="s">
        <v>1346</v>
      </c>
      <c r="B1219" s="13" t="s">
        <v>125</v>
      </c>
      <c r="C1219" s="14">
        <v>45824</v>
      </c>
      <c r="D1219" s="14">
        <v>45854</v>
      </c>
      <c r="E1219" s="14">
        <v>45869</v>
      </c>
      <c r="F1219" s="15">
        <v>9335.64</v>
      </c>
      <c r="G1219" s="15">
        <v>9335.64</v>
      </c>
      <c r="H1219" s="15">
        <f t="shared" si="95"/>
        <v>0</v>
      </c>
      <c r="I1219" s="13">
        <f t="shared" si="96"/>
        <v>15</v>
      </c>
      <c r="J1219" s="13" t="str">
        <f t="shared" ca="1" si="97"/>
        <v>Paid</v>
      </c>
      <c r="K1219" s="13">
        <f t="shared" ca="1" si="98"/>
        <v>0</v>
      </c>
      <c r="L1219" s="13" t="str">
        <f t="shared" si="99"/>
        <v>Paid</v>
      </c>
      <c r="M1219" s="14">
        <v>45809</v>
      </c>
      <c r="N1219" s="14">
        <v>45839</v>
      </c>
    </row>
    <row r="1220" spans="1:14" x14ac:dyDescent="0.25">
      <c r="A1220" s="10" t="s">
        <v>1347</v>
      </c>
      <c r="B1220" s="10" t="s">
        <v>115</v>
      </c>
      <c r="C1220" s="11">
        <v>45831</v>
      </c>
      <c r="D1220" s="11">
        <v>45861</v>
      </c>
      <c r="E1220" s="11"/>
      <c r="F1220" s="12">
        <v>44422.879999999997</v>
      </c>
      <c r="G1220" s="12">
        <v>0</v>
      </c>
      <c r="H1220" s="12">
        <f t="shared" si="95"/>
        <v>44422.879999999997</v>
      </c>
      <c r="I1220" s="10" t="str">
        <f t="shared" si="96"/>
        <v/>
      </c>
      <c r="J1220" s="10" t="str">
        <f t="shared" ca="1" si="97"/>
        <v>Overdue</v>
      </c>
      <c r="K1220" s="10">
        <f t="shared" ca="1" si="98"/>
        <v>395</v>
      </c>
      <c r="L1220" s="10" t="str">
        <f t="shared" ca="1" si="99"/>
        <v>120+ Days</v>
      </c>
      <c r="M1220" s="11">
        <v>45809</v>
      </c>
      <c r="N1220" s="11"/>
    </row>
    <row r="1221" spans="1:14" x14ac:dyDescent="0.25">
      <c r="A1221" s="13" t="s">
        <v>1348</v>
      </c>
      <c r="B1221" s="13" t="s">
        <v>76</v>
      </c>
      <c r="C1221" s="14">
        <v>45809</v>
      </c>
      <c r="D1221" s="14">
        <v>45839</v>
      </c>
      <c r="E1221" s="14">
        <v>45839</v>
      </c>
      <c r="F1221" s="15">
        <v>47104.87</v>
      </c>
      <c r="G1221" s="15">
        <v>47104.87</v>
      </c>
      <c r="H1221" s="15">
        <f t="shared" si="95"/>
        <v>0</v>
      </c>
      <c r="I1221" s="13">
        <f t="shared" si="96"/>
        <v>0</v>
      </c>
      <c r="J1221" s="13" t="str">
        <f t="shared" ca="1" si="97"/>
        <v>Paid</v>
      </c>
      <c r="K1221" s="13">
        <f t="shared" ca="1" si="98"/>
        <v>0</v>
      </c>
      <c r="L1221" s="13" t="str">
        <f t="shared" si="99"/>
        <v>Paid</v>
      </c>
      <c r="M1221" s="14">
        <v>45809</v>
      </c>
      <c r="N1221" s="14">
        <v>45839</v>
      </c>
    </row>
    <row r="1222" spans="1:14" x14ac:dyDescent="0.25">
      <c r="A1222" s="10" t="s">
        <v>1349</v>
      </c>
      <c r="B1222" s="10" t="s">
        <v>93</v>
      </c>
      <c r="C1222" s="11">
        <v>45821</v>
      </c>
      <c r="D1222" s="11">
        <v>45851</v>
      </c>
      <c r="E1222" s="11"/>
      <c r="F1222" s="12">
        <v>92759.25</v>
      </c>
      <c r="G1222" s="12">
        <v>0</v>
      </c>
      <c r="H1222" s="12">
        <f t="shared" si="95"/>
        <v>92759.25</v>
      </c>
      <c r="I1222" s="10" t="str">
        <f t="shared" si="96"/>
        <v/>
      </c>
      <c r="J1222" s="10" t="str">
        <f t="shared" ca="1" si="97"/>
        <v>Overdue</v>
      </c>
      <c r="K1222" s="10">
        <f t="shared" ca="1" si="98"/>
        <v>405</v>
      </c>
      <c r="L1222" s="10" t="str">
        <f t="shared" ca="1" si="99"/>
        <v>120+ Days</v>
      </c>
      <c r="M1222" s="11">
        <v>45809</v>
      </c>
      <c r="N1222" s="11"/>
    </row>
    <row r="1223" spans="1:14" x14ac:dyDescent="0.25">
      <c r="A1223" s="13" t="s">
        <v>1350</v>
      </c>
      <c r="B1223" s="13" t="s">
        <v>150</v>
      </c>
      <c r="C1223" s="14">
        <v>45821</v>
      </c>
      <c r="D1223" s="14">
        <v>45851</v>
      </c>
      <c r="E1223" s="14">
        <v>45851</v>
      </c>
      <c r="F1223" s="15">
        <v>27098.240000000002</v>
      </c>
      <c r="G1223" s="15">
        <v>27098.240000000002</v>
      </c>
      <c r="H1223" s="15">
        <f t="shared" si="95"/>
        <v>0</v>
      </c>
      <c r="I1223" s="13">
        <f t="shared" si="96"/>
        <v>0</v>
      </c>
      <c r="J1223" s="13" t="str">
        <f t="shared" ca="1" si="97"/>
        <v>Paid</v>
      </c>
      <c r="K1223" s="13">
        <f t="shared" ca="1" si="98"/>
        <v>0</v>
      </c>
      <c r="L1223" s="13" t="str">
        <f t="shared" si="99"/>
        <v>Paid</v>
      </c>
      <c r="M1223" s="14">
        <v>45809</v>
      </c>
      <c r="N1223" s="14">
        <v>45839</v>
      </c>
    </row>
    <row r="1224" spans="1:14" x14ac:dyDescent="0.25">
      <c r="A1224" s="10" t="s">
        <v>1351</v>
      </c>
      <c r="B1224" s="10" t="s">
        <v>140</v>
      </c>
      <c r="C1224" s="11">
        <v>45817</v>
      </c>
      <c r="D1224" s="11">
        <v>45847</v>
      </c>
      <c r="E1224" s="11">
        <v>45851</v>
      </c>
      <c r="F1224" s="12">
        <v>18850.009999999998</v>
      </c>
      <c r="G1224" s="12">
        <v>18850.009999999998</v>
      </c>
      <c r="H1224" s="12">
        <f t="shared" si="95"/>
        <v>0</v>
      </c>
      <c r="I1224" s="10">
        <f t="shared" si="96"/>
        <v>4</v>
      </c>
      <c r="J1224" s="10" t="str">
        <f t="shared" ca="1" si="97"/>
        <v>Paid</v>
      </c>
      <c r="K1224" s="10">
        <f t="shared" ca="1" si="98"/>
        <v>0</v>
      </c>
      <c r="L1224" s="10" t="str">
        <f t="shared" si="99"/>
        <v>Paid</v>
      </c>
      <c r="M1224" s="11">
        <v>45809</v>
      </c>
      <c r="N1224" s="11">
        <v>45839</v>
      </c>
    </row>
    <row r="1225" spans="1:14" x14ac:dyDescent="0.25">
      <c r="A1225" s="13" t="s">
        <v>1352</v>
      </c>
      <c r="B1225" s="13" t="s">
        <v>274</v>
      </c>
      <c r="C1225" s="14">
        <v>45821</v>
      </c>
      <c r="D1225" s="14">
        <v>45851</v>
      </c>
      <c r="E1225" s="14">
        <v>45883</v>
      </c>
      <c r="F1225" s="15">
        <v>27553.66</v>
      </c>
      <c r="G1225" s="15">
        <v>27553.66</v>
      </c>
      <c r="H1225" s="15">
        <f t="shared" si="95"/>
        <v>0</v>
      </c>
      <c r="I1225" s="13">
        <f t="shared" si="96"/>
        <v>32</v>
      </c>
      <c r="J1225" s="13" t="str">
        <f t="shared" ca="1" si="97"/>
        <v>Paid</v>
      </c>
      <c r="K1225" s="13">
        <f t="shared" ca="1" si="98"/>
        <v>0</v>
      </c>
      <c r="L1225" s="13" t="str">
        <f t="shared" si="99"/>
        <v>Paid</v>
      </c>
      <c r="M1225" s="14">
        <v>45809</v>
      </c>
      <c r="N1225" s="14">
        <v>45870</v>
      </c>
    </row>
    <row r="1226" spans="1:14" x14ac:dyDescent="0.25">
      <c r="A1226" s="10" t="s">
        <v>1353</v>
      </c>
      <c r="B1226" s="10" t="s">
        <v>74</v>
      </c>
      <c r="C1226" s="11">
        <v>45813</v>
      </c>
      <c r="D1226" s="11">
        <v>45843</v>
      </c>
      <c r="E1226" s="11">
        <v>45855</v>
      </c>
      <c r="F1226" s="12">
        <v>25369.01</v>
      </c>
      <c r="G1226" s="12">
        <v>25369.01</v>
      </c>
      <c r="H1226" s="12">
        <f t="shared" si="95"/>
        <v>0</v>
      </c>
      <c r="I1226" s="10">
        <f t="shared" si="96"/>
        <v>12</v>
      </c>
      <c r="J1226" s="10" t="str">
        <f t="shared" ca="1" si="97"/>
        <v>Paid</v>
      </c>
      <c r="K1226" s="10">
        <f t="shared" ca="1" si="98"/>
        <v>0</v>
      </c>
      <c r="L1226" s="10" t="str">
        <f t="shared" si="99"/>
        <v>Paid</v>
      </c>
      <c r="M1226" s="11">
        <v>45809</v>
      </c>
      <c r="N1226" s="11">
        <v>45839</v>
      </c>
    </row>
    <row r="1227" spans="1:14" x14ac:dyDescent="0.25">
      <c r="A1227" s="13" t="s">
        <v>1354</v>
      </c>
      <c r="B1227" s="13" t="s">
        <v>127</v>
      </c>
      <c r="C1227" s="14">
        <v>45822</v>
      </c>
      <c r="D1227" s="14">
        <v>45852</v>
      </c>
      <c r="E1227" s="14">
        <v>45884</v>
      </c>
      <c r="F1227" s="15">
        <v>56608.12</v>
      </c>
      <c r="G1227" s="15">
        <v>43917.98</v>
      </c>
      <c r="H1227" s="15">
        <f t="shared" si="95"/>
        <v>12690.14</v>
      </c>
      <c r="I1227" s="13">
        <f t="shared" si="96"/>
        <v>32</v>
      </c>
      <c r="J1227" s="13" t="str">
        <f t="shared" ca="1" si="97"/>
        <v>Overdue</v>
      </c>
      <c r="K1227" s="13">
        <f t="shared" ca="1" si="98"/>
        <v>404</v>
      </c>
      <c r="L1227" s="13" t="str">
        <f t="shared" ca="1" si="99"/>
        <v>120+ Days</v>
      </c>
      <c r="M1227" s="14">
        <v>45809</v>
      </c>
      <c r="N1227" s="14">
        <v>45870</v>
      </c>
    </row>
    <row r="1228" spans="1:14" x14ac:dyDescent="0.25">
      <c r="A1228" s="10" t="s">
        <v>1355</v>
      </c>
      <c r="B1228" s="10" t="s">
        <v>136</v>
      </c>
      <c r="C1228" s="11">
        <v>45828</v>
      </c>
      <c r="D1228" s="11">
        <v>45858</v>
      </c>
      <c r="E1228" s="11">
        <v>45858</v>
      </c>
      <c r="F1228" s="12">
        <v>59045.64</v>
      </c>
      <c r="G1228" s="12">
        <v>59045.64</v>
      </c>
      <c r="H1228" s="12">
        <f t="shared" si="95"/>
        <v>0</v>
      </c>
      <c r="I1228" s="10">
        <f t="shared" si="96"/>
        <v>0</v>
      </c>
      <c r="J1228" s="10" t="str">
        <f t="shared" ca="1" si="97"/>
        <v>Paid</v>
      </c>
      <c r="K1228" s="10">
        <f t="shared" ca="1" si="98"/>
        <v>0</v>
      </c>
      <c r="L1228" s="10" t="str">
        <f t="shared" si="99"/>
        <v>Paid</v>
      </c>
      <c r="M1228" s="11">
        <v>45809</v>
      </c>
      <c r="N1228" s="11">
        <v>45839</v>
      </c>
    </row>
    <row r="1229" spans="1:14" x14ac:dyDescent="0.25">
      <c r="A1229" s="13" t="s">
        <v>1356</v>
      </c>
      <c r="B1229" s="13" t="s">
        <v>265</v>
      </c>
      <c r="C1229" s="14">
        <v>45822</v>
      </c>
      <c r="D1229" s="14">
        <v>45852</v>
      </c>
      <c r="E1229" s="14">
        <v>45867</v>
      </c>
      <c r="F1229" s="15">
        <v>44249.42</v>
      </c>
      <c r="G1229" s="15">
        <v>44249.42</v>
      </c>
      <c r="H1229" s="15">
        <f t="shared" si="95"/>
        <v>0</v>
      </c>
      <c r="I1229" s="13">
        <f t="shared" si="96"/>
        <v>15</v>
      </c>
      <c r="J1229" s="13" t="str">
        <f t="shared" ca="1" si="97"/>
        <v>Paid</v>
      </c>
      <c r="K1229" s="13">
        <f t="shared" ca="1" si="98"/>
        <v>0</v>
      </c>
      <c r="L1229" s="13" t="str">
        <f t="shared" si="99"/>
        <v>Paid</v>
      </c>
      <c r="M1229" s="14">
        <v>45809</v>
      </c>
      <c r="N1229" s="14">
        <v>45839</v>
      </c>
    </row>
    <row r="1230" spans="1:14" x14ac:dyDescent="0.25">
      <c r="A1230" s="10" t="s">
        <v>1357</v>
      </c>
      <c r="B1230" s="10" t="s">
        <v>117</v>
      </c>
      <c r="C1230" s="11">
        <v>45835</v>
      </c>
      <c r="D1230" s="11">
        <v>45865</v>
      </c>
      <c r="E1230" s="11">
        <v>45901</v>
      </c>
      <c r="F1230" s="12">
        <v>31516.84</v>
      </c>
      <c r="G1230" s="12">
        <v>31516.84</v>
      </c>
      <c r="H1230" s="12">
        <f t="shared" si="95"/>
        <v>0</v>
      </c>
      <c r="I1230" s="10">
        <f t="shared" si="96"/>
        <v>36</v>
      </c>
      <c r="J1230" s="10" t="str">
        <f t="shared" ca="1" si="97"/>
        <v>Paid</v>
      </c>
      <c r="K1230" s="10">
        <f t="shared" ca="1" si="98"/>
        <v>0</v>
      </c>
      <c r="L1230" s="10" t="str">
        <f t="shared" si="99"/>
        <v>Paid</v>
      </c>
      <c r="M1230" s="11">
        <v>45809</v>
      </c>
      <c r="N1230" s="11">
        <v>45901</v>
      </c>
    </row>
    <row r="1231" spans="1:14" x14ac:dyDescent="0.25">
      <c r="A1231" s="13" t="s">
        <v>1358</v>
      </c>
      <c r="B1231" s="13" t="s">
        <v>136</v>
      </c>
      <c r="C1231" s="14">
        <v>45820</v>
      </c>
      <c r="D1231" s="14">
        <v>45850</v>
      </c>
      <c r="E1231" s="14"/>
      <c r="F1231" s="15">
        <v>48269.06</v>
      </c>
      <c r="G1231" s="15">
        <v>0</v>
      </c>
      <c r="H1231" s="15">
        <f t="shared" si="95"/>
        <v>48269.06</v>
      </c>
      <c r="I1231" s="13" t="str">
        <f t="shared" si="96"/>
        <v/>
      </c>
      <c r="J1231" s="13" t="str">
        <f t="shared" ca="1" si="97"/>
        <v>Overdue</v>
      </c>
      <c r="K1231" s="13">
        <f t="shared" ca="1" si="98"/>
        <v>406</v>
      </c>
      <c r="L1231" s="13" t="str">
        <f t="shared" ca="1" si="99"/>
        <v>120+ Days</v>
      </c>
      <c r="M1231" s="14">
        <v>45809</v>
      </c>
      <c r="N1231" s="14"/>
    </row>
    <row r="1232" spans="1:14" x14ac:dyDescent="0.25">
      <c r="A1232" s="10" t="s">
        <v>1359</v>
      </c>
      <c r="B1232" s="10" t="s">
        <v>449</v>
      </c>
      <c r="C1232" s="11">
        <v>45813</v>
      </c>
      <c r="D1232" s="11">
        <v>45843</v>
      </c>
      <c r="E1232" s="11"/>
      <c r="F1232" s="12">
        <v>23492.21</v>
      </c>
      <c r="G1232" s="12">
        <v>0</v>
      </c>
      <c r="H1232" s="12">
        <f t="shared" si="95"/>
        <v>23492.21</v>
      </c>
      <c r="I1232" s="10" t="str">
        <f t="shared" si="96"/>
        <v/>
      </c>
      <c r="J1232" s="10" t="str">
        <f t="shared" ca="1" si="97"/>
        <v>Overdue</v>
      </c>
      <c r="K1232" s="10">
        <f t="shared" ca="1" si="98"/>
        <v>413</v>
      </c>
      <c r="L1232" s="10" t="str">
        <f t="shared" ca="1" si="99"/>
        <v>120+ Days</v>
      </c>
      <c r="M1232" s="11">
        <v>45809</v>
      </c>
      <c r="N1232" s="11"/>
    </row>
    <row r="1233" spans="1:14" x14ac:dyDescent="0.25">
      <c r="A1233" s="13" t="s">
        <v>1360</v>
      </c>
      <c r="B1233" s="13" t="s">
        <v>87</v>
      </c>
      <c r="C1233" s="14">
        <v>45825</v>
      </c>
      <c r="D1233" s="14">
        <v>45855</v>
      </c>
      <c r="E1233" s="14">
        <v>45856</v>
      </c>
      <c r="F1233" s="15">
        <v>93904.53</v>
      </c>
      <c r="G1233" s="15">
        <v>93904.53</v>
      </c>
      <c r="H1233" s="15">
        <f t="shared" si="95"/>
        <v>0</v>
      </c>
      <c r="I1233" s="13">
        <f t="shared" si="96"/>
        <v>1</v>
      </c>
      <c r="J1233" s="13" t="str">
        <f t="shared" ca="1" si="97"/>
        <v>Paid</v>
      </c>
      <c r="K1233" s="13">
        <f t="shared" ca="1" si="98"/>
        <v>0</v>
      </c>
      <c r="L1233" s="13" t="str">
        <f t="shared" si="99"/>
        <v>Paid</v>
      </c>
      <c r="M1233" s="14">
        <v>45809</v>
      </c>
      <c r="N1233" s="14">
        <v>45839</v>
      </c>
    </row>
    <row r="1234" spans="1:14" x14ac:dyDescent="0.25">
      <c r="A1234" s="10" t="s">
        <v>1361</v>
      </c>
      <c r="B1234" s="10" t="s">
        <v>87</v>
      </c>
      <c r="C1234" s="11">
        <v>45832</v>
      </c>
      <c r="D1234" s="11">
        <v>45862</v>
      </c>
      <c r="E1234" s="11">
        <v>45862</v>
      </c>
      <c r="F1234" s="12">
        <v>41570.07</v>
      </c>
      <c r="G1234" s="12">
        <v>41570.07</v>
      </c>
      <c r="H1234" s="12">
        <f t="shared" si="95"/>
        <v>0</v>
      </c>
      <c r="I1234" s="10">
        <f t="shared" si="96"/>
        <v>0</v>
      </c>
      <c r="J1234" s="10" t="str">
        <f t="shared" ca="1" si="97"/>
        <v>Paid</v>
      </c>
      <c r="K1234" s="10">
        <f t="shared" ca="1" si="98"/>
        <v>0</v>
      </c>
      <c r="L1234" s="10" t="str">
        <f t="shared" si="99"/>
        <v>Paid</v>
      </c>
      <c r="M1234" s="11">
        <v>45809</v>
      </c>
      <c r="N1234" s="11">
        <v>45839</v>
      </c>
    </row>
    <row r="1235" spans="1:14" x14ac:dyDescent="0.25">
      <c r="A1235" s="13" t="s">
        <v>1362</v>
      </c>
      <c r="B1235" s="13" t="s">
        <v>463</v>
      </c>
      <c r="C1235" s="14">
        <v>45810</v>
      </c>
      <c r="D1235" s="14">
        <v>45840</v>
      </c>
      <c r="E1235" s="14">
        <v>45850</v>
      </c>
      <c r="F1235" s="15">
        <v>37124.57</v>
      </c>
      <c r="G1235" s="15">
        <v>37124.57</v>
      </c>
      <c r="H1235" s="15">
        <f t="shared" si="95"/>
        <v>0</v>
      </c>
      <c r="I1235" s="13">
        <f t="shared" si="96"/>
        <v>10</v>
      </c>
      <c r="J1235" s="13" t="str">
        <f t="shared" ca="1" si="97"/>
        <v>Paid</v>
      </c>
      <c r="K1235" s="13">
        <f t="shared" ca="1" si="98"/>
        <v>0</v>
      </c>
      <c r="L1235" s="13" t="str">
        <f t="shared" si="99"/>
        <v>Paid</v>
      </c>
      <c r="M1235" s="14">
        <v>45809</v>
      </c>
      <c r="N1235" s="14">
        <v>45839</v>
      </c>
    </row>
    <row r="1236" spans="1:14" x14ac:dyDescent="0.25">
      <c r="A1236" s="10" t="s">
        <v>1363</v>
      </c>
      <c r="B1236" s="10" t="s">
        <v>314</v>
      </c>
      <c r="C1236" s="11">
        <v>45827</v>
      </c>
      <c r="D1236" s="11">
        <v>45857</v>
      </c>
      <c r="E1236" s="11">
        <v>45889</v>
      </c>
      <c r="F1236" s="12">
        <v>31989.25</v>
      </c>
      <c r="G1236" s="12">
        <v>31989.25</v>
      </c>
      <c r="H1236" s="12">
        <f t="shared" si="95"/>
        <v>0</v>
      </c>
      <c r="I1236" s="10">
        <f t="shared" si="96"/>
        <v>32</v>
      </c>
      <c r="J1236" s="10" t="str">
        <f t="shared" ca="1" si="97"/>
        <v>Paid</v>
      </c>
      <c r="K1236" s="10">
        <f t="shared" ca="1" si="98"/>
        <v>0</v>
      </c>
      <c r="L1236" s="10" t="str">
        <f t="shared" si="99"/>
        <v>Paid</v>
      </c>
      <c r="M1236" s="11">
        <v>45809</v>
      </c>
      <c r="N1236" s="11">
        <v>45870</v>
      </c>
    </row>
    <row r="1237" spans="1:14" x14ac:dyDescent="0.25">
      <c r="A1237" s="13" t="s">
        <v>1364</v>
      </c>
      <c r="B1237" s="13" t="s">
        <v>150</v>
      </c>
      <c r="C1237" s="14">
        <v>45820</v>
      </c>
      <c r="D1237" s="14">
        <v>45850</v>
      </c>
      <c r="E1237" s="14">
        <v>45852</v>
      </c>
      <c r="F1237" s="15">
        <v>31899.87</v>
      </c>
      <c r="G1237" s="15">
        <v>31899.87</v>
      </c>
      <c r="H1237" s="15">
        <f t="shared" si="95"/>
        <v>0</v>
      </c>
      <c r="I1237" s="13">
        <f t="shared" si="96"/>
        <v>2</v>
      </c>
      <c r="J1237" s="13" t="str">
        <f t="shared" ca="1" si="97"/>
        <v>Paid</v>
      </c>
      <c r="K1237" s="13">
        <f t="shared" ca="1" si="98"/>
        <v>0</v>
      </c>
      <c r="L1237" s="13" t="str">
        <f t="shared" si="99"/>
        <v>Paid</v>
      </c>
      <c r="M1237" s="14">
        <v>45809</v>
      </c>
      <c r="N1237" s="14">
        <v>45839</v>
      </c>
    </row>
    <row r="1238" spans="1:14" x14ac:dyDescent="0.25">
      <c r="A1238" s="10" t="s">
        <v>1365</v>
      </c>
      <c r="B1238" s="10" t="s">
        <v>215</v>
      </c>
      <c r="C1238" s="11">
        <v>45849</v>
      </c>
      <c r="D1238" s="11">
        <v>45879</v>
      </c>
      <c r="E1238" s="11">
        <v>45931</v>
      </c>
      <c r="F1238" s="12">
        <v>180000</v>
      </c>
      <c r="G1238" s="12">
        <v>180000</v>
      </c>
      <c r="H1238" s="12">
        <f t="shared" si="95"/>
        <v>0</v>
      </c>
      <c r="I1238" s="10">
        <f t="shared" si="96"/>
        <v>52</v>
      </c>
      <c r="J1238" s="10" t="str">
        <f t="shared" ca="1" si="97"/>
        <v>Paid</v>
      </c>
      <c r="K1238" s="10">
        <f t="shared" ca="1" si="98"/>
        <v>0</v>
      </c>
      <c r="L1238" s="10" t="str">
        <f t="shared" si="99"/>
        <v>Paid</v>
      </c>
      <c r="M1238" s="11">
        <v>45839</v>
      </c>
      <c r="N1238" s="11">
        <v>45931</v>
      </c>
    </row>
    <row r="1239" spans="1:14" x14ac:dyDescent="0.25">
      <c r="A1239" s="13" t="s">
        <v>1366</v>
      </c>
      <c r="B1239" s="13" t="s">
        <v>244</v>
      </c>
      <c r="C1239" s="14">
        <v>45859</v>
      </c>
      <c r="D1239" s="14">
        <v>45889</v>
      </c>
      <c r="E1239" s="14"/>
      <c r="F1239" s="15">
        <v>46742.33</v>
      </c>
      <c r="G1239" s="15">
        <v>0</v>
      </c>
      <c r="H1239" s="15">
        <f t="shared" si="95"/>
        <v>46742.33</v>
      </c>
      <c r="I1239" s="13" t="str">
        <f t="shared" si="96"/>
        <v/>
      </c>
      <c r="J1239" s="13" t="str">
        <f t="shared" ca="1" si="97"/>
        <v>Overdue</v>
      </c>
      <c r="K1239" s="13">
        <f t="shared" ca="1" si="98"/>
        <v>367</v>
      </c>
      <c r="L1239" s="13" t="str">
        <f t="shared" ca="1" si="99"/>
        <v>120+ Days</v>
      </c>
      <c r="M1239" s="14">
        <v>45839</v>
      </c>
      <c r="N1239" s="14"/>
    </row>
    <row r="1240" spans="1:14" x14ac:dyDescent="0.25">
      <c r="A1240" s="10" t="s">
        <v>1367</v>
      </c>
      <c r="B1240" s="10" t="s">
        <v>171</v>
      </c>
      <c r="C1240" s="11">
        <v>45855</v>
      </c>
      <c r="D1240" s="11">
        <v>45885</v>
      </c>
      <c r="E1240" s="11">
        <v>45916</v>
      </c>
      <c r="F1240" s="12">
        <v>68381.97</v>
      </c>
      <c r="G1240" s="12">
        <v>68381.97</v>
      </c>
      <c r="H1240" s="12">
        <f t="shared" si="95"/>
        <v>0</v>
      </c>
      <c r="I1240" s="10">
        <f t="shared" si="96"/>
        <v>31</v>
      </c>
      <c r="J1240" s="10" t="str">
        <f t="shared" ca="1" si="97"/>
        <v>Paid</v>
      </c>
      <c r="K1240" s="10">
        <f t="shared" ca="1" si="98"/>
        <v>0</v>
      </c>
      <c r="L1240" s="10" t="str">
        <f t="shared" si="99"/>
        <v>Paid</v>
      </c>
      <c r="M1240" s="11">
        <v>45839</v>
      </c>
      <c r="N1240" s="11">
        <v>45901</v>
      </c>
    </row>
    <row r="1241" spans="1:14" x14ac:dyDescent="0.25">
      <c r="A1241" s="13" t="s">
        <v>1368</v>
      </c>
      <c r="B1241" s="13" t="s">
        <v>138</v>
      </c>
      <c r="C1241" s="14">
        <v>45861</v>
      </c>
      <c r="D1241" s="14">
        <v>45891</v>
      </c>
      <c r="E1241" s="14">
        <v>45907</v>
      </c>
      <c r="F1241" s="15">
        <v>8887.2900000000009</v>
      </c>
      <c r="G1241" s="15">
        <v>8887.2900000000009</v>
      </c>
      <c r="H1241" s="15">
        <f t="shared" si="95"/>
        <v>0</v>
      </c>
      <c r="I1241" s="13">
        <f t="shared" si="96"/>
        <v>16</v>
      </c>
      <c r="J1241" s="13" t="str">
        <f t="shared" ca="1" si="97"/>
        <v>Paid</v>
      </c>
      <c r="K1241" s="13">
        <f t="shared" ca="1" si="98"/>
        <v>0</v>
      </c>
      <c r="L1241" s="13" t="str">
        <f t="shared" si="99"/>
        <v>Paid</v>
      </c>
      <c r="M1241" s="14">
        <v>45839</v>
      </c>
      <c r="N1241" s="14">
        <v>45901</v>
      </c>
    </row>
    <row r="1242" spans="1:14" x14ac:dyDescent="0.25">
      <c r="A1242" s="10" t="s">
        <v>1369</v>
      </c>
      <c r="B1242" s="10" t="s">
        <v>153</v>
      </c>
      <c r="C1242" s="11">
        <v>45849</v>
      </c>
      <c r="D1242" s="11">
        <v>45879</v>
      </c>
      <c r="E1242" s="11"/>
      <c r="F1242" s="12">
        <v>33511.26</v>
      </c>
      <c r="G1242" s="12">
        <v>0</v>
      </c>
      <c r="H1242" s="12">
        <f t="shared" si="95"/>
        <v>33511.26</v>
      </c>
      <c r="I1242" s="10" t="str">
        <f t="shared" si="96"/>
        <v/>
      </c>
      <c r="J1242" s="10" t="str">
        <f t="shared" ca="1" si="97"/>
        <v>Overdue</v>
      </c>
      <c r="K1242" s="10">
        <f t="shared" ca="1" si="98"/>
        <v>377</v>
      </c>
      <c r="L1242" s="10" t="str">
        <f t="shared" ca="1" si="99"/>
        <v>120+ Days</v>
      </c>
      <c r="M1242" s="11">
        <v>45839</v>
      </c>
      <c r="N1242" s="11"/>
    </row>
    <row r="1243" spans="1:14" x14ac:dyDescent="0.25">
      <c r="A1243" s="13" t="s">
        <v>1370</v>
      </c>
      <c r="B1243" s="13" t="s">
        <v>93</v>
      </c>
      <c r="C1243" s="14">
        <v>45844</v>
      </c>
      <c r="D1243" s="14">
        <v>45874</v>
      </c>
      <c r="E1243" s="14">
        <v>45902</v>
      </c>
      <c r="F1243" s="15">
        <v>18614.75</v>
      </c>
      <c r="G1243" s="15">
        <v>18614.75</v>
      </c>
      <c r="H1243" s="15">
        <f t="shared" si="95"/>
        <v>0</v>
      </c>
      <c r="I1243" s="13">
        <f t="shared" si="96"/>
        <v>28</v>
      </c>
      <c r="J1243" s="13" t="str">
        <f t="shared" ca="1" si="97"/>
        <v>Paid</v>
      </c>
      <c r="K1243" s="13">
        <f t="shared" ca="1" si="98"/>
        <v>0</v>
      </c>
      <c r="L1243" s="13" t="str">
        <f t="shared" si="99"/>
        <v>Paid</v>
      </c>
      <c r="M1243" s="14">
        <v>45839</v>
      </c>
      <c r="N1243" s="14">
        <v>45901</v>
      </c>
    </row>
    <row r="1244" spans="1:14" x14ac:dyDescent="0.25">
      <c r="A1244" s="10" t="s">
        <v>1371</v>
      </c>
      <c r="B1244" s="10" t="s">
        <v>180</v>
      </c>
      <c r="C1244" s="11">
        <v>45851</v>
      </c>
      <c r="D1244" s="11">
        <v>45881</v>
      </c>
      <c r="E1244" s="11">
        <v>45896</v>
      </c>
      <c r="F1244" s="12">
        <v>31520.35</v>
      </c>
      <c r="G1244" s="12">
        <v>31520.35</v>
      </c>
      <c r="H1244" s="12">
        <f t="shared" si="95"/>
        <v>0</v>
      </c>
      <c r="I1244" s="10">
        <f t="shared" si="96"/>
        <v>15</v>
      </c>
      <c r="J1244" s="10" t="str">
        <f t="shared" ca="1" si="97"/>
        <v>Paid</v>
      </c>
      <c r="K1244" s="10">
        <f t="shared" ca="1" si="98"/>
        <v>0</v>
      </c>
      <c r="L1244" s="10" t="str">
        <f t="shared" si="99"/>
        <v>Paid</v>
      </c>
      <c r="M1244" s="11">
        <v>45839</v>
      </c>
      <c r="N1244" s="11">
        <v>45870</v>
      </c>
    </row>
    <row r="1245" spans="1:14" x14ac:dyDescent="0.25">
      <c r="A1245" s="13" t="s">
        <v>1372</v>
      </c>
      <c r="B1245" s="13" t="s">
        <v>265</v>
      </c>
      <c r="C1245" s="14">
        <v>45863</v>
      </c>
      <c r="D1245" s="14">
        <v>45893</v>
      </c>
      <c r="E1245" s="14">
        <v>45893</v>
      </c>
      <c r="F1245" s="15">
        <v>39631.660000000003</v>
      </c>
      <c r="G1245" s="15">
        <v>39631.660000000003</v>
      </c>
      <c r="H1245" s="15">
        <f t="shared" si="95"/>
        <v>0</v>
      </c>
      <c r="I1245" s="13">
        <f t="shared" si="96"/>
        <v>0</v>
      </c>
      <c r="J1245" s="13" t="str">
        <f t="shared" ca="1" si="97"/>
        <v>Paid</v>
      </c>
      <c r="K1245" s="13">
        <f t="shared" ca="1" si="98"/>
        <v>0</v>
      </c>
      <c r="L1245" s="13" t="str">
        <f t="shared" si="99"/>
        <v>Paid</v>
      </c>
      <c r="M1245" s="14">
        <v>45839</v>
      </c>
      <c r="N1245" s="14">
        <v>45870</v>
      </c>
    </row>
    <row r="1246" spans="1:14" x14ac:dyDescent="0.25">
      <c r="A1246" s="10" t="s">
        <v>1373</v>
      </c>
      <c r="B1246" s="10" t="s">
        <v>72</v>
      </c>
      <c r="C1246" s="11">
        <v>45843</v>
      </c>
      <c r="D1246" s="11">
        <v>45873</v>
      </c>
      <c r="E1246" s="11">
        <v>45946</v>
      </c>
      <c r="F1246" s="12">
        <v>38428.36</v>
      </c>
      <c r="G1246" s="12">
        <v>38428.36</v>
      </c>
      <c r="H1246" s="12">
        <f t="shared" si="95"/>
        <v>0</v>
      </c>
      <c r="I1246" s="10">
        <f t="shared" si="96"/>
        <v>73</v>
      </c>
      <c r="J1246" s="10" t="str">
        <f t="shared" ca="1" si="97"/>
        <v>Paid</v>
      </c>
      <c r="K1246" s="10">
        <f t="shared" ca="1" si="98"/>
        <v>0</v>
      </c>
      <c r="L1246" s="10" t="str">
        <f t="shared" si="99"/>
        <v>Paid</v>
      </c>
      <c r="M1246" s="11">
        <v>45839</v>
      </c>
      <c r="N1246" s="11">
        <v>45931</v>
      </c>
    </row>
    <row r="1247" spans="1:14" x14ac:dyDescent="0.25">
      <c r="A1247" s="13" t="s">
        <v>1374</v>
      </c>
      <c r="B1247" s="13" t="s">
        <v>180</v>
      </c>
      <c r="C1247" s="14">
        <v>45851</v>
      </c>
      <c r="D1247" s="14">
        <v>45881</v>
      </c>
      <c r="E1247" s="14">
        <v>45907</v>
      </c>
      <c r="F1247" s="15">
        <v>8000</v>
      </c>
      <c r="G1247" s="15">
        <v>8000</v>
      </c>
      <c r="H1247" s="15">
        <f t="shared" si="95"/>
        <v>0</v>
      </c>
      <c r="I1247" s="13">
        <f t="shared" si="96"/>
        <v>26</v>
      </c>
      <c r="J1247" s="13" t="str">
        <f t="shared" ca="1" si="97"/>
        <v>Paid</v>
      </c>
      <c r="K1247" s="13">
        <f t="shared" ca="1" si="98"/>
        <v>0</v>
      </c>
      <c r="L1247" s="13" t="str">
        <f t="shared" si="99"/>
        <v>Paid</v>
      </c>
      <c r="M1247" s="14">
        <v>45839</v>
      </c>
      <c r="N1247" s="14">
        <v>45901</v>
      </c>
    </row>
    <row r="1248" spans="1:14" x14ac:dyDescent="0.25">
      <c r="A1248" s="10" t="s">
        <v>1375</v>
      </c>
      <c r="B1248" s="10" t="s">
        <v>146</v>
      </c>
      <c r="C1248" s="11">
        <v>45844</v>
      </c>
      <c r="D1248" s="11">
        <v>45874</v>
      </c>
      <c r="E1248" s="11">
        <v>45886</v>
      </c>
      <c r="F1248" s="12">
        <v>71517.42</v>
      </c>
      <c r="G1248" s="12">
        <v>71517.42</v>
      </c>
      <c r="H1248" s="12">
        <f t="shared" si="95"/>
        <v>0</v>
      </c>
      <c r="I1248" s="10">
        <f t="shared" si="96"/>
        <v>12</v>
      </c>
      <c r="J1248" s="10" t="str">
        <f t="shared" ca="1" si="97"/>
        <v>Paid</v>
      </c>
      <c r="K1248" s="10">
        <f t="shared" ca="1" si="98"/>
        <v>0</v>
      </c>
      <c r="L1248" s="10" t="str">
        <f t="shared" si="99"/>
        <v>Paid</v>
      </c>
      <c r="M1248" s="11">
        <v>45839</v>
      </c>
      <c r="N1248" s="11">
        <v>45870</v>
      </c>
    </row>
    <row r="1249" spans="1:14" x14ac:dyDescent="0.25">
      <c r="A1249" s="13" t="s">
        <v>1376</v>
      </c>
      <c r="B1249" s="13" t="s">
        <v>159</v>
      </c>
      <c r="C1249" s="14">
        <v>45849</v>
      </c>
      <c r="D1249" s="14">
        <v>45879</v>
      </c>
      <c r="E1249" s="14"/>
      <c r="F1249" s="15">
        <v>48930.04</v>
      </c>
      <c r="G1249" s="15">
        <v>0</v>
      </c>
      <c r="H1249" s="15">
        <f t="shared" si="95"/>
        <v>48930.04</v>
      </c>
      <c r="I1249" s="13" t="str">
        <f t="shared" si="96"/>
        <v/>
      </c>
      <c r="J1249" s="13" t="str">
        <f t="shared" ca="1" si="97"/>
        <v>Overdue</v>
      </c>
      <c r="K1249" s="13">
        <f t="shared" ca="1" si="98"/>
        <v>377</v>
      </c>
      <c r="L1249" s="13" t="str">
        <f t="shared" ca="1" si="99"/>
        <v>120+ Days</v>
      </c>
      <c r="M1249" s="14">
        <v>45839</v>
      </c>
      <c r="N1249" s="14"/>
    </row>
    <row r="1250" spans="1:14" x14ac:dyDescent="0.25">
      <c r="A1250" s="10" t="s">
        <v>1377</v>
      </c>
      <c r="B1250" s="10" t="s">
        <v>188</v>
      </c>
      <c r="C1250" s="11">
        <v>45859</v>
      </c>
      <c r="D1250" s="11">
        <v>45889</v>
      </c>
      <c r="E1250" s="11">
        <v>45902</v>
      </c>
      <c r="F1250" s="12">
        <v>30201.68</v>
      </c>
      <c r="G1250" s="12">
        <v>30201.68</v>
      </c>
      <c r="H1250" s="12">
        <f t="shared" si="95"/>
        <v>0</v>
      </c>
      <c r="I1250" s="10">
        <f t="shared" si="96"/>
        <v>13</v>
      </c>
      <c r="J1250" s="10" t="str">
        <f t="shared" ca="1" si="97"/>
        <v>Paid</v>
      </c>
      <c r="K1250" s="10">
        <f t="shared" ca="1" si="98"/>
        <v>0</v>
      </c>
      <c r="L1250" s="10" t="str">
        <f t="shared" si="99"/>
        <v>Paid</v>
      </c>
      <c r="M1250" s="11">
        <v>45839</v>
      </c>
      <c r="N1250" s="11">
        <v>45901</v>
      </c>
    </row>
    <row r="1251" spans="1:14" x14ac:dyDescent="0.25">
      <c r="A1251" s="13" t="s">
        <v>1378</v>
      </c>
      <c r="B1251" s="13" t="s">
        <v>449</v>
      </c>
      <c r="C1251" s="14">
        <v>45858</v>
      </c>
      <c r="D1251" s="14">
        <v>45888</v>
      </c>
      <c r="E1251" s="14">
        <v>45909</v>
      </c>
      <c r="F1251" s="15">
        <v>37877.64</v>
      </c>
      <c r="G1251" s="15">
        <v>37877.64</v>
      </c>
      <c r="H1251" s="15">
        <f t="shared" si="95"/>
        <v>0</v>
      </c>
      <c r="I1251" s="13">
        <f t="shared" si="96"/>
        <v>21</v>
      </c>
      <c r="J1251" s="13" t="str">
        <f t="shared" ca="1" si="97"/>
        <v>Paid</v>
      </c>
      <c r="K1251" s="13">
        <f t="shared" ca="1" si="98"/>
        <v>0</v>
      </c>
      <c r="L1251" s="13" t="str">
        <f t="shared" si="99"/>
        <v>Paid</v>
      </c>
      <c r="M1251" s="14">
        <v>45839</v>
      </c>
      <c r="N1251" s="14">
        <v>45901</v>
      </c>
    </row>
    <row r="1252" spans="1:14" x14ac:dyDescent="0.25">
      <c r="A1252" s="10" t="s">
        <v>1379</v>
      </c>
      <c r="B1252" s="10" t="s">
        <v>76</v>
      </c>
      <c r="C1252" s="11">
        <v>45846</v>
      </c>
      <c r="D1252" s="11">
        <v>45876</v>
      </c>
      <c r="E1252" s="11">
        <v>45876</v>
      </c>
      <c r="F1252" s="12">
        <v>18386.7</v>
      </c>
      <c r="G1252" s="12">
        <v>18386.7</v>
      </c>
      <c r="H1252" s="12">
        <f t="shared" si="95"/>
        <v>0</v>
      </c>
      <c r="I1252" s="10">
        <f t="shared" si="96"/>
        <v>0</v>
      </c>
      <c r="J1252" s="10" t="str">
        <f t="shared" ca="1" si="97"/>
        <v>Paid</v>
      </c>
      <c r="K1252" s="10">
        <f t="shared" ca="1" si="98"/>
        <v>0</v>
      </c>
      <c r="L1252" s="10" t="str">
        <f t="shared" si="99"/>
        <v>Paid</v>
      </c>
      <c r="M1252" s="11">
        <v>45839</v>
      </c>
      <c r="N1252" s="11">
        <v>45870</v>
      </c>
    </row>
    <row r="1253" spans="1:14" x14ac:dyDescent="0.25">
      <c r="A1253" s="13" t="s">
        <v>1380</v>
      </c>
      <c r="B1253" s="13" t="s">
        <v>119</v>
      </c>
      <c r="C1253" s="14">
        <v>45848</v>
      </c>
      <c r="D1253" s="14">
        <v>45878</v>
      </c>
      <c r="E1253" s="14">
        <v>45902</v>
      </c>
      <c r="F1253" s="15">
        <v>36820.43</v>
      </c>
      <c r="G1253" s="15">
        <v>13373.1</v>
      </c>
      <c r="H1253" s="15">
        <f t="shared" si="95"/>
        <v>23447.33</v>
      </c>
      <c r="I1253" s="13">
        <f t="shared" si="96"/>
        <v>24</v>
      </c>
      <c r="J1253" s="13" t="str">
        <f t="shared" ca="1" si="97"/>
        <v>Overdue</v>
      </c>
      <c r="K1253" s="13">
        <f t="shared" ca="1" si="98"/>
        <v>378</v>
      </c>
      <c r="L1253" s="13" t="str">
        <f t="shared" ca="1" si="99"/>
        <v>120+ Days</v>
      </c>
      <c r="M1253" s="14">
        <v>45839</v>
      </c>
      <c r="N1253" s="14">
        <v>45901</v>
      </c>
    </row>
    <row r="1254" spans="1:14" x14ac:dyDescent="0.25">
      <c r="A1254" s="10" t="s">
        <v>1381</v>
      </c>
      <c r="B1254" s="10" t="s">
        <v>123</v>
      </c>
      <c r="C1254" s="11">
        <v>45846</v>
      </c>
      <c r="D1254" s="11">
        <v>45876</v>
      </c>
      <c r="E1254" s="11">
        <v>45885</v>
      </c>
      <c r="F1254" s="12">
        <v>37813.120000000003</v>
      </c>
      <c r="G1254" s="12">
        <v>37813.120000000003</v>
      </c>
      <c r="H1254" s="12">
        <f t="shared" si="95"/>
        <v>0</v>
      </c>
      <c r="I1254" s="10">
        <f t="shared" si="96"/>
        <v>9</v>
      </c>
      <c r="J1254" s="10" t="str">
        <f t="shared" ca="1" si="97"/>
        <v>Paid</v>
      </c>
      <c r="K1254" s="10">
        <f t="shared" ca="1" si="98"/>
        <v>0</v>
      </c>
      <c r="L1254" s="10" t="str">
        <f t="shared" si="99"/>
        <v>Paid</v>
      </c>
      <c r="M1254" s="11">
        <v>45839</v>
      </c>
      <c r="N1254" s="11">
        <v>45870</v>
      </c>
    </row>
    <row r="1255" spans="1:14" x14ac:dyDescent="0.25">
      <c r="A1255" s="13" t="s">
        <v>1382</v>
      </c>
      <c r="B1255" s="13" t="s">
        <v>182</v>
      </c>
      <c r="C1255" s="14">
        <v>45860</v>
      </c>
      <c r="D1255" s="14">
        <v>45890</v>
      </c>
      <c r="E1255" s="14">
        <v>45905</v>
      </c>
      <c r="F1255" s="15">
        <v>107417.88</v>
      </c>
      <c r="G1255" s="15">
        <v>107417.88</v>
      </c>
      <c r="H1255" s="15">
        <f t="shared" si="95"/>
        <v>0</v>
      </c>
      <c r="I1255" s="13">
        <f t="shared" si="96"/>
        <v>15</v>
      </c>
      <c r="J1255" s="13" t="str">
        <f t="shared" ca="1" si="97"/>
        <v>Paid</v>
      </c>
      <c r="K1255" s="13">
        <f t="shared" ca="1" si="98"/>
        <v>0</v>
      </c>
      <c r="L1255" s="13" t="str">
        <f t="shared" si="99"/>
        <v>Paid</v>
      </c>
      <c r="M1255" s="14">
        <v>45839</v>
      </c>
      <c r="N1255" s="14">
        <v>45901</v>
      </c>
    </row>
    <row r="1256" spans="1:14" x14ac:dyDescent="0.25">
      <c r="A1256" s="10" t="s">
        <v>1383</v>
      </c>
      <c r="B1256" s="10" t="s">
        <v>140</v>
      </c>
      <c r="C1256" s="11">
        <v>45848</v>
      </c>
      <c r="D1256" s="11">
        <v>45878</v>
      </c>
      <c r="E1256" s="11">
        <v>45878</v>
      </c>
      <c r="F1256" s="12">
        <v>17890.84</v>
      </c>
      <c r="G1256" s="12">
        <v>17890.84</v>
      </c>
      <c r="H1256" s="12">
        <f t="shared" si="95"/>
        <v>0</v>
      </c>
      <c r="I1256" s="10">
        <f t="shared" si="96"/>
        <v>0</v>
      </c>
      <c r="J1256" s="10" t="str">
        <f t="shared" ca="1" si="97"/>
        <v>Paid</v>
      </c>
      <c r="K1256" s="10">
        <f t="shared" ca="1" si="98"/>
        <v>0</v>
      </c>
      <c r="L1256" s="10" t="str">
        <f t="shared" si="99"/>
        <v>Paid</v>
      </c>
      <c r="M1256" s="11">
        <v>45839</v>
      </c>
      <c r="N1256" s="11">
        <v>45870</v>
      </c>
    </row>
    <row r="1257" spans="1:14" x14ac:dyDescent="0.25">
      <c r="A1257" s="13" t="s">
        <v>1384</v>
      </c>
      <c r="B1257" s="13" t="s">
        <v>153</v>
      </c>
      <c r="C1257" s="14">
        <v>45855</v>
      </c>
      <c r="D1257" s="14">
        <v>45885</v>
      </c>
      <c r="E1257" s="14"/>
      <c r="F1257" s="15">
        <v>27661.66</v>
      </c>
      <c r="G1257" s="15">
        <v>0</v>
      </c>
      <c r="H1257" s="15">
        <f t="shared" si="95"/>
        <v>27661.66</v>
      </c>
      <c r="I1257" s="13" t="str">
        <f t="shared" si="96"/>
        <v/>
      </c>
      <c r="J1257" s="13" t="str">
        <f t="shared" ca="1" si="97"/>
        <v>Overdue</v>
      </c>
      <c r="K1257" s="13">
        <f t="shared" ca="1" si="98"/>
        <v>371</v>
      </c>
      <c r="L1257" s="13" t="str">
        <f t="shared" ca="1" si="99"/>
        <v>120+ Days</v>
      </c>
      <c r="M1257" s="14">
        <v>45839</v>
      </c>
      <c r="N1257" s="14"/>
    </row>
    <row r="1258" spans="1:14" x14ac:dyDescent="0.25">
      <c r="A1258" s="10" t="s">
        <v>1385</v>
      </c>
      <c r="B1258" s="10" t="s">
        <v>340</v>
      </c>
      <c r="C1258" s="11">
        <v>45865</v>
      </c>
      <c r="D1258" s="11">
        <v>45895</v>
      </c>
      <c r="E1258" s="11"/>
      <c r="F1258" s="12">
        <v>26695.99</v>
      </c>
      <c r="G1258" s="12">
        <v>0</v>
      </c>
      <c r="H1258" s="12">
        <f t="shared" si="95"/>
        <v>26695.99</v>
      </c>
      <c r="I1258" s="10" t="str">
        <f t="shared" si="96"/>
        <v/>
      </c>
      <c r="J1258" s="10" t="str">
        <f t="shared" ca="1" si="97"/>
        <v>Overdue</v>
      </c>
      <c r="K1258" s="10">
        <f t="shared" ca="1" si="98"/>
        <v>361</v>
      </c>
      <c r="L1258" s="10" t="str">
        <f t="shared" ca="1" si="99"/>
        <v>120+ Days</v>
      </c>
      <c r="M1258" s="11">
        <v>45839</v>
      </c>
      <c r="N1258" s="11"/>
    </row>
    <row r="1259" spans="1:14" x14ac:dyDescent="0.25">
      <c r="A1259" s="13" t="s">
        <v>1386</v>
      </c>
      <c r="B1259" s="13" t="s">
        <v>180</v>
      </c>
      <c r="C1259" s="14">
        <v>45860</v>
      </c>
      <c r="D1259" s="14">
        <v>45890</v>
      </c>
      <c r="E1259" s="14">
        <v>45898</v>
      </c>
      <c r="F1259" s="15">
        <v>77351.47</v>
      </c>
      <c r="G1259" s="15">
        <v>77351.47</v>
      </c>
      <c r="H1259" s="15">
        <f t="shared" si="95"/>
        <v>0</v>
      </c>
      <c r="I1259" s="13">
        <f t="shared" si="96"/>
        <v>8</v>
      </c>
      <c r="J1259" s="13" t="str">
        <f t="shared" ca="1" si="97"/>
        <v>Paid</v>
      </c>
      <c r="K1259" s="13">
        <f t="shared" ca="1" si="98"/>
        <v>0</v>
      </c>
      <c r="L1259" s="13" t="str">
        <f t="shared" si="99"/>
        <v>Paid</v>
      </c>
      <c r="M1259" s="14">
        <v>45839</v>
      </c>
      <c r="N1259" s="14">
        <v>45870</v>
      </c>
    </row>
    <row r="1260" spans="1:14" x14ac:dyDescent="0.25">
      <c r="A1260" s="10" t="s">
        <v>1387</v>
      </c>
      <c r="B1260" s="10" t="s">
        <v>222</v>
      </c>
      <c r="C1260" s="11">
        <v>45856</v>
      </c>
      <c r="D1260" s="11">
        <v>45886</v>
      </c>
      <c r="E1260" s="11"/>
      <c r="F1260" s="12">
        <v>13081.86</v>
      </c>
      <c r="G1260" s="12">
        <v>0</v>
      </c>
      <c r="H1260" s="12">
        <f t="shared" si="95"/>
        <v>13081.86</v>
      </c>
      <c r="I1260" s="10" t="str">
        <f t="shared" si="96"/>
        <v/>
      </c>
      <c r="J1260" s="10" t="str">
        <f t="shared" ca="1" si="97"/>
        <v>Overdue</v>
      </c>
      <c r="K1260" s="10">
        <f t="shared" ca="1" si="98"/>
        <v>370</v>
      </c>
      <c r="L1260" s="10" t="str">
        <f t="shared" ca="1" si="99"/>
        <v>120+ Days</v>
      </c>
      <c r="M1260" s="11">
        <v>45839</v>
      </c>
      <c r="N1260" s="11"/>
    </row>
    <row r="1261" spans="1:14" x14ac:dyDescent="0.25">
      <c r="A1261" s="13" t="s">
        <v>1388</v>
      </c>
      <c r="B1261" s="13" t="s">
        <v>107</v>
      </c>
      <c r="C1261" s="14">
        <v>45855</v>
      </c>
      <c r="D1261" s="14">
        <v>45885</v>
      </c>
      <c r="E1261" s="14">
        <v>45885</v>
      </c>
      <c r="F1261" s="15">
        <v>15709.73</v>
      </c>
      <c r="G1261" s="15">
        <v>15709.73</v>
      </c>
      <c r="H1261" s="15">
        <f t="shared" si="95"/>
        <v>0</v>
      </c>
      <c r="I1261" s="13">
        <f t="shared" si="96"/>
        <v>0</v>
      </c>
      <c r="J1261" s="13" t="str">
        <f t="shared" ca="1" si="97"/>
        <v>Paid</v>
      </c>
      <c r="K1261" s="13">
        <f t="shared" ca="1" si="98"/>
        <v>0</v>
      </c>
      <c r="L1261" s="13" t="str">
        <f t="shared" si="99"/>
        <v>Paid</v>
      </c>
      <c r="M1261" s="14">
        <v>45839</v>
      </c>
      <c r="N1261" s="14">
        <v>45870</v>
      </c>
    </row>
    <row r="1262" spans="1:14" x14ac:dyDescent="0.25">
      <c r="A1262" s="10" t="s">
        <v>1389</v>
      </c>
      <c r="B1262" s="10" t="s">
        <v>140</v>
      </c>
      <c r="C1262" s="11">
        <v>45845</v>
      </c>
      <c r="D1262" s="11">
        <v>45875</v>
      </c>
      <c r="E1262" s="11">
        <v>45888</v>
      </c>
      <c r="F1262" s="12">
        <v>21809.61</v>
      </c>
      <c r="G1262" s="12">
        <v>21809.61</v>
      </c>
      <c r="H1262" s="12">
        <f t="shared" si="95"/>
        <v>0</v>
      </c>
      <c r="I1262" s="10">
        <f t="shared" si="96"/>
        <v>13</v>
      </c>
      <c r="J1262" s="10" t="str">
        <f t="shared" ca="1" si="97"/>
        <v>Paid</v>
      </c>
      <c r="K1262" s="10">
        <f t="shared" ca="1" si="98"/>
        <v>0</v>
      </c>
      <c r="L1262" s="10" t="str">
        <f t="shared" si="99"/>
        <v>Paid</v>
      </c>
      <c r="M1262" s="11">
        <v>45839</v>
      </c>
      <c r="N1262" s="11">
        <v>45870</v>
      </c>
    </row>
    <row r="1263" spans="1:14" x14ac:dyDescent="0.25">
      <c r="A1263" s="13" t="s">
        <v>1390</v>
      </c>
      <c r="B1263" s="13" t="s">
        <v>146</v>
      </c>
      <c r="C1263" s="14">
        <v>45857</v>
      </c>
      <c r="D1263" s="14">
        <v>45887</v>
      </c>
      <c r="E1263" s="14">
        <v>45887</v>
      </c>
      <c r="F1263" s="15">
        <v>21992.83</v>
      </c>
      <c r="G1263" s="15">
        <v>21992.83</v>
      </c>
      <c r="H1263" s="15">
        <f t="shared" si="95"/>
        <v>0</v>
      </c>
      <c r="I1263" s="13">
        <f t="shared" si="96"/>
        <v>0</v>
      </c>
      <c r="J1263" s="13" t="str">
        <f t="shared" ca="1" si="97"/>
        <v>Paid</v>
      </c>
      <c r="K1263" s="13">
        <f t="shared" ca="1" si="98"/>
        <v>0</v>
      </c>
      <c r="L1263" s="13" t="str">
        <f t="shared" si="99"/>
        <v>Paid</v>
      </c>
      <c r="M1263" s="14">
        <v>45839</v>
      </c>
      <c r="N1263" s="14">
        <v>45870</v>
      </c>
    </row>
    <row r="1264" spans="1:14" x14ac:dyDescent="0.25">
      <c r="A1264" s="10" t="s">
        <v>1391</v>
      </c>
      <c r="B1264" s="10" t="s">
        <v>134</v>
      </c>
      <c r="C1264" s="11">
        <v>45843</v>
      </c>
      <c r="D1264" s="11">
        <v>45873</v>
      </c>
      <c r="E1264" s="11">
        <v>45873</v>
      </c>
      <c r="F1264" s="12">
        <v>37280.83</v>
      </c>
      <c r="G1264" s="12">
        <v>31068.68</v>
      </c>
      <c r="H1264" s="12">
        <f t="shared" si="95"/>
        <v>6212.1500000000015</v>
      </c>
      <c r="I1264" s="10">
        <f t="shared" si="96"/>
        <v>0</v>
      </c>
      <c r="J1264" s="10" t="str">
        <f t="shared" ca="1" si="97"/>
        <v>Overdue</v>
      </c>
      <c r="K1264" s="10">
        <f t="shared" ca="1" si="98"/>
        <v>383</v>
      </c>
      <c r="L1264" s="10" t="str">
        <f t="shared" ca="1" si="99"/>
        <v>120+ Days</v>
      </c>
      <c r="M1264" s="11">
        <v>45839</v>
      </c>
      <c r="N1264" s="11">
        <v>45870</v>
      </c>
    </row>
    <row r="1265" spans="1:14" x14ac:dyDescent="0.25">
      <c r="A1265" s="13" t="s">
        <v>1392</v>
      </c>
      <c r="B1265" s="13" t="s">
        <v>265</v>
      </c>
      <c r="C1265" s="14">
        <v>45854</v>
      </c>
      <c r="D1265" s="14">
        <v>45884</v>
      </c>
      <c r="E1265" s="14">
        <v>45886</v>
      </c>
      <c r="F1265" s="15">
        <v>25446.76</v>
      </c>
      <c r="G1265" s="15">
        <v>25446.76</v>
      </c>
      <c r="H1265" s="15">
        <f t="shared" si="95"/>
        <v>0</v>
      </c>
      <c r="I1265" s="13">
        <f t="shared" si="96"/>
        <v>2</v>
      </c>
      <c r="J1265" s="13" t="str">
        <f t="shared" ca="1" si="97"/>
        <v>Paid</v>
      </c>
      <c r="K1265" s="13">
        <f t="shared" ca="1" si="98"/>
        <v>0</v>
      </c>
      <c r="L1265" s="13" t="str">
        <f t="shared" si="99"/>
        <v>Paid</v>
      </c>
      <c r="M1265" s="14">
        <v>45839</v>
      </c>
      <c r="N1265" s="14">
        <v>45870</v>
      </c>
    </row>
    <row r="1266" spans="1:14" x14ac:dyDescent="0.25">
      <c r="A1266" s="10" t="s">
        <v>1393</v>
      </c>
      <c r="B1266" s="10" t="s">
        <v>95</v>
      </c>
      <c r="C1266" s="11">
        <v>45839</v>
      </c>
      <c r="D1266" s="11">
        <v>45869</v>
      </c>
      <c r="E1266" s="11"/>
      <c r="F1266" s="12">
        <v>34178.28</v>
      </c>
      <c r="G1266" s="12">
        <v>0</v>
      </c>
      <c r="H1266" s="12">
        <f t="shared" si="95"/>
        <v>34178.28</v>
      </c>
      <c r="I1266" s="10" t="str">
        <f t="shared" si="96"/>
        <v/>
      </c>
      <c r="J1266" s="10" t="str">
        <f t="shared" ca="1" si="97"/>
        <v>Overdue</v>
      </c>
      <c r="K1266" s="10">
        <f t="shared" ca="1" si="98"/>
        <v>387</v>
      </c>
      <c r="L1266" s="10" t="str">
        <f t="shared" ca="1" si="99"/>
        <v>120+ Days</v>
      </c>
      <c r="M1266" s="11">
        <v>45839</v>
      </c>
      <c r="N1266" s="11"/>
    </row>
    <row r="1267" spans="1:14" x14ac:dyDescent="0.25">
      <c r="A1267" s="13" t="s">
        <v>1394</v>
      </c>
      <c r="B1267" s="13" t="s">
        <v>271</v>
      </c>
      <c r="C1267" s="14">
        <v>45863</v>
      </c>
      <c r="D1267" s="14">
        <v>45893</v>
      </c>
      <c r="E1267" s="14">
        <v>45899</v>
      </c>
      <c r="F1267" s="15">
        <v>33554.550000000003</v>
      </c>
      <c r="G1267" s="15">
        <v>33554.550000000003</v>
      </c>
      <c r="H1267" s="15">
        <f t="shared" si="95"/>
        <v>0</v>
      </c>
      <c r="I1267" s="13">
        <f t="shared" si="96"/>
        <v>6</v>
      </c>
      <c r="J1267" s="13" t="str">
        <f t="shared" ca="1" si="97"/>
        <v>Paid</v>
      </c>
      <c r="K1267" s="13">
        <f t="shared" ca="1" si="98"/>
        <v>0</v>
      </c>
      <c r="L1267" s="13" t="str">
        <f t="shared" si="99"/>
        <v>Paid</v>
      </c>
      <c r="M1267" s="14">
        <v>45839</v>
      </c>
      <c r="N1267" s="14">
        <v>45870</v>
      </c>
    </row>
    <row r="1268" spans="1:14" x14ac:dyDescent="0.25">
      <c r="A1268" s="10" t="s">
        <v>1395</v>
      </c>
      <c r="B1268" s="10" t="s">
        <v>101</v>
      </c>
      <c r="C1268" s="11">
        <v>45854</v>
      </c>
      <c r="D1268" s="11">
        <v>45884</v>
      </c>
      <c r="E1268" s="11"/>
      <c r="F1268" s="12">
        <v>26794.15</v>
      </c>
      <c r="G1268" s="12">
        <v>0</v>
      </c>
      <c r="H1268" s="12">
        <f t="shared" si="95"/>
        <v>26794.15</v>
      </c>
      <c r="I1268" s="10" t="str">
        <f t="shared" si="96"/>
        <v/>
      </c>
      <c r="J1268" s="10" t="str">
        <f t="shared" ca="1" si="97"/>
        <v>Overdue</v>
      </c>
      <c r="K1268" s="10">
        <f t="shared" ca="1" si="98"/>
        <v>372</v>
      </c>
      <c r="L1268" s="10" t="str">
        <f t="shared" ca="1" si="99"/>
        <v>120+ Days</v>
      </c>
      <c r="M1268" s="11">
        <v>45839</v>
      </c>
      <c r="N1268" s="11"/>
    </row>
    <row r="1269" spans="1:14" x14ac:dyDescent="0.25">
      <c r="A1269" s="13" t="s">
        <v>1396</v>
      </c>
      <c r="B1269" s="13" t="s">
        <v>70</v>
      </c>
      <c r="C1269" s="14">
        <v>45841</v>
      </c>
      <c r="D1269" s="14">
        <v>45871</v>
      </c>
      <c r="E1269" s="14">
        <v>45887</v>
      </c>
      <c r="F1269" s="15">
        <v>15870.6</v>
      </c>
      <c r="G1269" s="15">
        <v>15870.6</v>
      </c>
      <c r="H1269" s="15">
        <f t="shared" si="95"/>
        <v>0</v>
      </c>
      <c r="I1269" s="13">
        <f t="shared" si="96"/>
        <v>16</v>
      </c>
      <c r="J1269" s="13" t="str">
        <f t="shared" ca="1" si="97"/>
        <v>Paid</v>
      </c>
      <c r="K1269" s="13">
        <f t="shared" ca="1" si="98"/>
        <v>0</v>
      </c>
      <c r="L1269" s="13" t="str">
        <f t="shared" si="99"/>
        <v>Paid</v>
      </c>
      <c r="M1269" s="14">
        <v>45839</v>
      </c>
      <c r="N1269" s="14">
        <v>45870</v>
      </c>
    </row>
    <row r="1270" spans="1:14" x14ac:dyDescent="0.25">
      <c r="A1270" s="10" t="s">
        <v>1397</v>
      </c>
      <c r="B1270" s="10" t="s">
        <v>107</v>
      </c>
      <c r="C1270" s="11">
        <v>45863</v>
      </c>
      <c r="D1270" s="11">
        <v>45893</v>
      </c>
      <c r="E1270" s="11">
        <v>45901</v>
      </c>
      <c r="F1270" s="12">
        <v>50493.83</v>
      </c>
      <c r="G1270" s="12">
        <v>50493.83</v>
      </c>
      <c r="H1270" s="12">
        <f t="shared" si="95"/>
        <v>0</v>
      </c>
      <c r="I1270" s="10">
        <f t="shared" si="96"/>
        <v>8</v>
      </c>
      <c r="J1270" s="10" t="str">
        <f t="shared" ca="1" si="97"/>
        <v>Paid</v>
      </c>
      <c r="K1270" s="10">
        <f t="shared" ca="1" si="98"/>
        <v>0</v>
      </c>
      <c r="L1270" s="10" t="str">
        <f t="shared" si="99"/>
        <v>Paid</v>
      </c>
      <c r="M1270" s="11">
        <v>45839</v>
      </c>
      <c r="N1270" s="11">
        <v>45901</v>
      </c>
    </row>
    <row r="1271" spans="1:14" x14ac:dyDescent="0.25">
      <c r="A1271" s="13" t="s">
        <v>1398</v>
      </c>
      <c r="B1271" s="13" t="s">
        <v>278</v>
      </c>
      <c r="C1271" s="14">
        <v>45853</v>
      </c>
      <c r="D1271" s="14">
        <v>45883</v>
      </c>
      <c r="E1271" s="14">
        <v>45949</v>
      </c>
      <c r="F1271" s="15">
        <v>31795.24</v>
      </c>
      <c r="G1271" s="15">
        <v>31795.24</v>
      </c>
      <c r="H1271" s="15">
        <f t="shared" si="95"/>
        <v>0</v>
      </c>
      <c r="I1271" s="13">
        <f t="shared" si="96"/>
        <v>66</v>
      </c>
      <c r="J1271" s="13" t="str">
        <f t="shared" ca="1" si="97"/>
        <v>Paid</v>
      </c>
      <c r="K1271" s="13">
        <f t="shared" ca="1" si="98"/>
        <v>0</v>
      </c>
      <c r="L1271" s="13" t="str">
        <f t="shared" si="99"/>
        <v>Paid</v>
      </c>
      <c r="M1271" s="14">
        <v>45839</v>
      </c>
      <c r="N1271" s="14">
        <v>45931</v>
      </c>
    </row>
    <row r="1272" spans="1:14" x14ac:dyDescent="0.25">
      <c r="A1272" s="10" t="s">
        <v>1399</v>
      </c>
      <c r="B1272" s="10" t="s">
        <v>198</v>
      </c>
      <c r="C1272" s="11">
        <v>45844</v>
      </c>
      <c r="D1272" s="11">
        <v>45874</v>
      </c>
      <c r="E1272" s="11">
        <v>45874</v>
      </c>
      <c r="F1272" s="12">
        <v>19867.89</v>
      </c>
      <c r="G1272" s="12">
        <v>19867.89</v>
      </c>
      <c r="H1272" s="12">
        <f t="shared" si="95"/>
        <v>0</v>
      </c>
      <c r="I1272" s="10">
        <f t="shared" si="96"/>
        <v>0</v>
      </c>
      <c r="J1272" s="10" t="str">
        <f t="shared" ca="1" si="97"/>
        <v>Paid</v>
      </c>
      <c r="K1272" s="10">
        <f t="shared" ca="1" si="98"/>
        <v>0</v>
      </c>
      <c r="L1272" s="10" t="str">
        <f t="shared" si="99"/>
        <v>Paid</v>
      </c>
      <c r="M1272" s="11">
        <v>45839</v>
      </c>
      <c r="N1272" s="11">
        <v>45870</v>
      </c>
    </row>
    <row r="1273" spans="1:14" x14ac:dyDescent="0.25">
      <c r="A1273" s="13" t="s">
        <v>1400</v>
      </c>
      <c r="B1273" s="13" t="s">
        <v>215</v>
      </c>
      <c r="C1273" s="14">
        <v>45856</v>
      </c>
      <c r="D1273" s="14">
        <v>45886</v>
      </c>
      <c r="E1273" s="14">
        <v>45928</v>
      </c>
      <c r="F1273" s="15">
        <v>21533.87</v>
      </c>
      <c r="G1273" s="15">
        <v>21533.87</v>
      </c>
      <c r="H1273" s="15">
        <f t="shared" si="95"/>
        <v>0</v>
      </c>
      <c r="I1273" s="13">
        <f t="shared" si="96"/>
        <v>42</v>
      </c>
      <c r="J1273" s="13" t="str">
        <f t="shared" ca="1" si="97"/>
        <v>Paid</v>
      </c>
      <c r="K1273" s="13">
        <f t="shared" ca="1" si="98"/>
        <v>0</v>
      </c>
      <c r="L1273" s="13" t="str">
        <f t="shared" si="99"/>
        <v>Paid</v>
      </c>
      <c r="M1273" s="14">
        <v>45839</v>
      </c>
      <c r="N1273" s="14">
        <v>45901</v>
      </c>
    </row>
    <row r="1274" spans="1:14" x14ac:dyDescent="0.25">
      <c r="A1274" s="10" t="s">
        <v>1401</v>
      </c>
      <c r="B1274" s="10" t="s">
        <v>115</v>
      </c>
      <c r="C1274" s="11">
        <v>45855</v>
      </c>
      <c r="D1274" s="11">
        <v>45885</v>
      </c>
      <c r="E1274" s="11">
        <v>45885</v>
      </c>
      <c r="F1274" s="12">
        <v>52476.41</v>
      </c>
      <c r="G1274" s="12">
        <v>52476.41</v>
      </c>
      <c r="H1274" s="12">
        <f t="shared" si="95"/>
        <v>0</v>
      </c>
      <c r="I1274" s="10">
        <f t="shared" si="96"/>
        <v>0</v>
      </c>
      <c r="J1274" s="10" t="str">
        <f t="shared" ca="1" si="97"/>
        <v>Paid</v>
      </c>
      <c r="K1274" s="10">
        <f t="shared" ca="1" si="98"/>
        <v>0</v>
      </c>
      <c r="L1274" s="10" t="str">
        <f t="shared" si="99"/>
        <v>Paid</v>
      </c>
      <c r="M1274" s="11">
        <v>45839</v>
      </c>
      <c r="N1274" s="11">
        <v>45870</v>
      </c>
    </row>
    <row r="1275" spans="1:14" x14ac:dyDescent="0.25">
      <c r="A1275" s="13" t="s">
        <v>1402</v>
      </c>
      <c r="B1275" s="13" t="s">
        <v>109</v>
      </c>
      <c r="C1275" s="14">
        <v>45853</v>
      </c>
      <c r="D1275" s="14">
        <v>45883</v>
      </c>
      <c r="E1275" s="14">
        <v>45906</v>
      </c>
      <c r="F1275" s="15">
        <v>44338.14</v>
      </c>
      <c r="G1275" s="15">
        <v>44338.14</v>
      </c>
      <c r="H1275" s="15">
        <f t="shared" si="95"/>
        <v>0</v>
      </c>
      <c r="I1275" s="13">
        <f t="shared" si="96"/>
        <v>23</v>
      </c>
      <c r="J1275" s="13" t="str">
        <f t="shared" ca="1" si="97"/>
        <v>Paid</v>
      </c>
      <c r="K1275" s="13">
        <f t="shared" ca="1" si="98"/>
        <v>0</v>
      </c>
      <c r="L1275" s="13" t="str">
        <f t="shared" si="99"/>
        <v>Paid</v>
      </c>
      <c r="M1275" s="14">
        <v>45839</v>
      </c>
      <c r="N1275" s="14">
        <v>45901</v>
      </c>
    </row>
    <row r="1276" spans="1:14" x14ac:dyDescent="0.25">
      <c r="A1276" s="10" t="s">
        <v>1403</v>
      </c>
      <c r="B1276" s="10" t="s">
        <v>74</v>
      </c>
      <c r="C1276" s="11">
        <v>45856</v>
      </c>
      <c r="D1276" s="11">
        <v>45886</v>
      </c>
      <c r="E1276" s="11">
        <v>45896</v>
      </c>
      <c r="F1276" s="12">
        <v>48666.55</v>
      </c>
      <c r="G1276" s="12">
        <v>48666.55</v>
      </c>
      <c r="H1276" s="12">
        <f t="shared" si="95"/>
        <v>0</v>
      </c>
      <c r="I1276" s="10">
        <f t="shared" si="96"/>
        <v>10</v>
      </c>
      <c r="J1276" s="10" t="str">
        <f t="shared" ca="1" si="97"/>
        <v>Paid</v>
      </c>
      <c r="K1276" s="10">
        <f t="shared" ca="1" si="98"/>
        <v>0</v>
      </c>
      <c r="L1276" s="10" t="str">
        <f t="shared" si="99"/>
        <v>Paid</v>
      </c>
      <c r="M1276" s="11">
        <v>45839</v>
      </c>
      <c r="N1276" s="11">
        <v>45870</v>
      </c>
    </row>
    <row r="1277" spans="1:14" x14ac:dyDescent="0.25">
      <c r="A1277" s="13" t="s">
        <v>1404</v>
      </c>
      <c r="B1277" s="13" t="s">
        <v>117</v>
      </c>
      <c r="C1277" s="14">
        <v>45861</v>
      </c>
      <c r="D1277" s="14">
        <v>45891</v>
      </c>
      <c r="E1277" s="14">
        <v>45927</v>
      </c>
      <c r="F1277" s="15">
        <v>34734.120000000003</v>
      </c>
      <c r="G1277" s="15">
        <v>34734.120000000003</v>
      </c>
      <c r="H1277" s="15">
        <f t="shared" si="95"/>
        <v>0</v>
      </c>
      <c r="I1277" s="13">
        <f t="shared" si="96"/>
        <v>36</v>
      </c>
      <c r="J1277" s="13" t="str">
        <f t="shared" ca="1" si="97"/>
        <v>Paid</v>
      </c>
      <c r="K1277" s="13">
        <f t="shared" ca="1" si="98"/>
        <v>0</v>
      </c>
      <c r="L1277" s="13" t="str">
        <f t="shared" si="99"/>
        <v>Paid</v>
      </c>
      <c r="M1277" s="14">
        <v>45839</v>
      </c>
      <c r="N1277" s="14">
        <v>45901</v>
      </c>
    </row>
    <row r="1278" spans="1:14" x14ac:dyDescent="0.25">
      <c r="A1278" s="10" t="s">
        <v>1405</v>
      </c>
      <c r="B1278" s="10" t="s">
        <v>115</v>
      </c>
      <c r="C1278" s="11">
        <v>45857</v>
      </c>
      <c r="D1278" s="11">
        <v>45887</v>
      </c>
      <c r="E1278" s="11">
        <v>45887</v>
      </c>
      <c r="F1278" s="12">
        <v>17034.86</v>
      </c>
      <c r="G1278" s="12">
        <v>17034.86</v>
      </c>
      <c r="H1278" s="12">
        <f t="shared" si="95"/>
        <v>0</v>
      </c>
      <c r="I1278" s="10">
        <f t="shared" si="96"/>
        <v>0</v>
      </c>
      <c r="J1278" s="10" t="str">
        <f t="shared" ca="1" si="97"/>
        <v>Paid</v>
      </c>
      <c r="K1278" s="10">
        <f t="shared" ca="1" si="98"/>
        <v>0</v>
      </c>
      <c r="L1278" s="10" t="str">
        <f t="shared" si="99"/>
        <v>Paid</v>
      </c>
      <c r="M1278" s="11">
        <v>45839</v>
      </c>
      <c r="N1278" s="11">
        <v>45870</v>
      </c>
    </row>
    <row r="1279" spans="1:14" x14ac:dyDescent="0.25">
      <c r="A1279" s="13" t="s">
        <v>1406</v>
      </c>
      <c r="B1279" s="13" t="s">
        <v>159</v>
      </c>
      <c r="C1279" s="14">
        <v>45840</v>
      </c>
      <c r="D1279" s="14">
        <v>45870</v>
      </c>
      <c r="E1279" s="14"/>
      <c r="F1279" s="15">
        <v>36327.879999999997</v>
      </c>
      <c r="G1279" s="15">
        <v>0</v>
      </c>
      <c r="H1279" s="15">
        <f t="shared" si="95"/>
        <v>36327.879999999997</v>
      </c>
      <c r="I1279" s="13" t="str">
        <f t="shared" si="96"/>
        <v/>
      </c>
      <c r="J1279" s="13" t="str">
        <f t="shared" ca="1" si="97"/>
        <v>Overdue</v>
      </c>
      <c r="K1279" s="13">
        <f t="shared" ca="1" si="98"/>
        <v>386</v>
      </c>
      <c r="L1279" s="13" t="str">
        <f t="shared" ca="1" si="99"/>
        <v>120+ Days</v>
      </c>
      <c r="M1279" s="14">
        <v>45839</v>
      </c>
      <c r="N1279" s="14"/>
    </row>
    <row r="1280" spans="1:14" x14ac:dyDescent="0.25">
      <c r="A1280" s="10" t="s">
        <v>1407</v>
      </c>
      <c r="B1280" s="10" t="s">
        <v>198</v>
      </c>
      <c r="C1280" s="11">
        <v>45846</v>
      </c>
      <c r="D1280" s="11">
        <v>45876</v>
      </c>
      <c r="E1280" s="11">
        <v>45876</v>
      </c>
      <c r="F1280" s="12">
        <v>76140.62</v>
      </c>
      <c r="G1280" s="12">
        <v>76140.62</v>
      </c>
      <c r="H1280" s="12">
        <f t="shared" si="95"/>
        <v>0</v>
      </c>
      <c r="I1280" s="10">
        <f t="shared" si="96"/>
        <v>0</v>
      </c>
      <c r="J1280" s="10" t="str">
        <f t="shared" ca="1" si="97"/>
        <v>Paid</v>
      </c>
      <c r="K1280" s="10">
        <f t="shared" ca="1" si="98"/>
        <v>0</v>
      </c>
      <c r="L1280" s="10" t="str">
        <f t="shared" si="99"/>
        <v>Paid</v>
      </c>
      <c r="M1280" s="11">
        <v>45839</v>
      </c>
      <c r="N1280" s="11">
        <v>45870</v>
      </c>
    </row>
    <row r="1281" spans="1:14" x14ac:dyDescent="0.25">
      <c r="A1281" s="13" t="s">
        <v>1408</v>
      </c>
      <c r="B1281" s="13" t="s">
        <v>159</v>
      </c>
      <c r="C1281" s="14">
        <v>45849</v>
      </c>
      <c r="D1281" s="14">
        <v>45879</v>
      </c>
      <c r="E1281" s="14"/>
      <c r="F1281" s="15">
        <v>39688.800000000003</v>
      </c>
      <c r="G1281" s="15">
        <v>0</v>
      </c>
      <c r="H1281" s="15">
        <f t="shared" si="95"/>
        <v>39688.800000000003</v>
      </c>
      <c r="I1281" s="13" t="str">
        <f t="shared" si="96"/>
        <v/>
      </c>
      <c r="J1281" s="13" t="str">
        <f t="shared" ca="1" si="97"/>
        <v>Overdue</v>
      </c>
      <c r="K1281" s="13">
        <f t="shared" ca="1" si="98"/>
        <v>377</v>
      </c>
      <c r="L1281" s="13" t="str">
        <f t="shared" ca="1" si="99"/>
        <v>120+ Days</v>
      </c>
      <c r="M1281" s="14">
        <v>45839</v>
      </c>
      <c r="N1281" s="14"/>
    </row>
    <row r="1282" spans="1:14" x14ac:dyDescent="0.25">
      <c r="A1282" s="10" t="s">
        <v>1409</v>
      </c>
      <c r="B1282" s="10" t="s">
        <v>449</v>
      </c>
      <c r="C1282" s="11">
        <v>45861</v>
      </c>
      <c r="D1282" s="11">
        <v>45891</v>
      </c>
      <c r="E1282" s="11">
        <v>45937</v>
      </c>
      <c r="F1282" s="12">
        <v>42218.37</v>
      </c>
      <c r="G1282" s="12">
        <v>42218.37</v>
      </c>
      <c r="H1282" s="12">
        <f t="shared" ref="H1282:H1345" si="100">MAX(0,F1282-G1282)</f>
        <v>0</v>
      </c>
      <c r="I1282" s="10">
        <f t="shared" ref="I1282:I1345" si="101">IF(E1282="","",MAX(0,E1282-D1282))</f>
        <v>46</v>
      </c>
      <c r="J1282" s="10" t="str">
        <f t="shared" ref="J1282:J1345" ca="1" si="102">IF(H1282=0,"Paid",IF(D1282&lt;TODAY(),"Overdue","Open"))</f>
        <v>Paid</v>
      </c>
      <c r="K1282" s="10">
        <f t="shared" ref="K1282:K1345" ca="1" si="103">IF(H1282=0,0,MAX(0,TODAY()-D1282))</f>
        <v>0</v>
      </c>
      <c r="L1282" s="10" t="str">
        <f t="shared" ref="L1282:L1345" si="104">IF(H1282=0,"Paid",IF(K1282&lt;=30,"0-30 Days",IF(K1282&lt;=60,"31-60 Days",IF(K1282&lt;=90,"61-90 Days",IF(K1282&lt;=120,"91-120 Days","120+ Days")))))</f>
        <v>Paid</v>
      </c>
      <c r="M1282" s="11">
        <v>45839</v>
      </c>
      <c r="N1282" s="11">
        <v>45931</v>
      </c>
    </row>
    <row r="1283" spans="1:14" x14ac:dyDescent="0.25">
      <c r="A1283" s="13" t="s">
        <v>1410</v>
      </c>
      <c r="B1283" s="13" t="s">
        <v>198</v>
      </c>
      <c r="C1283" s="14">
        <v>45850</v>
      </c>
      <c r="D1283" s="14">
        <v>45880</v>
      </c>
      <c r="E1283" s="14">
        <v>45885</v>
      </c>
      <c r="F1283" s="15">
        <v>22490.71</v>
      </c>
      <c r="G1283" s="15">
        <v>22490.71</v>
      </c>
      <c r="H1283" s="15">
        <f t="shared" si="100"/>
        <v>0</v>
      </c>
      <c r="I1283" s="13">
        <f t="shared" si="101"/>
        <v>5</v>
      </c>
      <c r="J1283" s="13" t="str">
        <f t="shared" ca="1" si="102"/>
        <v>Paid</v>
      </c>
      <c r="K1283" s="13">
        <f t="shared" ca="1" si="103"/>
        <v>0</v>
      </c>
      <c r="L1283" s="13" t="str">
        <f t="shared" si="104"/>
        <v>Paid</v>
      </c>
      <c r="M1283" s="14">
        <v>45839</v>
      </c>
      <c r="N1283" s="14">
        <v>45870</v>
      </c>
    </row>
    <row r="1284" spans="1:14" x14ac:dyDescent="0.25">
      <c r="A1284" s="10" t="s">
        <v>1411</v>
      </c>
      <c r="B1284" s="10" t="s">
        <v>70</v>
      </c>
      <c r="C1284" s="11">
        <v>45847</v>
      </c>
      <c r="D1284" s="11">
        <v>45877</v>
      </c>
      <c r="E1284" s="11">
        <v>45889</v>
      </c>
      <c r="F1284" s="12">
        <v>24922.49</v>
      </c>
      <c r="G1284" s="12">
        <v>24922.49</v>
      </c>
      <c r="H1284" s="12">
        <f t="shared" si="100"/>
        <v>0</v>
      </c>
      <c r="I1284" s="10">
        <f t="shared" si="101"/>
        <v>12</v>
      </c>
      <c r="J1284" s="10" t="str">
        <f t="shared" ca="1" si="102"/>
        <v>Paid</v>
      </c>
      <c r="K1284" s="10">
        <f t="shared" ca="1" si="103"/>
        <v>0</v>
      </c>
      <c r="L1284" s="10" t="str">
        <f t="shared" si="104"/>
        <v>Paid</v>
      </c>
      <c r="M1284" s="11">
        <v>45839</v>
      </c>
      <c r="N1284" s="11">
        <v>45870</v>
      </c>
    </row>
    <row r="1285" spans="1:14" x14ac:dyDescent="0.25">
      <c r="A1285" s="13" t="s">
        <v>1412</v>
      </c>
      <c r="B1285" s="13" t="s">
        <v>274</v>
      </c>
      <c r="C1285" s="14">
        <v>45847</v>
      </c>
      <c r="D1285" s="14">
        <v>45877</v>
      </c>
      <c r="E1285" s="14"/>
      <c r="F1285" s="15">
        <v>73736.2</v>
      </c>
      <c r="G1285" s="15">
        <v>0</v>
      </c>
      <c r="H1285" s="15">
        <f t="shared" si="100"/>
        <v>73736.2</v>
      </c>
      <c r="I1285" s="13" t="str">
        <f t="shared" si="101"/>
        <v/>
      </c>
      <c r="J1285" s="13" t="str">
        <f t="shared" ca="1" si="102"/>
        <v>Overdue</v>
      </c>
      <c r="K1285" s="13">
        <f t="shared" ca="1" si="103"/>
        <v>379</v>
      </c>
      <c r="L1285" s="13" t="str">
        <f t="shared" ca="1" si="104"/>
        <v>120+ Days</v>
      </c>
      <c r="M1285" s="14">
        <v>45839</v>
      </c>
      <c r="N1285" s="14"/>
    </row>
    <row r="1286" spans="1:14" x14ac:dyDescent="0.25">
      <c r="A1286" s="10" t="s">
        <v>1413</v>
      </c>
      <c r="B1286" s="10" t="s">
        <v>159</v>
      </c>
      <c r="C1286" s="11">
        <v>45855</v>
      </c>
      <c r="D1286" s="11">
        <v>45885</v>
      </c>
      <c r="E1286" s="11"/>
      <c r="F1286" s="12">
        <v>14750.18</v>
      </c>
      <c r="G1286" s="12">
        <v>0</v>
      </c>
      <c r="H1286" s="12">
        <f t="shared" si="100"/>
        <v>14750.18</v>
      </c>
      <c r="I1286" s="10" t="str">
        <f t="shared" si="101"/>
        <v/>
      </c>
      <c r="J1286" s="10" t="str">
        <f t="shared" ca="1" si="102"/>
        <v>Overdue</v>
      </c>
      <c r="K1286" s="10">
        <f t="shared" ca="1" si="103"/>
        <v>371</v>
      </c>
      <c r="L1286" s="10" t="str">
        <f t="shared" ca="1" si="104"/>
        <v>120+ Days</v>
      </c>
      <c r="M1286" s="11">
        <v>45839</v>
      </c>
      <c r="N1286" s="11"/>
    </row>
    <row r="1287" spans="1:14" x14ac:dyDescent="0.25">
      <c r="A1287" s="13" t="s">
        <v>1414</v>
      </c>
      <c r="B1287" s="13" t="s">
        <v>107</v>
      </c>
      <c r="C1287" s="14">
        <v>45864</v>
      </c>
      <c r="D1287" s="14">
        <v>45894</v>
      </c>
      <c r="E1287" s="14">
        <v>45913</v>
      </c>
      <c r="F1287" s="15">
        <v>65188.33</v>
      </c>
      <c r="G1287" s="15">
        <v>65188.33</v>
      </c>
      <c r="H1287" s="15">
        <f t="shared" si="100"/>
        <v>0</v>
      </c>
      <c r="I1287" s="13">
        <f t="shared" si="101"/>
        <v>19</v>
      </c>
      <c r="J1287" s="13" t="str">
        <f t="shared" ca="1" si="102"/>
        <v>Paid</v>
      </c>
      <c r="K1287" s="13">
        <f t="shared" ca="1" si="103"/>
        <v>0</v>
      </c>
      <c r="L1287" s="13" t="str">
        <f t="shared" si="104"/>
        <v>Paid</v>
      </c>
      <c r="M1287" s="14">
        <v>45839</v>
      </c>
      <c r="N1287" s="14">
        <v>45901</v>
      </c>
    </row>
    <row r="1288" spans="1:14" x14ac:dyDescent="0.25">
      <c r="A1288" s="10" t="s">
        <v>1415</v>
      </c>
      <c r="B1288" s="10" t="s">
        <v>182</v>
      </c>
      <c r="C1288" s="11">
        <v>45859</v>
      </c>
      <c r="D1288" s="11">
        <v>45889</v>
      </c>
      <c r="E1288" s="11">
        <v>45889</v>
      </c>
      <c r="F1288" s="12">
        <v>42316.32</v>
      </c>
      <c r="G1288" s="12">
        <v>42316.32</v>
      </c>
      <c r="H1288" s="12">
        <f t="shared" si="100"/>
        <v>0</v>
      </c>
      <c r="I1288" s="10">
        <f t="shared" si="101"/>
        <v>0</v>
      </c>
      <c r="J1288" s="10" t="str">
        <f t="shared" ca="1" si="102"/>
        <v>Paid</v>
      </c>
      <c r="K1288" s="10">
        <f t="shared" ca="1" si="103"/>
        <v>0</v>
      </c>
      <c r="L1288" s="10" t="str">
        <f t="shared" si="104"/>
        <v>Paid</v>
      </c>
      <c r="M1288" s="11">
        <v>45839</v>
      </c>
      <c r="N1288" s="11">
        <v>45870</v>
      </c>
    </row>
    <row r="1289" spans="1:14" x14ac:dyDescent="0.25">
      <c r="A1289" s="13" t="s">
        <v>1416</v>
      </c>
      <c r="B1289" s="13" t="s">
        <v>83</v>
      </c>
      <c r="C1289" s="14">
        <v>45855</v>
      </c>
      <c r="D1289" s="14">
        <v>45885</v>
      </c>
      <c r="E1289" s="14">
        <v>45914</v>
      </c>
      <c r="F1289" s="15">
        <v>73702.45</v>
      </c>
      <c r="G1289" s="15">
        <v>73702.45</v>
      </c>
      <c r="H1289" s="15">
        <f t="shared" si="100"/>
        <v>0</v>
      </c>
      <c r="I1289" s="13">
        <f t="shared" si="101"/>
        <v>29</v>
      </c>
      <c r="J1289" s="13" t="str">
        <f t="shared" ca="1" si="102"/>
        <v>Paid</v>
      </c>
      <c r="K1289" s="13">
        <f t="shared" ca="1" si="103"/>
        <v>0</v>
      </c>
      <c r="L1289" s="13" t="str">
        <f t="shared" si="104"/>
        <v>Paid</v>
      </c>
      <c r="M1289" s="14">
        <v>45839</v>
      </c>
      <c r="N1289" s="14">
        <v>45901</v>
      </c>
    </row>
    <row r="1290" spans="1:14" x14ac:dyDescent="0.25">
      <c r="A1290" s="10" t="s">
        <v>1417</v>
      </c>
      <c r="B1290" s="10" t="s">
        <v>314</v>
      </c>
      <c r="C1290" s="11">
        <v>45845</v>
      </c>
      <c r="D1290" s="11">
        <v>45875</v>
      </c>
      <c r="E1290" s="11">
        <v>45889</v>
      </c>
      <c r="F1290" s="12">
        <v>68263.839999999997</v>
      </c>
      <c r="G1290" s="12">
        <v>68263.839999999997</v>
      </c>
      <c r="H1290" s="12">
        <f t="shared" si="100"/>
        <v>0</v>
      </c>
      <c r="I1290" s="10">
        <f t="shared" si="101"/>
        <v>14</v>
      </c>
      <c r="J1290" s="10" t="str">
        <f t="shared" ca="1" si="102"/>
        <v>Paid</v>
      </c>
      <c r="K1290" s="10">
        <f t="shared" ca="1" si="103"/>
        <v>0</v>
      </c>
      <c r="L1290" s="10" t="str">
        <f t="shared" si="104"/>
        <v>Paid</v>
      </c>
      <c r="M1290" s="11">
        <v>45839</v>
      </c>
      <c r="N1290" s="11">
        <v>45870</v>
      </c>
    </row>
    <row r="1291" spans="1:14" x14ac:dyDescent="0.25">
      <c r="A1291" s="13" t="s">
        <v>1418</v>
      </c>
      <c r="B1291" s="13" t="s">
        <v>113</v>
      </c>
      <c r="C1291" s="14">
        <v>45859</v>
      </c>
      <c r="D1291" s="14">
        <v>45889</v>
      </c>
      <c r="E1291" s="14">
        <v>45889</v>
      </c>
      <c r="F1291" s="15">
        <v>51275.37</v>
      </c>
      <c r="G1291" s="15">
        <v>51275.37</v>
      </c>
      <c r="H1291" s="15">
        <f t="shared" si="100"/>
        <v>0</v>
      </c>
      <c r="I1291" s="13">
        <f t="shared" si="101"/>
        <v>0</v>
      </c>
      <c r="J1291" s="13" t="str">
        <f t="shared" ca="1" si="102"/>
        <v>Paid</v>
      </c>
      <c r="K1291" s="13">
        <f t="shared" ca="1" si="103"/>
        <v>0</v>
      </c>
      <c r="L1291" s="13" t="str">
        <f t="shared" si="104"/>
        <v>Paid</v>
      </c>
      <c r="M1291" s="14">
        <v>45839</v>
      </c>
      <c r="N1291" s="14">
        <v>45870</v>
      </c>
    </row>
    <row r="1292" spans="1:14" x14ac:dyDescent="0.25">
      <c r="A1292" s="10" t="s">
        <v>1419</v>
      </c>
      <c r="B1292" s="10" t="s">
        <v>99</v>
      </c>
      <c r="C1292" s="11">
        <v>45842</v>
      </c>
      <c r="D1292" s="11">
        <v>45872</v>
      </c>
      <c r="E1292" s="11">
        <v>45889</v>
      </c>
      <c r="F1292" s="12">
        <v>43968.6</v>
      </c>
      <c r="G1292" s="12">
        <v>43968.6</v>
      </c>
      <c r="H1292" s="12">
        <f t="shared" si="100"/>
        <v>0</v>
      </c>
      <c r="I1292" s="10">
        <f t="shared" si="101"/>
        <v>17</v>
      </c>
      <c r="J1292" s="10" t="str">
        <f t="shared" ca="1" si="102"/>
        <v>Paid</v>
      </c>
      <c r="K1292" s="10">
        <f t="shared" ca="1" si="103"/>
        <v>0</v>
      </c>
      <c r="L1292" s="10" t="str">
        <f t="shared" si="104"/>
        <v>Paid</v>
      </c>
      <c r="M1292" s="11">
        <v>45839</v>
      </c>
      <c r="N1292" s="11">
        <v>45870</v>
      </c>
    </row>
    <row r="1293" spans="1:14" x14ac:dyDescent="0.25">
      <c r="A1293" s="13" t="s">
        <v>1420</v>
      </c>
      <c r="B1293" s="13" t="s">
        <v>93</v>
      </c>
      <c r="C1293" s="14">
        <v>45854</v>
      </c>
      <c r="D1293" s="14">
        <v>45884</v>
      </c>
      <c r="E1293" s="14">
        <v>45908</v>
      </c>
      <c r="F1293" s="15">
        <v>46809.17</v>
      </c>
      <c r="G1293" s="15">
        <v>46809.17</v>
      </c>
      <c r="H1293" s="15">
        <f t="shared" si="100"/>
        <v>0</v>
      </c>
      <c r="I1293" s="13">
        <f t="shared" si="101"/>
        <v>24</v>
      </c>
      <c r="J1293" s="13" t="str">
        <f t="shared" ca="1" si="102"/>
        <v>Paid</v>
      </c>
      <c r="K1293" s="13">
        <f t="shared" ca="1" si="103"/>
        <v>0</v>
      </c>
      <c r="L1293" s="13" t="str">
        <f t="shared" si="104"/>
        <v>Paid</v>
      </c>
      <c r="M1293" s="14">
        <v>45839</v>
      </c>
      <c r="N1293" s="14">
        <v>45901</v>
      </c>
    </row>
    <row r="1294" spans="1:14" x14ac:dyDescent="0.25">
      <c r="A1294" s="10" t="s">
        <v>1421</v>
      </c>
      <c r="B1294" s="10" t="s">
        <v>215</v>
      </c>
      <c r="C1294" s="11">
        <v>45873</v>
      </c>
      <c r="D1294" s="11">
        <v>45903</v>
      </c>
      <c r="E1294" s="11"/>
      <c r="F1294" s="12">
        <v>29866.69</v>
      </c>
      <c r="G1294" s="12">
        <v>0</v>
      </c>
      <c r="H1294" s="12">
        <f t="shared" si="100"/>
        <v>29866.69</v>
      </c>
      <c r="I1294" s="10" t="str">
        <f t="shared" si="101"/>
        <v/>
      </c>
      <c r="J1294" s="10" t="str">
        <f t="shared" ca="1" si="102"/>
        <v>Overdue</v>
      </c>
      <c r="K1294" s="10">
        <f t="shared" ca="1" si="103"/>
        <v>353</v>
      </c>
      <c r="L1294" s="10" t="str">
        <f t="shared" ca="1" si="104"/>
        <v>120+ Days</v>
      </c>
      <c r="M1294" s="11">
        <v>45870</v>
      </c>
      <c r="N1294" s="11"/>
    </row>
    <row r="1295" spans="1:14" x14ac:dyDescent="0.25">
      <c r="A1295" s="13" t="s">
        <v>1422</v>
      </c>
      <c r="B1295" s="13" t="s">
        <v>109</v>
      </c>
      <c r="C1295" s="14">
        <v>45896</v>
      </c>
      <c r="D1295" s="14">
        <v>45926</v>
      </c>
      <c r="E1295" s="14"/>
      <c r="F1295" s="15">
        <v>41419.14</v>
      </c>
      <c r="G1295" s="15">
        <v>0</v>
      </c>
      <c r="H1295" s="15">
        <f t="shared" si="100"/>
        <v>41419.14</v>
      </c>
      <c r="I1295" s="13" t="str">
        <f t="shared" si="101"/>
        <v/>
      </c>
      <c r="J1295" s="13" t="str">
        <f t="shared" ca="1" si="102"/>
        <v>Overdue</v>
      </c>
      <c r="K1295" s="13">
        <f t="shared" ca="1" si="103"/>
        <v>330</v>
      </c>
      <c r="L1295" s="13" t="str">
        <f t="shared" ca="1" si="104"/>
        <v>120+ Days</v>
      </c>
      <c r="M1295" s="14">
        <v>45870</v>
      </c>
      <c r="N1295" s="14"/>
    </row>
    <row r="1296" spans="1:14" x14ac:dyDescent="0.25">
      <c r="A1296" s="10" t="s">
        <v>1423</v>
      </c>
      <c r="B1296" s="10" t="s">
        <v>107</v>
      </c>
      <c r="C1296" s="11">
        <v>45896</v>
      </c>
      <c r="D1296" s="11">
        <v>45926</v>
      </c>
      <c r="E1296" s="11">
        <v>45935</v>
      </c>
      <c r="F1296" s="12">
        <v>25801.23</v>
      </c>
      <c r="G1296" s="12">
        <v>25801.23</v>
      </c>
      <c r="H1296" s="12">
        <f t="shared" si="100"/>
        <v>0</v>
      </c>
      <c r="I1296" s="10">
        <f t="shared" si="101"/>
        <v>9</v>
      </c>
      <c r="J1296" s="10" t="str">
        <f t="shared" ca="1" si="102"/>
        <v>Paid</v>
      </c>
      <c r="K1296" s="10">
        <f t="shared" ca="1" si="103"/>
        <v>0</v>
      </c>
      <c r="L1296" s="10" t="str">
        <f t="shared" si="104"/>
        <v>Paid</v>
      </c>
      <c r="M1296" s="11">
        <v>45870</v>
      </c>
      <c r="N1296" s="11">
        <v>45931</v>
      </c>
    </row>
    <row r="1297" spans="1:14" x14ac:dyDescent="0.25">
      <c r="A1297" s="13" t="s">
        <v>1424</v>
      </c>
      <c r="B1297" s="13" t="s">
        <v>340</v>
      </c>
      <c r="C1297" s="14">
        <v>45893</v>
      </c>
      <c r="D1297" s="14">
        <v>45923</v>
      </c>
      <c r="E1297" s="14"/>
      <c r="F1297" s="15">
        <v>14893.1</v>
      </c>
      <c r="G1297" s="15">
        <v>0</v>
      </c>
      <c r="H1297" s="15">
        <f t="shared" si="100"/>
        <v>14893.1</v>
      </c>
      <c r="I1297" s="13" t="str">
        <f t="shared" si="101"/>
        <v/>
      </c>
      <c r="J1297" s="13" t="str">
        <f t="shared" ca="1" si="102"/>
        <v>Overdue</v>
      </c>
      <c r="K1297" s="13">
        <f t="shared" ca="1" si="103"/>
        <v>333</v>
      </c>
      <c r="L1297" s="13" t="str">
        <f t="shared" ca="1" si="104"/>
        <v>120+ Days</v>
      </c>
      <c r="M1297" s="14">
        <v>45870</v>
      </c>
      <c r="N1297" s="14"/>
    </row>
    <row r="1298" spans="1:14" x14ac:dyDescent="0.25">
      <c r="A1298" s="10" t="s">
        <v>1425</v>
      </c>
      <c r="B1298" s="10" t="s">
        <v>463</v>
      </c>
      <c r="C1298" s="11">
        <v>45875</v>
      </c>
      <c r="D1298" s="11">
        <v>45905</v>
      </c>
      <c r="E1298" s="11">
        <v>45916</v>
      </c>
      <c r="F1298" s="12">
        <v>48084.9</v>
      </c>
      <c r="G1298" s="12">
        <v>48084.9</v>
      </c>
      <c r="H1298" s="12">
        <f t="shared" si="100"/>
        <v>0</v>
      </c>
      <c r="I1298" s="10">
        <f t="shared" si="101"/>
        <v>11</v>
      </c>
      <c r="J1298" s="10" t="str">
        <f t="shared" ca="1" si="102"/>
        <v>Paid</v>
      </c>
      <c r="K1298" s="10">
        <f t="shared" ca="1" si="103"/>
        <v>0</v>
      </c>
      <c r="L1298" s="10" t="str">
        <f t="shared" si="104"/>
        <v>Paid</v>
      </c>
      <c r="M1298" s="11">
        <v>45870</v>
      </c>
      <c r="N1298" s="11">
        <v>45901</v>
      </c>
    </row>
    <row r="1299" spans="1:14" x14ac:dyDescent="0.25">
      <c r="A1299" s="13" t="s">
        <v>1426</v>
      </c>
      <c r="B1299" s="13" t="s">
        <v>76</v>
      </c>
      <c r="C1299" s="14">
        <v>45882</v>
      </c>
      <c r="D1299" s="14">
        <v>45912</v>
      </c>
      <c r="E1299" s="14">
        <v>45912</v>
      </c>
      <c r="F1299" s="15">
        <v>29085.14</v>
      </c>
      <c r="G1299" s="15">
        <v>29085.14</v>
      </c>
      <c r="H1299" s="15">
        <f t="shared" si="100"/>
        <v>0</v>
      </c>
      <c r="I1299" s="13">
        <f t="shared" si="101"/>
        <v>0</v>
      </c>
      <c r="J1299" s="13" t="str">
        <f t="shared" ca="1" si="102"/>
        <v>Paid</v>
      </c>
      <c r="K1299" s="13">
        <f t="shared" ca="1" si="103"/>
        <v>0</v>
      </c>
      <c r="L1299" s="13" t="str">
        <f t="shared" si="104"/>
        <v>Paid</v>
      </c>
      <c r="M1299" s="14">
        <v>45870</v>
      </c>
      <c r="N1299" s="14">
        <v>45901</v>
      </c>
    </row>
    <row r="1300" spans="1:14" x14ac:dyDescent="0.25">
      <c r="A1300" s="10" t="s">
        <v>1427</v>
      </c>
      <c r="B1300" s="10" t="s">
        <v>85</v>
      </c>
      <c r="C1300" s="11">
        <v>45890</v>
      </c>
      <c r="D1300" s="11">
        <v>45920</v>
      </c>
      <c r="E1300" s="11">
        <v>45954</v>
      </c>
      <c r="F1300" s="12">
        <v>27997.46</v>
      </c>
      <c r="G1300" s="12">
        <v>27997.46</v>
      </c>
      <c r="H1300" s="12">
        <f t="shared" si="100"/>
        <v>0</v>
      </c>
      <c r="I1300" s="10">
        <f t="shared" si="101"/>
        <v>34</v>
      </c>
      <c r="J1300" s="10" t="str">
        <f t="shared" ca="1" si="102"/>
        <v>Paid</v>
      </c>
      <c r="K1300" s="10">
        <f t="shared" ca="1" si="103"/>
        <v>0</v>
      </c>
      <c r="L1300" s="10" t="str">
        <f t="shared" si="104"/>
        <v>Paid</v>
      </c>
      <c r="M1300" s="11">
        <v>45870</v>
      </c>
      <c r="N1300" s="11">
        <v>45931</v>
      </c>
    </row>
    <row r="1301" spans="1:14" x14ac:dyDescent="0.25">
      <c r="A1301" s="13" t="s">
        <v>1428</v>
      </c>
      <c r="B1301" s="13" t="s">
        <v>230</v>
      </c>
      <c r="C1301" s="14">
        <v>45890</v>
      </c>
      <c r="D1301" s="14">
        <v>45920</v>
      </c>
      <c r="E1301" s="14">
        <v>45938</v>
      </c>
      <c r="F1301" s="15">
        <v>69051.87</v>
      </c>
      <c r="G1301" s="15">
        <v>69051.87</v>
      </c>
      <c r="H1301" s="15">
        <f t="shared" si="100"/>
        <v>0</v>
      </c>
      <c r="I1301" s="13">
        <f t="shared" si="101"/>
        <v>18</v>
      </c>
      <c r="J1301" s="13" t="str">
        <f t="shared" ca="1" si="102"/>
        <v>Paid</v>
      </c>
      <c r="K1301" s="13">
        <f t="shared" ca="1" si="103"/>
        <v>0</v>
      </c>
      <c r="L1301" s="13" t="str">
        <f t="shared" si="104"/>
        <v>Paid</v>
      </c>
      <c r="M1301" s="14">
        <v>45870</v>
      </c>
      <c r="N1301" s="14">
        <v>45931</v>
      </c>
    </row>
    <row r="1302" spans="1:14" x14ac:dyDescent="0.25">
      <c r="A1302" s="10" t="s">
        <v>1429</v>
      </c>
      <c r="B1302" s="10" t="s">
        <v>278</v>
      </c>
      <c r="C1302" s="11">
        <v>45880</v>
      </c>
      <c r="D1302" s="11">
        <v>45910</v>
      </c>
      <c r="E1302" s="11">
        <v>45970</v>
      </c>
      <c r="F1302" s="12">
        <v>23365.07</v>
      </c>
      <c r="G1302" s="12">
        <v>23365.07</v>
      </c>
      <c r="H1302" s="12">
        <f t="shared" si="100"/>
        <v>0</v>
      </c>
      <c r="I1302" s="10">
        <f t="shared" si="101"/>
        <v>60</v>
      </c>
      <c r="J1302" s="10" t="str">
        <f t="shared" ca="1" si="102"/>
        <v>Paid</v>
      </c>
      <c r="K1302" s="10">
        <f t="shared" ca="1" si="103"/>
        <v>0</v>
      </c>
      <c r="L1302" s="10" t="str">
        <f t="shared" si="104"/>
        <v>Paid</v>
      </c>
      <c r="M1302" s="11">
        <v>45870</v>
      </c>
      <c r="N1302" s="11">
        <v>45962</v>
      </c>
    </row>
    <row r="1303" spans="1:14" x14ac:dyDescent="0.25">
      <c r="A1303" s="13" t="s">
        <v>1430</v>
      </c>
      <c r="B1303" s="13" t="s">
        <v>140</v>
      </c>
      <c r="C1303" s="14">
        <v>45883</v>
      </c>
      <c r="D1303" s="14">
        <v>45913</v>
      </c>
      <c r="E1303" s="14">
        <v>45923</v>
      </c>
      <c r="F1303" s="15">
        <v>26025.63</v>
      </c>
      <c r="G1303" s="15">
        <v>26025.63</v>
      </c>
      <c r="H1303" s="15">
        <f t="shared" si="100"/>
        <v>0</v>
      </c>
      <c r="I1303" s="13">
        <f t="shared" si="101"/>
        <v>10</v>
      </c>
      <c r="J1303" s="13" t="str">
        <f t="shared" ca="1" si="102"/>
        <v>Paid</v>
      </c>
      <c r="K1303" s="13">
        <f t="shared" ca="1" si="103"/>
        <v>0</v>
      </c>
      <c r="L1303" s="13" t="str">
        <f t="shared" si="104"/>
        <v>Paid</v>
      </c>
      <c r="M1303" s="14">
        <v>45870</v>
      </c>
      <c r="N1303" s="14">
        <v>45901</v>
      </c>
    </row>
    <row r="1304" spans="1:14" x14ac:dyDescent="0.25">
      <c r="A1304" s="10" t="s">
        <v>1431</v>
      </c>
      <c r="B1304" s="10" t="s">
        <v>198</v>
      </c>
      <c r="C1304" s="11">
        <v>45887</v>
      </c>
      <c r="D1304" s="11">
        <v>45917</v>
      </c>
      <c r="E1304" s="11"/>
      <c r="F1304" s="12">
        <v>15392.89</v>
      </c>
      <c r="G1304" s="12">
        <v>0</v>
      </c>
      <c r="H1304" s="12">
        <f t="shared" si="100"/>
        <v>15392.89</v>
      </c>
      <c r="I1304" s="10" t="str">
        <f t="shared" si="101"/>
        <v/>
      </c>
      <c r="J1304" s="10" t="str">
        <f t="shared" ca="1" si="102"/>
        <v>Overdue</v>
      </c>
      <c r="K1304" s="10">
        <f t="shared" ca="1" si="103"/>
        <v>339</v>
      </c>
      <c r="L1304" s="10" t="str">
        <f t="shared" ca="1" si="104"/>
        <v>120+ Days</v>
      </c>
      <c r="M1304" s="11">
        <v>45870</v>
      </c>
      <c r="N1304" s="11"/>
    </row>
    <row r="1305" spans="1:14" x14ac:dyDescent="0.25">
      <c r="A1305" s="13" t="s">
        <v>1432</v>
      </c>
      <c r="B1305" s="13" t="s">
        <v>340</v>
      </c>
      <c r="C1305" s="14">
        <v>45881</v>
      </c>
      <c r="D1305" s="14">
        <v>45911</v>
      </c>
      <c r="E1305" s="14">
        <v>45950</v>
      </c>
      <c r="F1305" s="15">
        <v>24381.81</v>
      </c>
      <c r="G1305" s="15">
        <v>24381.81</v>
      </c>
      <c r="H1305" s="15">
        <f t="shared" si="100"/>
        <v>0</v>
      </c>
      <c r="I1305" s="13">
        <f t="shared" si="101"/>
        <v>39</v>
      </c>
      <c r="J1305" s="13" t="str">
        <f t="shared" ca="1" si="102"/>
        <v>Paid</v>
      </c>
      <c r="K1305" s="13">
        <f t="shared" ca="1" si="103"/>
        <v>0</v>
      </c>
      <c r="L1305" s="13" t="str">
        <f t="shared" si="104"/>
        <v>Paid</v>
      </c>
      <c r="M1305" s="14">
        <v>45870</v>
      </c>
      <c r="N1305" s="14">
        <v>45931</v>
      </c>
    </row>
    <row r="1306" spans="1:14" x14ac:dyDescent="0.25">
      <c r="A1306" s="10" t="s">
        <v>1433</v>
      </c>
      <c r="B1306" s="10" t="s">
        <v>244</v>
      </c>
      <c r="C1306" s="11">
        <v>45887</v>
      </c>
      <c r="D1306" s="11">
        <v>45917</v>
      </c>
      <c r="E1306" s="11"/>
      <c r="F1306" s="12">
        <v>17564.84</v>
      </c>
      <c r="G1306" s="12">
        <v>0</v>
      </c>
      <c r="H1306" s="12">
        <f t="shared" si="100"/>
        <v>17564.84</v>
      </c>
      <c r="I1306" s="10" t="str">
        <f t="shared" si="101"/>
        <v/>
      </c>
      <c r="J1306" s="10" t="str">
        <f t="shared" ca="1" si="102"/>
        <v>Overdue</v>
      </c>
      <c r="K1306" s="10">
        <f t="shared" ca="1" si="103"/>
        <v>339</v>
      </c>
      <c r="L1306" s="10" t="str">
        <f t="shared" ca="1" si="104"/>
        <v>120+ Days</v>
      </c>
      <c r="M1306" s="11">
        <v>45870</v>
      </c>
      <c r="N1306" s="11"/>
    </row>
    <row r="1307" spans="1:14" x14ac:dyDescent="0.25">
      <c r="A1307" s="13" t="s">
        <v>1434</v>
      </c>
      <c r="B1307" s="13" t="s">
        <v>107</v>
      </c>
      <c r="C1307" s="14">
        <v>45875</v>
      </c>
      <c r="D1307" s="14">
        <v>45905</v>
      </c>
      <c r="E1307" s="14">
        <v>45905</v>
      </c>
      <c r="F1307" s="15">
        <v>38164.26</v>
      </c>
      <c r="G1307" s="15">
        <v>38164.26</v>
      </c>
      <c r="H1307" s="15">
        <f t="shared" si="100"/>
        <v>0</v>
      </c>
      <c r="I1307" s="13">
        <f t="shared" si="101"/>
        <v>0</v>
      </c>
      <c r="J1307" s="13" t="str">
        <f t="shared" ca="1" si="102"/>
        <v>Paid</v>
      </c>
      <c r="K1307" s="13">
        <f t="shared" ca="1" si="103"/>
        <v>0</v>
      </c>
      <c r="L1307" s="13" t="str">
        <f t="shared" si="104"/>
        <v>Paid</v>
      </c>
      <c r="M1307" s="14">
        <v>45870</v>
      </c>
      <c r="N1307" s="14">
        <v>45901</v>
      </c>
    </row>
    <row r="1308" spans="1:14" x14ac:dyDescent="0.25">
      <c r="A1308" s="10" t="s">
        <v>1435</v>
      </c>
      <c r="B1308" s="10" t="s">
        <v>81</v>
      </c>
      <c r="C1308" s="11">
        <v>45893</v>
      </c>
      <c r="D1308" s="11">
        <v>45923</v>
      </c>
      <c r="E1308" s="11">
        <v>45964</v>
      </c>
      <c r="F1308" s="12">
        <v>28832.47</v>
      </c>
      <c r="G1308" s="12">
        <v>28832.47</v>
      </c>
      <c r="H1308" s="12">
        <f t="shared" si="100"/>
        <v>0</v>
      </c>
      <c r="I1308" s="10">
        <f t="shared" si="101"/>
        <v>41</v>
      </c>
      <c r="J1308" s="10" t="str">
        <f t="shared" ca="1" si="102"/>
        <v>Paid</v>
      </c>
      <c r="K1308" s="10">
        <f t="shared" ca="1" si="103"/>
        <v>0</v>
      </c>
      <c r="L1308" s="10" t="str">
        <f t="shared" si="104"/>
        <v>Paid</v>
      </c>
      <c r="M1308" s="11">
        <v>45870</v>
      </c>
      <c r="N1308" s="11">
        <v>45962</v>
      </c>
    </row>
    <row r="1309" spans="1:14" x14ac:dyDescent="0.25">
      <c r="A1309" s="13" t="s">
        <v>1436</v>
      </c>
      <c r="B1309" s="13" t="s">
        <v>117</v>
      </c>
      <c r="C1309" s="14">
        <v>45876</v>
      </c>
      <c r="D1309" s="14">
        <v>45906</v>
      </c>
      <c r="E1309" s="14"/>
      <c r="F1309" s="15">
        <v>24904.080000000002</v>
      </c>
      <c r="G1309" s="15">
        <v>0</v>
      </c>
      <c r="H1309" s="15">
        <f t="shared" si="100"/>
        <v>24904.080000000002</v>
      </c>
      <c r="I1309" s="13" t="str">
        <f t="shared" si="101"/>
        <v/>
      </c>
      <c r="J1309" s="13" t="str">
        <f t="shared" ca="1" si="102"/>
        <v>Overdue</v>
      </c>
      <c r="K1309" s="13">
        <f t="shared" ca="1" si="103"/>
        <v>350</v>
      </c>
      <c r="L1309" s="13" t="str">
        <f t="shared" ca="1" si="104"/>
        <v>120+ Days</v>
      </c>
      <c r="M1309" s="14">
        <v>45870</v>
      </c>
      <c r="N1309" s="14"/>
    </row>
    <row r="1310" spans="1:14" x14ac:dyDescent="0.25">
      <c r="A1310" s="10" t="s">
        <v>1437</v>
      </c>
      <c r="B1310" s="10" t="s">
        <v>314</v>
      </c>
      <c r="C1310" s="11">
        <v>45876</v>
      </c>
      <c r="D1310" s="11">
        <v>45906</v>
      </c>
      <c r="E1310" s="11"/>
      <c r="F1310" s="12">
        <v>21507.51</v>
      </c>
      <c r="G1310" s="12">
        <v>0</v>
      </c>
      <c r="H1310" s="12">
        <f t="shared" si="100"/>
        <v>21507.51</v>
      </c>
      <c r="I1310" s="10" t="str">
        <f t="shared" si="101"/>
        <v/>
      </c>
      <c r="J1310" s="10" t="str">
        <f t="shared" ca="1" si="102"/>
        <v>Overdue</v>
      </c>
      <c r="K1310" s="10">
        <f t="shared" ca="1" si="103"/>
        <v>350</v>
      </c>
      <c r="L1310" s="10" t="str">
        <f t="shared" ca="1" si="104"/>
        <v>120+ Days</v>
      </c>
      <c r="M1310" s="11">
        <v>45870</v>
      </c>
      <c r="N1310" s="11"/>
    </row>
    <row r="1311" spans="1:14" x14ac:dyDescent="0.25">
      <c r="A1311" s="13" t="s">
        <v>1438</v>
      </c>
      <c r="B1311" s="13" t="s">
        <v>188</v>
      </c>
      <c r="C1311" s="14">
        <v>45878</v>
      </c>
      <c r="D1311" s="14">
        <v>45908</v>
      </c>
      <c r="E1311" s="14"/>
      <c r="F1311" s="15">
        <v>9015.57</v>
      </c>
      <c r="G1311" s="15">
        <v>0</v>
      </c>
      <c r="H1311" s="15">
        <f t="shared" si="100"/>
        <v>9015.57</v>
      </c>
      <c r="I1311" s="13" t="str">
        <f t="shared" si="101"/>
        <v/>
      </c>
      <c r="J1311" s="13" t="str">
        <f t="shared" ca="1" si="102"/>
        <v>Overdue</v>
      </c>
      <c r="K1311" s="13">
        <f t="shared" ca="1" si="103"/>
        <v>348</v>
      </c>
      <c r="L1311" s="13" t="str">
        <f t="shared" ca="1" si="104"/>
        <v>120+ Days</v>
      </c>
      <c r="M1311" s="14">
        <v>45870</v>
      </c>
      <c r="N1311" s="14"/>
    </row>
    <row r="1312" spans="1:14" x14ac:dyDescent="0.25">
      <c r="A1312" s="10" t="s">
        <v>1439</v>
      </c>
      <c r="B1312" s="10" t="s">
        <v>146</v>
      </c>
      <c r="C1312" s="11">
        <v>45890</v>
      </c>
      <c r="D1312" s="11">
        <v>45920</v>
      </c>
      <c r="E1312" s="11">
        <v>45944</v>
      </c>
      <c r="F1312" s="12">
        <v>60090.59</v>
      </c>
      <c r="G1312" s="12">
        <v>60090.59</v>
      </c>
      <c r="H1312" s="12">
        <f t="shared" si="100"/>
        <v>0</v>
      </c>
      <c r="I1312" s="10">
        <f t="shared" si="101"/>
        <v>24</v>
      </c>
      <c r="J1312" s="10" t="str">
        <f t="shared" ca="1" si="102"/>
        <v>Paid</v>
      </c>
      <c r="K1312" s="10">
        <f t="shared" ca="1" si="103"/>
        <v>0</v>
      </c>
      <c r="L1312" s="10" t="str">
        <f t="shared" si="104"/>
        <v>Paid</v>
      </c>
      <c r="M1312" s="11">
        <v>45870</v>
      </c>
      <c r="N1312" s="11">
        <v>45931</v>
      </c>
    </row>
    <row r="1313" spans="1:14" x14ac:dyDescent="0.25">
      <c r="A1313" s="13" t="s">
        <v>1440</v>
      </c>
      <c r="B1313" s="13" t="s">
        <v>340</v>
      </c>
      <c r="C1313" s="14">
        <v>45877</v>
      </c>
      <c r="D1313" s="14">
        <v>45907</v>
      </c>
      <c r="E1313" s="14">
        <v>45913</v>
      </c>
      <c r="F1313" s="15">
        <v>59953.8</v>
      </c>
      <c r="G1313" s="15">
        <v>29199.53</v>
      </c>
      <c r="H1313" s="15">
        <f t="shared" si="100"/>
        <v>30754.270000000004</v>
      </c>
      <c r="I1313" s="13">
        <f t="shared" si="101"/>
        <v>6</v>
      </c>
      <c r="J1313" s="13" t="str">
        <f t="shared" ca="1" si="102"/>
        <v>Overdue</v>
      </c>
      <c r="K1313" s="13">
        <f t="shared" ca="1" si="103"/>
        <v>349</v>
      </c>
      <c r="L1313" s="13" t="str">
        <f t="shared" ca="1" si="104"/>
        <v>120+ Days</v>
      </c>
      <c r="M1313" s="14">
        <v>45870</v>
      </c>
      <c r="N1313" s="14">
        <v>45901</v>
      </c>
    </row>
    <row r="1314" spans="1:14" x14ac:dyDescent="0.25">
      <c r="A1314" s="10" t="s">
        <v>1441</v>
      </c>
      <c r="B1314" s="10" t="s">
        <v>70</v>
      </c>
      <c r="C1314" s="11">
        <v>45881</v>
      </c>
      <c r="D1314" s="11">
        <v>45911</v>
      </c>
      <c r="E1314" s="11">
        <v>45911</v>
      </c>
      <c r="F1314" s="12">
        <v>16997.400000000001</v>
      </c>
      <c r="G1314" s="12">
        <v>16997.400000000001</v>
      </c>
      <c r="H1314" s="12">
        <f t="shared" si="100"/>
        <v>0</v>
      </c>
      <c r="I1314" s="10">
        <f t="shared" si="101"/>
        <v>0</v>
      </c>
      <c r="J1314" s="10" t="str">
        <f t="shared" ca="1" si="102"/>
        <v>Paid</v>
      </c>
      <c r="K1314" s="10">
        <f t="shared" ca="1" si="103"/>
        <v>0</v>
      </c>
      <c r="L1314" s="10" t="str">
        <f t="shared" si="104"/>
        <v>Paid</v>
      </c>
      <c r="M1314" s="11">
        <v>45870</v>
      </c>
      <c r="N1314" s="11">
        <v>45901</v>
      </c>
    </row>
    <row r="1315" spans="1:14" x14ac:dyDescent="0.25">
      <c r="A1315" s="13" t="s">
        <v>1442</v>
      </c>
      <c r="B1315" s="13" t="s">
        <v>111</v>
      </c>
      <c r="C1315" s="14">
        <v>45878</v>
      </c>
      <c r="D1315" s="14">
        <v>45908</v>
      </c>
      <c r="E1315" s="14"/>
      <c r="F1315" s="15">
        <v>15393.94</v>
      </c>
      <c r="G1315" s="15">
        <v>0</v>
      </c>
      <c r="H1315" s="15">
        <f t="shared" si="100"/>
        <v>15393.94</v>
      </c>
      <c r="I1315" s="13" t="str">
        <f t="shared" si="101"/>
        <v/>
      </c>
      <c r="J1315" s="13" t="str">
        <f t="shared" ca="1" si="102"/>
        <v>Overdue</v>
      </c>
      <c r="K1315" s="13">
        <f t="shared" ca="1" si="103"/>
        <v>348</v>
      </c>
      <c r="L1315" s="13" t="str">
        <f t="shared" ca="1" si="104"/>
        <v>120+ Days</v>
      </c>
      <c r="M1315" s="14">
        <v>45870</v>
      </c>
      <c r="N1315" s="14"/>
    </row>
    <row r="1316" spans="1:14" x14ac:dyDescent="0.25">
      <c r="A1316" s="10" t="s">
        <v>1443</v>
      </c>
      <c r="B1316" s="10" t="s">
        <v>119</v>
      </c>
      <c r="C1316" s="11">
        <v>45883</v>
      </c>
      <c r="D1316" s="11">
        <v>45913</v>
      </c>
      <c r="E1316" s="11">
        <v>45913</v>
      </c>
      <c r="F1316" s="12">
        <v>24261.24</v>
      </c>
      <c r="G1316" s="12">
        <v>24261.24</v>
      </c>
      <c r="H1316" s="12">
        <f t="shared" si="100"/>
        <v>0</v>
      </c>
      <c r="I1316" s="10">
        <f t="shared" si="101"/>
        <v>0</v>
      </c>
      <c r="J1316" s="10" t="str">
        <f t="shared" ca="1" si="102"/>
        <v>Paid</v>
      </c>
      <c r="K1316" s="10">
        <f t="shared" ca="1" si="103"/>
        <v>0</v>
      </c>
      <c r="L1316" s="10" t="str">
        <f t="shared" si="104"/>
        <v>Paid</v>
      </c>
      <c r="M1316" s="11">
        <v>45870</v>
      </c>
      <c r="N1316" s="11">
        <v>45901</v>
      </c>
    </row>
    <row r="1317" spans="1:14" x14ac:dyDescent="0.25">
      <c r="A1317" s="13" t="s">
        <v>1444</v>
      </c>
      <c r="B1317" s="13" t="s">
        <v>314</v>
      </c>
      <c r="C1317" s="14">
        <v>45873</v>
      </c>
      <c r="D1317" s="14">
        <v>45903</v>
      </c>
      <c r="E1317" s="14"/>
      <c r="F1317" s="15">
        <v>11850.16</v>
      </c>
      <c r="G1317" s="15">
        <v>0</v>
      </c>
      <c r="H1317" s="15">
        <f t="shared" si="100"/>
        <v>11850.16</v>
      </c>
      <c r="I1317" s="13" t="str">
        <f t="shared" si="101"/>
        <v/>
      </c>
      <c r="J1317" s="13" t="str">
        <f t="shared" ca="1" si="102"/>
        <v>Overdue</v>
      </c>
      <c r="K1317" s="13">
        <f t="shared" ca="1" si="103"/>
        <v>353</v>
      </c>
      <c r="L1317" s="13" t="str">
        <f t="shared" ca="1" si="104"/>
        <v>120+ Days</v>
      </c>
      <c r="M1317" s="14">
        <v>45870</v>
      </c>
      <c r="N1317" s="14"/>
    </row>
    <row r="1318" spans="1:14" x14ac:dyDescent="0.25">
      <c r="A1318" s="10" t="s">
        <v>1445</v>
      </c>
      <c r="B1318" s="10" t="s">
        <v>278</v>
      </c>
      <c r="C1318" s="11">
        <v>45876</v>
      </c>
      <c r="D1318" s="11">
        <v>45906</v>
      </c>
      <c r="E1318" s="11"/>
      <c r="F1318" s="12">
        <v>21913.79</v>
      </c>
      <c r="G1318" s="12">
        <v>0</v>
      </c>
      <c r="H1318" s="12">
        <f t="shared" si="100"/>
        <v>21913.79</v>
      </c>
      <c r="I1318" s="10" t="str">
        <f t="shared" si="101"/>
        <v/>
      </c>
      <c r="J1318" s="10" t="str">
        <f t="shared" ca="1" si="102"/>
        <v>Overdue</v>
      </c>
      <c r="K1318" s="10">
        <f t="shared" ca="1" si="103"/>
        <v>350</v>
      </c>
      <c r="L1318" s="10" t="str">
        <f t="shared" ca="1" si="104"/>
        <v>120+ Days</v>
      </c>
      <c r="M1318" s="11">
        <v>45870</v>
      </c>
      <c r="N1318" s="11"/>
    </row>
    <row r="1319" spans="1:14" x14ac:dyDescent="0.25">
      <c r="A1319" s="13" t="s">
        <v>1446</v>
      </c>
      <c r="B1319" s="13" t="s">
        <v>89</v>
      </c>
      <c r="C1319" s="14">
        <v>45873</v>
      </c>
      <c r="D1319" s="14">
        <v>45903</v>
      </c>
      <c r="E1319" s="14"/>
      <c r="F1319" s="15">
        <v>38114.5</v>
      </c>
      <c r="G1319" s="15">
        <v>0</v>
      </c>
      <c r="H1319" s="15">
        <f t="shared" si="100"/>
        <v>38114.5</v>
      </c>
      <c r="I1319" s="13" t="str">
        <f t="shared" si="101"/>
        <v/>
      </c>
      <c r="J1319" s="13" t="str">
        <f t="shared" ca="1" si="102"/>
        <v>Overdue</v>
      </c>
      <c r="K1319" s="13">
        <f t="shared" ca="1" si="103"/>
        <v>353</v>
      </c>
      <c r="L1319" s="13" t="str">
        <f t="shared" ca="1" si="104"/>
        <v>120+ Days</v>
      </c>
      <c r="M1319" s="14">
        <v>45870</v>
      </c>
      <c r="N1319" s="14"/>
    </row>
    <row r="1320" spans="1:14" x14ac:dyDescent="0.25">
      <c r="A1320" s="10" t="s">
        <v>1447</v>
      </c>
      <c r="B1320" s="10" t="s">
        <v>131</v>
      </c>
      <c r="C1320" s="11">
        <v>45895</v>
      </c>
      <c r="D1320" s="11">
        <v>45925</v>
      </c>
      <c r="E1320" s="11">
        <v>45925</v>
      </c>
      <c r="F1320" s="12">
        <v>41420.15</v>
      </c>
      <c r="G1320" s="12">
        <v>41420.15</v>
      </c>
      <c r="H1320" s="12">
        <f t="shared" si="100"/>
        <v>0</v>
      </c>
      <c r="I1320" s="10">
        <f t="shared" si="101"/>
        <v>0</v>
      </c>
      <c r="J1320" s="10" t="str">
        <f t="shared" ca="1" si="102"/>
        <v>Paid</v>
      </c>
      <c r="K1320" s="10">
        <f t="shared" ca="1" si="103"/>
        <v>0</v>
      </c>
      <c r="L1320" s="10" t="str">
        <f t="shared" si="104"/>
        <v>Paid</v>
      </c>
      <c r="M1320" s="11">
        <v>45870</v>
      </c>
      <c r="N1320" s="11">
        <v>45901</v>
      </c>
    </row>
    <row r="1321" spans="1:14" x14ac:dyDescent="0.25">
      <c r="A1321" s="13" t="s">
        <v>1448</v>
      </c>
      <c r="B1321" s="13" t="s">
        <v>97</v>
      </c>
      <c r="C1321" s="14">
        <v>45871</v>
      </c>
      <c r="D1321" s="14">
        <v>45901</v>
      </c>
      <c r="E1321" s="14">
        <v>45903</v>
      </c>
      <c r="F1321" s="15">
        <v>38837.760000000002</v>
      </c>
      <c r="G1321" s="15">
        <v>38837.760000000002</v>
      </c>
      <c r="H1321" s="15">
        <f t="shared" si="100"/>
        <v>0</v>
      </c>
      <c r="I1321" s="13">
        <f t="shared" si="101"/>
        <v>2</v>
      </c>
      <c r="J1321" s="13" t="str">
        <f t="shared" ca="1" si="102"/>
        <v>Paid</v>
      </c>
      <c r="K1321" s="13">
        <f t="shared" ca="1" si="103"/>
        <v>0</v>
      </c>
      <c r="L1321" s="13" t="str">
        <f t="shared" si="104"/>
        <v>Paid</v>
      </c>
      <c r="M1321" s="14">
        <v>45870</v>
      </c>
      <c r="N1321" s="14">
        <v>45901</v>
      </c>
    </row>
    <row r="1322" spans="1:14" x14ac:dyDescent="0.25">
      <c r="A1322" s="10" t="s">
        <v>1449</v>
      </c>
      <c r="B1322" s="10" t="s">
        <v>101</v>
      </c>
      <c r="C1322" s="11">
        <v>45882</v>
      </c>
      <c r="D1322" s="11">
        <v>45912</v>
      </c>
      <c r="E1322" s="11">
        <v>45924</v>
      </c>
      <c r="F1322" s="12">
        <v>39738.57</v>
      </c>
      <c r="G1322" s="12">
        <v>39738.57</v>
      </c>
      <c r="H1322" s="12">
        <f t="shared" si="100"/>
        <v>0</v>
      </c>
      <c r="I1322" s="10">
        <f t="shared" si="101"/>
        <v>12</v>
      </c>
      <c r="J1322" s="10" t="str">
        <f t="shared" ca="1" si="102"/>
        <v>Paid</v>
      </c>
      <c r="K1322" s="10">
        <f t="shared" ca="1" si="103"/>
        <v>0</v>
      </c>
      <c r="L1322" s="10" t="str">
        <f t="shared" si="104"/>
        <v>Paid</v>
      </c>
      <c r="M1322" s="11">
        <v>45870</v>
      </c>
      <c r="N1322" s="11">
        <v>45901</v>
      </c>
    </row>
    <row r="1323" spans="1:14" x14ac:dyDescent="0.25">
      <c r="A1323" s="13" t="s">
        <v>1450</v>
      </c>
      <c r="B1323" s="13" t="s">
        <v>117</v>
      </c>
      <c r="C1323" s="14">
        <v>45887</v>
      </c>
      <c r="D1323" s="14">
        <v>45917</v>
      </c>
      <c r="E1323" s="14"/>
      <c r="F1323" s="15">
        <v>59336.97</v>
      </c>
      <c r="G1323" s="15">
        <v>0</v>
      </c>
      <c r="H1323" s="15">
        <f t="shared" si="100"/>
        <v>59336.97</v>
      </c>
      <c r="I1323" s="13" t="str">
        <f t="shared" si="101"/>
        <v/>
      </c>
      <c r="J1323" s="13" t="str">
        <f t="shared" ca="1" si="102"/>
        <v>Overdue</v>
      </c>
      <c r="K1323" s="13">
        <f t="shared" ca="1" si="103"/>
        <v>339</v>
      </c>
      <c r="L1323" s="13" t="str">
        <f t="shared" ca="1" si="104"/>
        <v>120+ Days</v>
      </c>
      <c r="M1323" s="14">
        <v>45870</v>
      </c>
      <c r="N1323" s="14"/>
    </row>
    <row r="1324" spans="1:14" x14ac:dyDescent="0.25">
      <c r="A1324" s="10" t="s">
        <v>1451</v>
      </c>
      <c r="B1324" s="10" t="s">
        <v>271</v>
      </c>
      <c r="C1324" s="11">
        <v>45878</v>
      </c>
      <c r="D1324" s="11">
        <v>45908</v>
      </c>
      <c r="E1324" s="11"/>
      <c r="F1324" s="12">
        <v>32454.54</v>
      </c>
      <c r="G1324" s="12">
        <v>0</v>
      </c>
      <c r="H1324" s="12">
        <f t="shared" si="100"/>
        <v>32454.54</v>
      </c>
      <c r="I1324" s="10" t="str">
        <f t="shared" si="101"/>
        <v/>
      </c>
      <c r="J1324" s="10" t="str">
        <f t="shared" ca="1" si="102"/>
        <v>Overdue</v>
      </c>
      <c r="K1324" s="10">
        <f t="shared" ca="1" si="103"/>
        <v>348</v>
      </c>
      <c r="L1324" s="10" t="str">
        <f t="shared" ca="1" si="104"/>
        <v>120+ Days</v>
      </c>
      <c r="M1324" s="11">
        <v>45870</v>
      </c>
      <c r="N1324" s="11"/>
    </row>
    <row r="1325" spans="1:14" x14ac:dyDescent="0.25">
      <c r="A1325" s="13" t="s">
        <v>1452</v>
      </c>
      <c r="B1325" s="13" t="s">
        <v>171</v>
      </c>
      <c r="C1325" s="14">
        <v>45870</v>
      </c>
      <c r="D1325" s="14">
        <v>45900</v>
      </c>
      <c r="E1325" s="14">
        <v>45900</v>
      </c>
      <c r="F1325" s="15">
        <v>11902.37</v>
      </c>
      <c r="G1325" s="15">
        <v>11902.37</v>
      </c>
      <c r="H1325" s="15">
        <f t="shared" si="100"/>
        <v>0</v>
      </c>
      <c r="I1325" s="13">
        <f t="shared" si="101"/>
        <v>0</v>
      </c>
      <c r="J1325" s="13" t="str">
        <f t="shared" ca="1" si="102"/>
        <v>Paid</v>
      </c>
      <c r="K1325" s="13">
        <f t="shared" ca="1" si="103"/>
        <v>0</v>
      </c>
      <c r="L1325" s="13" t="str">
        <f t="shared" si="104"/>
        <v>Paid</v>
      </c>
      <c r="M1325" s="14">
        <v>45870</v>
      </c>
      <c r="N1325" s="14">
        <v>45870</v>
      </c>
    </row>
    <row r="1326" spans="1:14" x14ac:dyDescent="0.25">
      <c r="A1326" s="10" t="s">
        <v>1453</v>
      </c>
      <c r="B1326" s="10" t="s">
        <v>161</v>
      </c>
      <c r="C1326" s="11">
        <v>45890</v>
      </c>
      <c r="D1326" s="11">
        <v>45920</v>
      </c>
      <c r="E1326" s="11"/>
      <c r="F1326" s="12">
        <v>29348.87</v>
      </c>
      <c r="G1326" s="12">
        <v>0</v>
      </c>
      <c r="H1326" s="12">
        <f t="shared" si="100"/>
        <v>29348.87</v>
      </c>
      <c r="I1326" s="10" t="str">
        <f t="shared" si="101"/>
        <v/>
      </c>
      <c r="J1326" s="10" t="str">
        <f t="shared" ca="1" si="102"/>
        <v>Overdue</v>
      </c>
      <c r="K1326" s="10">
        <f t="shared" ca="1" si="103"/>
        <v>336</v>
      </c>
      <c r="L1326" s="10" t="str">
        <f t="shared" ca="1" si="104"/>
        <v>120+ Days</v>
      </c>
      <c r="M1326" s="11">
        <v>45870</v>
      </c>
      <c r="N1326" s="11"/>
    </row>
    <row r="1327" spans="1:14" x14ac:dyDescent="0.25">
      <c r="A1327" s="13" t="s">
        <v>1454</v>
      </c>
      <c r="B1327" s="13" t="s">
        <v>87</v>
      </c>
      <c r="C1327" s="14">
        <v>45873</v>
      </c>
      <c r="D1327" s="14">
        <v>45903</v>
      </c>
      <c r="E1327" s="14">
        <v>45928</v>
      </c>
      <c r="F1327" s="15">
        <v>109379.89</v>
      </c>
      <c r="G1327" s="15">
        <v>109379.89</v>
      </c>
      <c r="H1327" s="15">
        <f t="shared" si="100"/>
        <v>0</v>
      </c>
      <c r="I1327" s="13">
        <f t="shared" si="101"/>
        <v>25</v>
      </c>
      <c r="J1327" s="13" t="str">
        <f t="shared" ca="1" si="102"/>
        <v>Paid</v>
      </c>
      <c r="K1327" s="13">
        <f t="shared" ca="1" si="103"/>
        <v>0</v>
      </c>
      <c r="L1327" s="13" t="str">
        <f t="shared" si="104"/>
        <v>Paid</v>
      </c>
      <c r="M1327" s="14">
        <v>45870</v>
      </c>
      <c r="N1327" s="14">
        <v>45901</v>
      </c>
    </row>
    <row r="1328" spans="1:14" x14ac:dyDescent="0.25">
      <c r="A1328" s="10" t="s">
        <v>1455</v>
      </c>
      <c r="B1328" s="10" t="s">
        <v>81</v>
      </c>
      <c r="C1328" s="11">
        <v>45890</v>
      </c>
      <c r="D1328" s="11">
        <v>45920</v>
      </c>
      <c r="E1328" s="11">
        <v>45960</v>
      </c>
      <c r="F1328" s="12">
        <v>47977.16</v>
      </c>
      <c r="G1328" s="12">
        <v>47977.16</v>
      </c>
      <c r="H1328" s="12">
        <f t="shared" si="100"/>
        <v>0</v>
      </c>
      <c r="I1328" s="10">
        <f t="shared" si="101"/>
        <v>40</v>
      </c>
      <c r="J1328" s="10" t="str">
        <f t="shared" ca="1" si="102"/>
        <v>Paid</v>
      </c>
      <c r="K1328" s="10">
        <f t="shared" ca="1" si="103"/>
        <v>0</v>
      </c>
      <c r="L1328" s="10" t="str">
        <f t="shared" si="104"/>
        <v>Paid</v>
      </c>
      <c r="M1328" s="11">
        <v>45870</v>
      </c>
      <c r="N1328" s="11">
        <v>45931</v>
      </c>
    </row>
    <row r="1329" spans="1:14" x14ac:dyDescent="0.25">
      <c r="A1329" s="13" t="s">
        <v>1456</v>
      </c>
      <c r="B1329" s="13" t="s">
        <v>113</v>
      </c>
      <c r="C1329" s="14">
        <v>45890</v>
      </c>
      <c r="D1329" s="14">
        <v>45920</v>
      </c>
      <c r="E1329" s="14">
        <v>45920</v>
      </c>
      <c r="F1329" s="15">
        <v>26185.41</v>
      </c>
      <c r="G1329" s="15">
        <v>26185.41</v>
      </c>
      <c r="H1329" s="15">
        <f t="shared" si="100"/>
        <v>0</v>
      </c>
      <c r="I1329" s="13">
        <f t="shared" si="101"/>
        <v>0</v>
      </c>
      <c r="J1329" s="13" t="str">
        <f t="shared" ca="1" si="102"/>
        <v>Paid</v>
      </c>
      <c r="K1329" s="13">
        <f t="shared" ca="1" si="103"/>
        <v>0</v>
      </c>
      <c r="L1329" s="13" t="str">
        <f t="shared" si="104"/>
        <v>Paid</v>
      </c>
      <c r="M1329" s="14">
        <v>45870</v>
      </c>
      <c r="N1329" s="14">
        <v>45901</v>
      </c>
    </row>
    <row r="1330" spans="1:14" x14ac:dyDescent="0.25">
      <c r="A1330" s="10" t="s">
        <v>1457</v>
      </c>
      <c r="B1330" s="10" t="s">
        <v>115</v>
      </c>
      <c r="C1330" s="11">
        <v>45887</v>
      </c>
      <c r="D1330" s="11">
        <v>45917</v>
      </c>
      <c r="E1330" s="11"/>
      <c r="F1330" s="12">
        <v>33811.279999999999</v>
      </c>
      <c r="G1330" s="12">
        <v>0</v>
      </c>
      <c r="H1330" s="12">
        <f t="shared" si="100"/>
        <v>33811.279999999999</v>
      </c>
      <c r="I1330" s="10" t="str">
        <f t="shared" si="101"/>
        <v/>
      </c>
      <c r="J1330" s="10" t="str">
        <f t="shared" ca="1" si="102"/>
        <v>Overdue</v>
      </c>
      <c r="K1330" s="10">
        <f t="shared" ca="1" si="103"/>
        <v>339</v>
      </c>
      <c r="L1330" s="10" t="str">
        <f t="shared" ca="1" si="104"/>
        <v>120+ Days</v>
      </c>
      <c r="M1330" s="11">
        <v>45870</v>
      </c>
      <c r="N1330" s="11"/>
    </row>
    <row r="1331" spans="1:14" x14ac:dyDescent="0.25">
      <c r="A1331" s="13" t="s">
        <v>1458</v>
      </c>
      <c r="B1331" s="13" t="s">
        <v>129</v>
      </c>
      <c r="C1331" s="14">
        <v>45870</v>
      </c>
      <c r="D1331" s="14">
        <v>45900</v>
      </c>
      <c r="E1331" s="14">
        <v>45900</v>
      </c>
      <c r="F1331" s="15">
        <v>78245.17</v>
      </c>
      <c r="G1331" s="15">
        <v>78245.17</v>
      </c>
      <c r="H1331" s="15">
        <f t="shared" si="100"/>
        <v>0</v>
      </c>
      <c r="I1331" s="13">
        <f t="shared" si="101"/>
        <v>0</v>
      </c>
      <c r="J1331" s="13" t="str">
        <f t="shared" ca="1" si="102"/>
        <v>Paid</v>
      </c>
      <c r="K1331" s="13">
        <f t="shared" ca="1" si="103"/>
        <v>0</v>
      </c>
      <c r="L1331" s="13" t="str">
        <f t="shared" si="104"/>
        <v>Paid</v>
      </c>
      <c r="M1331" s="14">
        <v>45870</v>
      </c>
      <c r="N1331" s="14">
        <v>45870</v>
      </c>
    </row>
    <row r="1332" spans="1:14" x14ac:dyDescent="0.25">
      <c r="A1332" s="10" t="s">
        <v>1459</v>
      </c>
      <c r="B1332" s="10" t="s">
        <v>230</v>
      </c>
      <c r="C1332" s="11">
        <v>45893</v>
      </c>
      <c r="D1332" s="11">
        <v>45923</v>
      </c>
      <c r="E1332" s="11"/>
      <c r="F1332" s="12">
        <v>116623.39</v>
      </c>
      <c r="G1332" s="12">
        <v>0</v>
      </c>
      <c r="H1332" s="12">
        <f t="shared" si="100"/>
        <v>116623.39</v>
      </c>
      <c r="I1332" s="10" t="str">
        <f t="shared" si="101"/>
        <v/>
      </c>
      <c r="J1332" s="10" t="str">
        <f t="shared" ca="1" si="102"/>
        <v>Overdue</v>
      </c>
      <c r="K1332" s="10">
        <f t="shared" ca="1" si="103"/>
        <v>333</v>
      </c>
      <c r="L1332" s="10" t="str">
        <f t="shared" ca="1" si="104"/>
        <v>120+ Days</v>
      </c>
      <c r="M1332" s="11">
        <v>45870</v>
      </c>
      <c r="N1332" s="11"/>
    </row>
    <row r="1333" spans="1:14" x14ac:dyDescent="0.25">
      <c r="A1333" s="13" t="s">
        <v>1460</v>
      </c>
      <c r="B1333" s="13" t="s">
        <v>136</v>
      </c>
      <c r="C1333" s="14">
        <v>45876</v>
      </c>
      <c r="D1333" s="14">
        <v>45906</v>
      </c>
      <c r="E1333" s="14">
        <v>45933</v>
      </c>
      <c r="F1333" s="15">
        <v>49706.51</v>
      </c>
      <c r="G1333" s="15">
        <v>49706.51</v>
      </c>
      <c r="H1333" s="15">
        <f t="shared" si="100"/>
        <v>0</v>
      </c>
      <c r="I1333" s="13">
        <f t="shared" si="101"/>
        <v>27</v>
      </c>
      <c r="J1333" s="13" t="str">
        <f t="shared" ca="1" si="102"/>
        <v>Paid</v>
      </c>
      <c r="K1333" s="13">
        <f t="shared" ca="1" si="103"/>
        <v>0</v>
      </c>
      <c r="L1333" s="13" t="str">
        <f t="shared" si="104"/>
        <v>Paid</v>
      </c>
      <c r="M1333" s="14">
        <v>45870</v>
      </c>
      <c r="N1333" s="14">
        <v>45931</v>
      </c>
    </row>
    <row r="1334" spans="1:14" x14ac:dyDescent="0.25">
      <c r="A1334" s="10" t="s">
        <v>1461</v>
      </c>
      <c r="B1334" s="10" t="s">
        <v>265</v>
      </c>
      <c r="C1334" s="11">
        <v>45886</v>
      </c>
      <c r="D1334" s="11">
        <v>45916</v>
      </c>
      <c r="E1334" s="11">
        <v>45971</v>
      </c>
      <c r="F1334" s="12">
        <v>33222.519999999997</v>
      </c>
      <c r="G1334" s="12">
        <v>21183.8</v>
      </c>
      <c r="H1334" s="12">
        <f t="shared" si="100"/>
        <v>12038.719999999998</v>
      </c>
      <c r="I1334" s="10">
        <f t="shared" si="101"/>
        <v>55</v>
      </c>
      <c r="J1334" s="10" t="str">
        <f t="shared" ca="1" si="102"/>
        <v>Overdue</v>
      </c>
      <c r="K1334" s="10">
        <f t="shared" ca="1" si="103"/>
        <v>340</v>
      </c>
      <c r="L1334" s="10" t="str">
        <f t="shared" ca="1" si="104"/>
        <v>120+ Days</v>
      </c>
      <c r="M1334" s="11">
        <v>45870</v>
      </c>
      <c r="N1334" s="11">
        <v>45962</v>
      </c>
    </row>
    <row r="1335" spans="1:14" x14ac:dyDescent="0.25">
      <c r="A1335" s="13" t="s">
        <v>1462</v>
      </c>
      <c r="B1335" s="13" t="s">
        <v>109</v>
      </c>
      <c r="C1335" s="14">
        <v>45871</v>
      </c>
      <c r="D1335" s="14">
        <v>45901</v>
      </c>
      <c r="E1335" s="14">
        <v>45915</v>
      </c>
      <c r="F1335" s="15">
        <v>22677.200000000001</v>
      </c>
      <c r="G1335" s="15">
        <v>22677.200000000001</v>
      </c>
      <c r="H1335" s="15">
        <f t="shared" si="100"/>
        <v>0</v>
      </c>
      <c r="I1335" s="13">
        <f t="shared" si="101"/>
        <v>14</v>
      </c>
      <c r="J1335" s="13" t="str">
        <f t="shared" ca="1" si="102"/>
        <v>Paid</v>
      </c>
      <c r="K1335" s="13">
        <f t="shared" ca="1" si="103"/>
        <v>0</v>
      </c>
      <c r="L1335" s="13" t="str">
        <f t="shared" si="104"/>
        <v>Paid</v>
      </c>
      <c r="M1335" s="14">
        <v>45870</v>
      </c>
      <c r="N1335" s="14">
        <v>45901</v>
      </c>
    </row>
    <row r="1336" spans="1:14" x14ac:dyDescent="0.25">
      <c r="A1336" s="10" t="s">
        <v>1463</v>
      </c>
      <c r="B1336" s="10" t="s">
        <v>138</v>
      </c>
      <c r="C1336" s="11">
        <v>45881</v>
      </c>
      <c r="D1336" s="11">
        <v>45911</v>
      </c>
      <c r="E1336" s="11">
        <v>45918</v>
      </c>
      <c r="F1336" s="12">
        <v>67730.740000000005</v>
      </c>
      <c r="G1336" s="12">
        <v>67730.740000000005</v>
      </c>
      <c r="H1336" s="12">
        <f t="shared" si="100"/>
        <v>0</v>
      </c>
      <c r="I1336" s="10">
        <f t="shared" si="101"/>
        <v>7</v>
      </c>
      <c r="J1336" s="10" t="str">
        <f t="shared" ca="1" si="102"/>
        <v>Paid</v>
      </c>
      <c r="K1336" s="10">
        <f t="shared" ca="1" si="103"/>
        <v>0</v>
      </c>
      <c r="L1336" s="10" t="str">
        <f t="shared" si="104"/>
        <v>Paid</v>
      </c>
      <c r="M1336" s="11">
        <v>45870</v>
      </c>
      <c r="N1336" s="11">
        <v>45901</v>
      </c>
    </row>
    <row r="1337" spans="1:14" x14ac:dyDescent="0.25">
      <c r="A1337" s="13" t="s">
        <v>1464</v>
      </c>
      <c r="B1337" s="13" t="s">
        <v>81</v>
      </c>
      <c r="C1337" s="14">
        <v>45882</v>
      </c>
      <c r="D1337" s="14">
        <v>45912</v>
      </c>
      <c r="E1337" s="14">
        <v>45934</v>
      </c>
      <c r="F1337" s="15">
        <v>24364.95</v>
      </c>
      <c r="G1337" s="15">
        <v>24364.95</v>
      </c>
      <c r="H1337" s="15">
        <f t="shared" si="100"/>
        <v>0</v>
      </c>
      <c r="I1337" s="13">
        <f t="shared" si="101"/>
        <v>22</v>
      </c>
      <c r="J1337" s="13" t="str">
        <f t="shared" ca="1" si="102"/>
        <v>Paid</v>
      </c>
      <c r="K1337" s="13">
        <f t="shared" ca="1" si="103"/>
        <v>0</v>
      </c>
      <c r="L1337" s="13" t="str">
        <f t="shared" si="104"/>
        <v>Paid</v>
      </c>
      <c r="M1337" s="14">
        <v>45870</v>
      </c>
      <c r="N1337" s="14">
        <v>45931</v>
      </c>
    </row>
    <row r="1338" spans="1:14" x14ac:dyDescent="0.25">
      <c r="A1338" s="10" t="s">
        <v>1465</v>
      </c>
      <c r="B1338" s="10" t="s">
        <v>159</v>
      </c>
      <c r="C1338" s="11">
        <v>45870</v>
      </c>
      <c r="D1338" s="11">
        <v>45900</v>
      </c>
      <c r="E1338" s="11">
        <v>45961</v>
      </c>
      <c r="F1338" s="12">
        <v>53360.94</v>
      </c>
      <c r="G1338" s="12">
        <v>53360.94</v>
      </c>
      <c r="H1338" s="12">
        <f t="shared" si="100"/>
        <v>0</v>
      </c>
      <c r="I1338" s="10">
        <f t="shared" si="101"/>
        <v>61</v>
      </c>
      <c r="J1338" s="10" t="str">
        <f t="shared" ca="1" si="102"/>
        <v>Paid</v>
      </c>
      <c r="K1338" s="10">
        <f t="shared" ca="1" si="103"/>
        <v>0</v>
      </c>
      <c r="L1338" s="10" t="str">
        <f t="shared" si="104"/>
        <v>Paid</v>
      </c>
      <c r="M1338" s="11">
        <v>45870</v>
      </c>
      <c r="N1338" s="11">
        <v>45931</v>
      </c>
    </row>
    <row r="1339" spans="1:14" x14ac:dyDescent="0.25">
      <c r="A1339" s="13" t="s">
        <v>1466</v>
      </c>
      <c r="B1339" s="13" t="s">
        <v>83</v>
      </c>
      <c r="C1339" s="14">
        <v>45894</v>
      </c>
      <c r="D1339" s="14">
        <v>45924</v>
      </c>
      <c r="E1339" s="14">
        <v>45955</v>
      </c>
      <c r="F1339" s="15">
        <v>38400.14</v>
      </c>
      <c r="G1339" s="15">
        <v>38400.14</v>
      </c>
      <c r="H1339" s="15">
        <f t="shared" si="100"/>
        <v>0</v>
      </c>
      <c r="I1339" s="13">
        <f t="shared" si="101"/>
        <v>31</v>
      </c>
      <c r="J1339" s="13" t="str">
        <f t="shared" ca="1" si="102"/>
        <v>Paid</v>
      </c>
      <c r="K1339" s="13">
        <f t="shared" ca="1" si="103"/>
        <v>0</v>
      </c>
      <c r="L1339" s="13" t="str">
        <f t="shared" si="104"/>
        <v>Paid</v>
      </c>
      <c r="M1339" s="14">
        <v>45870</v>
      </c>
      <c r="N1339" s="14">
        <v>45931</v>
      </c>
    </row>
    <row r="1340" spans="1:14" x14ac:dyDescent="0.25">
      <c r="A1340" s="10" t="s">
        <v>1467</v>
      </c>
      <c r="B1340" s="10" t="s">
        <v>111</v>
      </c>
      <c r="C1340" s="11">
        <v>45889</v>
      </c>
      <c r="D1340" s="11">
        <v>45919</v>
      </c>
      <c r="E1340" s="11">
        <v>45919</v>
      </c>
      <c r="F1340" s="12">
        <v>59386.54</v>
      </c>
      <c r="G1340" s="12">
        <v>59386.54</v>
      </c>
      <c r="H1340" s="12">
        <f t="shared" si="100"/>
        <v>0</v>
      </c>
      <c r="I1340" s="10">
        <f t="shared" si="101"/>
        <v>0</v>
      </c>
      <c r="J1340" s="10" t="str">
        <f t="shared" ca="1" si="102"/>
        <v>Paid</v>
      </c>
      <c r="K1340" s="10">
        <f t="shared" ca="1" si="103"/>
        <v>0</v>
      </c>
      <c r="L1340" s="10" t="str">
        <f t="shared" si="104"/>
        <v>Paid</v>
      </c>
      <c r="M1340" s="11">
        <v>45870</v>
      </c>
      <c r="N1340" s="11">
        <v>45901</v>
      </c>
    </row>
    <row r="1341" spans="1:14" x14ac:dyDescent="0.25">
      <c r="A1341" s="13" t="s">
        <v>1468</v>
      </c>
      <c r="B1341" s="13" t="s">
        <v>81</v>
      </c>
      <c r="C1341" s="14">
        <v>45881</v>
      </c>
      <c r="D1341" s="14">
        <v>45911</v>
      </c>
      <c r="E1341" s="14">
        <v>45917</v>
      </c>
      <c r="F1341" s="15">
        <v>54704.02</v>
      </c>
      <c r="G1341" s="15">
        <v>54704.02</v>
      </c>
      <c r="H1341" s="15">
        <f t="shared" si="100"/>
        <v>0</v>
      </c>
      <c r="I1341" s="13">
        <f t="shared" si="101"/>
        <v>6</v>
      </c>
      <c r="J1341" s="13" t="str">
        <f t="shared" ca="1" si="102"/>
        <v>Paid</v>
      </c>
      <c r="K1341" s="13">
        <f t="shared" ca="1" si="103"/>
        <v>0</v>
      </c>
      <c r="L1341" s="13" t="str">
        <f t="shared" si="104"/>
        <v>Paid</v>
      </c>
      <c r="M1341" s="14">
        <v>45870</v>
      </c>
      <c r="N1341" s="14">
        <v>45901</v>
      </c>
    </row>
    <row r="1342" spans="1:14" x14ac:dyDescent="0.25">
      <c r="A1342" s="10" t="s">
        <v>1469</v>
      </c>
      <c r="B1342" s="10" t="s">
        <v>220</v>
      </c>
      <c r="C1342" s="11">
        <v>45893</v>
      </c>
      <c r="D1342" s="11">
        <v>45923</v>
      </c>
      <c r="E1342" s="11">
        <v>45973</v>
      </c>
      <c r="F1342" s="12">
        <v>36475.89</v>
      </c>
      <c r="G1342" s="12">
        <v>36475.89</v>
      </c>
      <c r="H1342" s="12">
        <f t="shared" si="100"/>
        <v>0</v>
      </c>
      <c r="I1342" s="10">
        <f t="shared" si="101"/>
        <v>50</v>
      </c>
      <c r="J1342" s="10" t="str">
        <f t="shared" ca="1" si="102"/>
        <v>Paid</v>
      </c>
      <c r="K1342" s="10">
        <f t="shared" ca="1" si="103"/>
        <v>0</v>
      </c>
      <c r="L1342" s="10" t="str">
        <f t="shared" si="104"/>
        <v>Paid</v>
      </c>
      <c r="M1342" s="11">
        <v>45870</v>
      </c>
      <c r="N1342" s="11">
        <v>45962</v>
      </c>
    </row>
    <row r="1343" spans="1:14" x14ac:dyDescent="0.25">
      <c r="A1343" s="13" t="s">
        <v>1470</v>
      </c>
      <c r="B1343" s="13" t="s">
        <v>146</v>
      </c>
      <c r="C1343" s="14">
        <v>45887</v>
      </c>
      <c r="D1343" s="14">
        <v>45917</v>
      </c>
      <c r="E1343" s="14">
        <v>45927</v>
      </c>
      <c r="F1343" s="15">
        <v>49707.519999999997</v>
      </c>
      <c r="G1343" s="15">
        <v>49707.519999999997</v>
      </c>
      <c r="H1343" s="15">
        <f t="shared" si="100"/>
        <v>0</v>
      </c>
      <c r="I1343" s="13">
        <f t="shared" si="101"/>
        <v>10</v>
      </c>
      <c r="J1343" s="13" t="str">
        <f t="shared" ca="1" si="102"/>
        <v>Paid</v>
      </c>
      <c r="K1343" s="13">
        <f t="shared" ca="1" si="103"/>
        <v>0</v>
      </c>
      <c r="L1343" s="13" t="str">
        <f t="shared" si="104"/>
        <v>Paid</v>
      </c>
      <c r="M1343" s="14">
        <v>45870</v>
      </c>
      <c r="N1343" s="14">
        <v>45901</v>
      </c>
    </row>
    <row r="1344" spans="1:14" x14ac:dyDescent="0.25">
      <c r="A1344" s="10" t="s">
        <v>1471</v>
      </c>
      <c r="B1344" s="10" t="s">
        <v>224</v>
      </c>
      <c r="C1344" s="11">
        <v>45880</v>
      </c>
      <c r="D1344" s="11">
        <v>45910</v>
      </c>
      <c r="E1344" s="11">
        <v>45917</v>
      </c>
      <c r="F1344" s="12">
        <v>22808.1</v>
      </c>
      <c r="G1344" s="12">
        <v>22808.1</v>
      </c>
      <c r="H1344" s="12">
        <f t="shared" si="100"/>
        <v>0</v>
      </c>
      <c r="I1344" s="10">
        <f t="shared" si="101"/>
        <v>7</v>
      </c>
      <c r="J1344" s="10" t="str">
        <f t="shared" ca="1" si="102"/>
        <v>Paid</v>
      </c>
      <c r="K1344" s="10">
        <f t="shared" ca="1" si="103"/>
        <v>0</v>
      </c>
      <c r="L1344" s="10" t="str">
        <f t="shared" si="104"/>
        <v>Paid</v>
      </c>
      <c r="M1344" s="11">
        <v>45870</v>
      </c>
      <c r="N1344" s="11">
        <v>45901</v>
      </c>
    </row>
    <row r="1345" spans="1:14" x14ac:dyDescent="0.25">
      <c r="A1345" s="13" t="s">
        <v>1472</v>
      </c>
      <c r="B1345" s="13" t="s">
        <v>107</v>
      </c>
      <c r="C1345" s="14">
        <v>45876</v>
      </c>
      <c r="D1345" s="14">
        <v>45906</v>
      </c>
      <c r="E1345" s="14">
        <v>45908</v>
      </c>
      <c r="F1345" s="15">
        <v>17999.29</v>
      </c>
      <c r="G1345" s="15">
        <v>17999.29</v>
      </c>
      <c r="H1345" s="15">
        <f t="shared" si="100"/>
        <v>0</v>
      </c>
      <c r="I1345" s="13">
        <f t="shared" si="101"/>
        <v>2</v>
      </c>
      <c r="J1345" s="13" t="str">
        <f t="shared" ca="1" si="102"/>
        <v>Paid</v>
      </c>
      <c r="K1345" s="13">
        <f t="shared" ca="1" si="103"/>
        <v>0</v>
      </c>
      <c r="L1345" s="13" t="str">
        <f t="shared" si="104"/>
        <v>Paid</v>
      </c>
      <c r="M1345" s="14">
        <v>45870</v>
      </c>
      <c r="N1345" s="14">
        <v>45901</v>
      </c>
    </row>
    <row r="1346" spans="1:14" x14ac:dyDescent="0.25">
      <c r="A1346" s="10" t="s">
        <v>1473</v>
      </c>
      <c r="B1346" s="10" t="s">
        <v>224</v>
      </c>
      <c r="C1346" s="11">
        <v>45884</v>
      </c>
      <c r="D1346" s="11">
        <v>45914</v>
      </c>
      <c r="E1346" s="11">
        <v>45928</v>
      </c>
      <c r="F1346" s="12">
        <v>49204.61</v>
      </c>
      <c r="G1346" s="12">
        <v>49204.61</v>
      </c>
      <c r="H1346" s="12">
        <f t="shared" ref="H1346:H1409" si="105">MAX(0,F1346-G1346)</f>
        <v>0</v>
      </c>
      <c r="I1346" s="10">
        <f t="shared" ref="I1346:I1409" si="106">IF(E1346="","",MAX(0,E1346-D1346))</f>
        <v>14</v>
      </c>
      <c r="J1346" s="10" t="str">
        <f t="shared" ref="J1346:J1409" ca="1" si="107">IF(H1346=0,"Paid",IF(D1346&lt;TODAY(),"Overdue","Open"))</f>
        <v>Paid</v>
      </c>
      <c r="K1346" s="10">
        <f t="shared" ref="K1346:K1409" ca="1" si="108">IF(H1346=0,0,MAX(0,TODAY()-D1346))</f>
        <v>0</v>
      </c>
      <c r="L1346" s="10" t="str">
        <f t="shared" ref="L1346:L1409" si="109">IF(H1346=0,"Paid",IF(K1346&lt;=30,"0-30 Days",IF(K1346&lt;=60,"31-60 Days",IF(K1346&lt;=90,"61-90 Days",IF(K1346&lt;=120,"91-120 Days","120+ Days")))))</f>
        <v>Paid</v>
      </c>
      <c r="M1346" s="11">
        <v>45870</v>
      </c>
      <c r="N1346" s="11">
        <v>45901</v>
      </c>
    </row>
    <row r="1347" spans="1:14" x14ac:dyDescent="0.25">
      <c r="A1347" s="13" t="s">
        <v>1474</v>
      </c>
      <c r="B1347" s="13" t="s">
        <v>81</v>
      </c>
      <c r="C1347" s="14">
        <v>45875</v>
      </c>
      <c r="D1347" s="14">
        <v>45905</v>
      </c>
      <c r="E1347" s="14">
        <v>45925</v>
      </c>
      <c r="F1347" s="15">
        <v>34539.42</v>
      </c>
      <c r="G1347" s="15">
        <v>34539.42</v>
      </c>
      <c r="H1347" s="15">
        <f t="shared" si="105"/>
        <v>0</v>
      </c>
      <c r="I1347" s="13">
        <f t="shared" si="106"/>
        <v>20</v>
      </c>
      <c r="J1347" s="13" t="str">
        <f t="shared" ca="1" si="107"/>
        <v>Paid</v>
      </c>
      <c r="K1347" s="13">
        <f t="shared" ca="1" si="108"/>
        <v>0</v>
      </c>
      <c r="L1347" s="13" t="str">
        <f t="shared" si="109"/>
        <v>Paid</v>
      </c>
      <c r="M1347" s="14">
        <v>45870</v>
      </c>
      <c r="N1347" s="14">
        <v>45901</v>
      </c>
    </row>
    <row r="1348" spans="1:14" x14ac:dyDescent="0.25">
      <c r="A1348" s="10" t="s">
        <v>1475</v>
      </c>
      <c r="B1348" s="10" t="s">
        <v>123</v>
      </c>
      <c r="C1348" s="11">
        <v>45889</v>
      </c>
      <c r="D1348" s="11">
        <v>45919</v>
      </c>
      <c r="E1348" s="11"/>
      <c r="F1348" s="12">
        <v>15138.66</v>
      </c>
      <c r="G1348" s="12">
        <v>0</v>
      </c>
      <c r="H1348" s="12">
        <f t="shared" si="105"/>
        <v>15138.66</v>
      </c>
      <c r="I1348" s="10" t="str">
        <f t="shared" si="106"/>
        <v/>
      </c>
      <c r="J1348" s="10" t="str">
        <f t="shared" ca="1" si="107"/>
        <v>Overdue</v>
      </c>
      <c r="K1348" s="10">
        <f t="shared" ca="1" si="108"/>
        <v>337</v>
      </c>
      <c r="L1348" s="10" t="str">
        <f t="shared" ca="1" si="109"/>
        <v>120+ Days</v>
      </c>
      <c r="M1348" s="11">
        <v>45870</v>
      </c>
      <c r="N1348" s="11"/>
    </row>
    <row r="1349" spans="1:14" x14ac:dyDescent="0.25">
      <c r="A1349" s="13" t="s">
        <v>1476</v>
      </c>
      <c r="B1349" s="13" t="s">
        <v>79</v>
      </c>
      <c r="C1349" s="14">
        <v>45878</v>
      </c>
      <c r="D1349" s="14">
        <v>45908</v>
      </c>
      <c r="E1349" s="14"/>
      <c r="F1349" s="15">
        <v>91298.87</v>
      </c>
      <c r="G1349" s="15">
        <v>0</v>
      </c>
      <c r="H1349" s="15">
        <f t="shared" si="105"/>
        <v>91298.87</v>
      </c>
      <c r="I1349" s="13" t="str">
        <f t="shared" si="106"/>
        <v/>
      </c>
      <c r="J1349" s="13" t="str">
        <f t="shared" ca="1" si="107"/>
        <v>Overdue</v>
      </c>
      <c r="K1349" s="13">
        <f t="shared" ca="1" si="108"/>
        <v>348</v>
      </c>
      <c r="L1349" s="13" t="str">
        <f t="shared" ca="1" si="109"/>
        <v>120+ Days</v>
      </c>
      <c r="M1349" s="14">
        <v>45870</v>
      </c>
      <c r="N1349" s="14"/>
    </row>
    <row r="1350" spans="1:14" x14ac:dyDescent="0.25">
      <c r="A1350" s="10" t="s">
        <v>1477</v>
      </c>
      <c r="B1350" s="10" t="s">
        <v>161</v>
      </c>
      <c r="C1350" s="11">
        <v>45887</v>
      </c>
      <c r="D1350" s="11">
        <v>45917</v>
      </c>
      <c r="E1350" s="11">
        <v>45922</v>
      </c>
      <c r="F1350" s="12">
        <v>18634.89</v>
      </c>
      <c r="G1350" s="12">
        <v>18634.89</v>
      </c>
      <c r="H1350" s="12">
        <f t="shared" si="105"/>
        <v>0</v>
      </c>
      <c r="I1350" s="10">
        <f t="shared" si="106"/>
        <v>5</v>
      </c>
      <c r="J1350" s="10" t="str">
        <f t="shared" ca="1" si="107"/>
        <v>Paid</v>
      </c>
      <c r="K1350" s="10">
        <f t="shared" ca="1" si="108"/>
        <v>0</v>
      </c>
      <c r="L1350" s="10" t="str">
        <f t="shared" si="109"/>
        <v>Paid</v>
      </c>
      <c r="M1350" s="11">
        <v>45870</v>
      </c>
      <c r="N1350" s="11">
        <v>45901</v>
      </c>
    </row>
    <row r="1351" spans="1:14" x14ac:dyDescent="0.25">
      <c r="A1351" s="13" t="s">
        <v>1478</v>
      </c>
      <c r="B1351" s="13" t="s">
        <v>117</v>
      </c>
      <c r="C1351" s="14">
        <v>45893</v>
      </c>
      <c r="D1351" s="14">
        <v>45923</v>
      </c>
      <c r="E1351" s="14">
        <v>45960</v>
      </c>
      <c r="F1351" s="15">
        <v>39169.15</v>
      </c>
      <c r="G1351" s="15">
        <v>39169.15</v>
      </c>
      <c r="H1351" s="15">
        <f t="shared" si="105"/>
        <v>0</v>
      </c>
      <c r="I1351" s="13">
        <f t="shared" si="106"/>
        <v>37</v>
      </c>
      <c r="J1351" s="13" t="str">
        <f t="shared" ca="1" si="107"/>
        <v>Paid</v>
      </c>
      <c r="K1351" s="13">
        <f t="shared" ca="1" si="108"/>
        <v>0</v>
      </c>
      <c r="L1351" s="13" t="str">
        <f t="shared" si="109"/>
        <v>Paid</v>
      </c>
      <c r="M1351" s="14">
        <v>45870</v>
      </c>
      <c r="N1351" s="14">
        <v>45931</v>
      </c>
    </row>
    <row r="1352" spans="1:14" x14ac:dyDescent="0.25">
      <c r="A1352" s="10" t="s">
        <v>1479</v>
      </c>
      <c r="B1352" s="10" t="s">
        <v>188</v>
      </c>
      <c r="C1352" s="11">
        <v>45890</v>
      </c>
      <c r="D1352" s="11">
        <v>45920</v>
      </c>
      <c r="E1352" s="11"/>
      <c r="F1352" s="12">
        <v>26742.17</v>
      </c>
      <c r="G1352" s="12">
        <v>0</v>
      </c>
      <c r="H1352" s="12">
        <f t="shared" si="105"/>
        <v>26742.17</v>
      </c>
      <c r="I1352" s="10" t="str">
        <f t="shared" si="106"/>
        <v/>
      </c>
      <c r="J1352" s="10" t="str">
        <f t="shared" ca="1" si="107"/>
        <v>Overdue</v>
      </c>
      <c r="K1352" s="10">
        <f t="shared" ca="1" si="108"/>
        <v>336</v>
      </c>
      <c r="L1352" s="10" t="str">
        <f t="shared" ca="1" si="109"/>
        <v>120+ Days</v>
      </c>
      <c r="M1352" s="11">
        <v>45870</v>
      </c>
      <c r="N1352" s="11"/>
    </row>
    <row r="1353" spans="1:14" x14ac:dyDescent="0.25">
      <c r="A1353" s="13" t="s">
        <v>1480</v>
      </c>
      <c r="B1353" s="13" t="s">
        <v>230</v>
      </c>
      <c r="C1353" s="14">
        <v>45874</v>
      </c>
      <c r="D1353" s="14">
        <v>45904</v>
      </c>
      <c r="E1353" s="14"/>
      <c r="F1353" s="15">
        <v>27084.95</v>
      </c>
      <c r="G1353" s="15">
        <v>0</v>
      </c>
      <c r="H1353" s="15">
        <f t="shared" si="105"/>
        <v>27084.95</v>
      </c>
      <c r="I1353" s="13" t="str">
        <f t="shared" si="106"/>
        <v/>
      </c>
      <c r="J1353" s="13" t="str">
        <f t="shared" ca="1" si="107"/>
        <v>Overdue</v>
      </c>
      <c r="K1353" s="13">
        <f t="shared" ca="1" si="108"/>
        <v>352</v>
      </c>
      <c r="L1353" s="13" t="str">
        <f t="shared" ca="1" si="109"/>
        <v>120+ Days</v>
      </c>
      <c r="M1353" s="14">
        <v>45870</v>
      </c>
      <c r="N1353" s="14"/>
    </row>
    <row r="1354" spans="1:14" x14ac:dyDescent="0.25">
      <c r="A1354" s="10" t="s">
        <v>1481</v>
      </c>
      <c r="B1354" s="10" t="s">
        <v>244</v>
      </c>
      <c r="C1354" s="11">
        <v>45918</v>
      </c>
      <c r="D1354" s="11">
        <v>45948</v>
      </c>
      <c r="E1354" s="11">
        <v>46020</v>
      </c>
      <c r="F1354" s="12">
        <v>21490.26</v>
      </c>
      <c r="G1354" s="12">
        <v>21490.26</v>
      </c>
      <c r="H1354" s="12">
        <f t="shared" si="105"/>
        <v>0</v>
      </c>
      <c r="I1354" s="10">
        <f t="shared" si="106"/>
        <v>72</v>
      </c>
      <c r="J1354" s="10" t="str">
        <f t="shared" ca="1" si="107"/>
        <v>Paid</v>
      </c>
      <c r="K1354" s="10">
        <f t="shared" ca="1" si="108"/>
        <v>0</v>
      </c>
      <c r="L1354" s="10" t="str">
        <f t="shared" si="109"/>
        <v>Paid</v>
      </c>
      <c r="M1354" s="11">
        <v>45901</v>
      </c>
      <c r="N1354" s="11">
        <v>45992</v>
      </c>
    </row>
    <row r="1355" spans="1:14" x14ac:dyDescent="0.25">
      <c r="A1355" s="13" t="s">
        <v>1482</v>
      </c>
      <c r="B1355" s="13" t="s">
        <v>146</v>
      </c>
      <c r="C1355" s="14">
        <v>45903</v>
      </c>
      <c r="D1355" s="14">
        <v>45933</v>
      </c>
      <c r="E1355" s="14">
        <v>45954</v>
      </c>
      <c r="F1355" s="15">
        <v>52240.35</v>
      </c>
      <c r="G1355" s="15">
        <v>52240.35</v>
      </c>
      <c r="H1355" s="15">
        <f t="shared" si="105"/>
        <v>0</v>
      </c>
      <c r="I1355" s="13">
        <f t="shared" si="106"/>
        <v>21</v>
      </c>
      <c r="J1355" s="13" t="str">
        <f t="shared" ca="1" si="107"/>
        <v>Paid</v>
      </c>
      <c r="K1355" s="13">
        <f t="shared" ca="1" si="108"/>
        <v>0</v>
      </c>
      <c r="L1355" s="13" t="str">
        <f t="shared" si="109"/>
        <v>Paid</v>
      </c>
      <c r="M1355" s="14">
        <v>45901</v>
      </c>
      <c r="N1355" s="14">
        <v>45931</v>
      </c>
    </row>
    <row r="1356" spans="1:14" x14ac:dyDescent="0.25">
      <c r="A1356" s="10" t="s">
        <v>1483</v>
      </c>
      <c r="B1356" s="10" t="s">
        <v>91</v>
      </c>
      <c r="C1356" s="11">
        <v>45925</v>
      </c>
      <c r="D1356" s="11">
        <v>45955</v>
      </c>
      <c r="E1356" s="11"/>
      <c r="F1356" s="12">
        <v>39704.19</v>
      </c>
      <c r="G1356" s="12">
        <v>0</v>
      </c>
      <c r="H1356" s="12">
        <f t="shared" si="105"/>
        <v>39704.19</v>
      </c>
      <c r="I1356" s="10" t="str">
        <f t="shared" si="106"/>
        <v/>
      </c>
      <c r="J1356" s="10" t="str">
        <f t="shared" ca="1" si="107"/>
        <v>Overdue</v>
      </c>
      <c r="K1356" s="10">
        <f t="shared" ca="1" si="108"/>
        <v>301</v>
      </c>
      <c r="L1356" s="10" t="str">
        <f t="shared" ca="1" si="109"/>
        <v>120+ Days</v>
      </c>
      <c r="M1356" s="11">
        <v>45901</v>
      </c>
      <c r="N1356" s="11"/>
    </row>
    <row r="1357" spans="1:14" x14ac:dyDescent="0.25">
      <c r="A1357" s="13" t="s">
        <v>1484</v>
      </c>
      <c r="B1357" s="13" t="s">
        <v>134</v>
      </c>
      <c r="C1357" s="14">
        <v>45910</v>
      </c>
      <c r="D1357" s="14">
        <v>45940</v>
      </c>
      <c r="E1357" s="14">
        <v>45940</v>
      </c>
      <c r="F1357" s="15">
        <v>33833.370000000003</v>
      </c>
      <c r="G1357" s="15">
        <v>33833.370000000003</v>
      </c>
      <c r="H1357" s="15">
        <f t="shared" si="105"/>
        <v>0</v>
      </c>
      <c r="I1357" s="13">
        <f t="shared" si="106"/>
        <v>0</v>
      </c>
      <c r="J1357" s="13" t="str">
        <f t="shared" ca="1" si="107"/>
        <v>Paid</v>
      </c>
      <c r="K1357" s="13">
        <f t="shared" ca="1" si="108"/>
        <v>0</v>
      </c>
      <c r="L1357" s="13" t="str">
        <f t="shared" si="109"/>
        <v>Paid</v>
      </c>
      <c r="M1357" s="14">
        <v>45901</v>
      </c>
      <c r="N1357" s="14">
        <v>45931</v>
      </c>
    </row>
    <row r="1358" spans="1:14" x14ac:dyDescent="0.25">
      <c r="A1358" s="10" t="s">
        <v>1485</v>
      </c>
      <c r="B1358" s="10" t="s">
        <v>101</v>
      </c>
      <c r="C1358" s="11">
        <v>45902</v>
      </c>
      <c r="D1358" s="11">
        <v>45932</v>
      </c>
      <c r="E1358" s="11">
        <v>45935</v>
      </c>
      <c r="F1358" s="12">
        <v>22818.95</v>
      </c>
      <c r="G1358" s="12">
        <v>22818.95</v>
      </c>
      <c r="H1358" s="12">
        <f t="shared" si="105"/>
        <v>0</v>
      </c>
      <c r="I1358" s="10">
        <f t="shared" si="106"/>
        <v>3</v>
      </c>
      <c r="J1358" s="10" t="str">
        <f t="shared" ca="1" si="107"/>
        <v>Paid</v>
      </c>
      <c r="K1358" s="10">
        <f t="shared" ca="1" si="108"/>
        <v>0</v>
      </c>
      <c r="L1358" s="10" t="str">
        <f t="shared" si="109"/>
        <v>Paid</v>
      </c>
      <c r="M1358" s="11">
        <v>45901</v>
      </c>
      <c r="N1358" s="11">
        <v>45931</v>
      </c>
    </row>
    <row r="1359" spans="1:14" x14ac:dyDescent="0.25">
      <c r="A1359" s="13" t="s">
        <v>1486</v>
      </c>
      <c r="B1359" s="13" t="s">
        <v>87</v>
      </c>
      <c r="C1359" s="14">
        <v>45916</v>
      </c>
      <c r="D1359" s="14">
        <v>45946</v>
      </c>
      <c r="E1359" s="14">
        <v>45947</v>
      </c>
      <c r="F1359" s="15">
        <v>17012.169999999998</v>
      </c>
      <c r="G1359" s="15">
        <v>17012.169999999998</v>
      </c>
      <c r="H1359" s="15">
        <f t="shared" si="105"/>
        <v>0</v>
      </c>
      <c r="I1359" s="13">
        <f t="shared" si="106"/>
        <v>1</v>
      </c>
      <c r="J1359" s="13" t="str">
        <f t="shared" ca="1" si="107"/>
        <v>Paid</v>
      </c>
      <c r="K1359" s="13">
        <f t="shared" ca="1" si="108"/>
        <v>0</v>
      </c>
      <c r="L1359" s="13" t="str">
        <f t="shared" si="109"/>
        <v>Paid</v>
      </c>
      <c r="M1359" s="14">
        <v>45901</v>
      </c>
      <c r="N1359" s="14">
        <v>45931</v>
      </c>
    </row>
    <row r="1360" spans="1:14" x14ac:dyDescent="0.25">
      <c r="A1360" s="10" t="s">
        <v>1487</v>
      </c>
      <c r="B1360" s="10" t="s">
        <v>83</v>
      </c>
      <c r="C1360" s="11">
        <v>45921</v>
      </c>
      <c r="D1360" s="11">
        <v>45951</v>
      </c>
      <c r="E1360" s="11">
        <v>45969</v>
      </c>
      <c r="F1360" s="12">
        <v>18310.78</v>
      </c>
      <c r="G1360" s="12">
        <v>18310.78</v>
      </c>
      <c r="H1360" s="12">
        <f t="shared" si="105"/>
        <v>0</v>
      </c>
      <c r="I1360" s="10">
        <f t="shared" si="106"/>
        <v>18</v>
      </c>
      <c r="J1360" s="10" t="str">
        <f t="shared" ca="1" si="107"/>
        <v>Paid</v>
      </c>
      <c r="K1360" s="10">
        <f t="shared" ca="1" si="108"/>
        <v>0</v>
      </c>
      <c r="L1360" s="10" t="str">
        <f t="shared" si="109"/>
        <v>Paid</v>
      </c>
      <c r="M1360" s="11">
        <v>45901</v>
      </c>
      <c r="N1360" s="11">
        <v>45962</v>
      </c>
    </row>
    <row r="1361" spans="1:14" x14ac:dyDescent="0.25">
      <c r="A1361" s="13" t="s">
        <v>1488</v>
      </c>
      <c r="B1361" s="13" t="s">
        <v>119</v>
      </c>
      <c r="C1361" s="14">
        <v>45920</v>
      </c>
      <c r="D1361" s="14">
        <v>45950</v>
      </c>
      <c r="E1361" s="14">
        <v>45950</v>
      </c>
      <c r="F1361" s="15">
        <v>30020.48</v>
      </c>
      <c r="G1361" s="15">
        <v>30020.48</v>
      </c>
      <c r="H1361" s="15">
        <f t="shared" si="105"/>
        <v>0</v>
      </c>
      <c r="I1361" s="13">
        <f t="shared" si="106"/>
        <v>0</v>
      </c>
      <c r="J1361" s="13" t="str">
        <f t="shared" ca="1" si="107"/>
        <v>Paid</v>
      </c>
      <c r="K1361" s="13">
        <f t="shared" ca="1" si="108"/>
        <v>0</v>
      </c>
      <c r="L1361" s="13" t="str">
        <f t="shared" si="109"/>
        <v>Paid</v>
      </c>
      <c r="M1361" s="14">
        <v>45901</v>
      </c>
      <c r="N1361" s="14">
        <v>45931</v>
      </c>
    </row>
    <row r="1362" spans="1:14" x14ac:dyDescent="0.25">
      <c r="A1362" s="10" t="s">
        <v>1489</v>
      </c>
      <c r="B1362" s="10" t="s">
        <v>182</v>
      </c>
      <c r="C1362" s="11">
        <v>45918</v>
      </c>
      <c r="D1362" s="11">
        <v>45948</v>
      </c>
      <c r="E1362" s="11">
        <v>45968</v>
      </c>
      <c r="F1362" s="12">
        <v>24822.27</v>
      </c>
      <c r="G1362" s="12">
        <v>24822.27</v>
      </c>
      <c r="H1362" s="12">
        <f t="shared" si="105"/>
        <v>0</v>
      </c>
      <c r="I1362" s="10">
        <f t="shared" si="106"/>
        <v>20</v>
      </c>
      <c r="J1362" s="10" t="str">
        <f t="shared" ca="1" si="107"/>
        <v>Paid</v>
      </c>
      <c r="K1362" s="10">
        <f t="shared" ca="1" si="108"/>
        <v>0</v>
      </c>
      <c r="L1362" s="10" t="str">
        <f t="shared" si="109"/>
        <v>Paid</v>
      </c>
      <c r="M1362" s="11">
        <v>45901</v>
      </c>
      <c r="N1362" s="11">
        <v>45962</v>
      </c>
    </row>
    <row r="1363" spans="1:14" x14ac:dyDescent="0.25">
      <c r="A1363" s="13" t="s">
        <v>1490</v>
      </c>
      <c r="B1363" s="13" t="s">
        <v>265</v>
      </c>
      <c r="C1363" s="14">
        <v>45923</v>
      </c>
      <c r="D1363" s="14">
        <v>45953</v>
      </c>
      <c r="E1363" s="14">
        <v>45966</v>
      </c>
      <c r="F1363" s="15">
        <v>63519.65</v>
      </c>
      <c r="G1363" s="15">
        <v>26136.58</v>
      </c>
      <c r="H1363" s="15">
        <f t="shared" si="105"/>
        <v>37383.07</v>
      </c>
      <c r="I1363" s="13">
        <f t="shared" si="106"/>
        <v>13</v>
      </c>
      <c r="J1363" s="13" t="str">
        <f t="shared" ca="1" si="107"/>
        <v>Overdue</v>
      </c>
      <c r="K1363" s="13">
        <f t="shared" ca="1" si="108"/>
        <v>303</v>
      </c>
      <c r="L1363" s="13" t="str">
        <f t="shared" ca="1" si="109"/>
        <v>120+ Days</v>
      </c>
      <c r="M1363" s="14">
        <v>45901</v>
      </c>
      <c r="N1363" s="14">
        <v>45962</v>
      </c>
    </row>
    <row r="1364" spans="1:14" x14ac:dyDescent="0.25">
      <c r="A1364" s="10" t="s">
        <v>1491</v>
      </c>
      <c r="B1364" s="10" t="s">
        <v>233</v>
      </c>
      <c r="C1364" s="11">
        <v>45909</v>
      </c>
      <c r="D1364" s="11">
        <v>45939</v>
      </c>
      <c r="E1364" s="11">
        <v>45972</v>
      </c>
      <c r="F1364" s="12">
        <v>47364.78</v>
      </c>
      <c r="G1364" s="12">
        <v>47364.78</v>
      </c>
      <c r="H1364" s="12">
        <f t="shared" si="105"/>
        <v>0</v>
      </c>
      <c r="I1364" s="10">
        <f t="shared" si="106"/>
        <v>33</v>
      </c>
      <c r="J1364" s="10" t="str">
        <f t="shared" ca="1" si="107"/>
        <v>Paid</v>
      </c>
      <c r="K1364" s="10">
        <f t="shared" ca="1" si="108"/>
        <v>0</v>
      </c>
      <c r="L1364" s="10" t="str">
        <f t="shared" si="109"/>
        <v>Paid</v>
      </c>
      <c r="M1364" s="11">
        <v>45901</v>
      </c>
      <c r="N1364" s="11">
        <v>45962</v>
      </c>
    </row>
    <row r="1365" spans="1:14" x14ac:dyDescent="0.25">
      <c r="A1365" s="13" t="s">
        <v>1492</v>
      </c>
      <c r="B1365" s="13" t="s">
        <v>340</v>
      </c>
      <c r="C1365" s="14">
        <v>45912</v>
      </c>
      <c r="D1365" s="14">
        <v>45942</v>
      </c>
      <c r="E1365" s="14">
        <v>45965</v>
      </c>
      <c r="F1365" s="15">
        <v>32813</v>
      </c>
      <c r="G1365" s="15">
        <v>32813</v>
      </c>
      <c r="H1365" s="15">
        <f t="shared" si="105"/>
        <v>0</v>
      </c>
      <c r="I1365" s="13">
        <f t="shared" si="106"/>
        <v>23</v>
      </c>
      <c r="J1365" s="13" t="str">
        <f t="shared" ca="1" si="107"/>
        <v>Paid</v>
      </c>
      <c r="K1365" s="13">
        <f t="shared" ca="1" si="108"/>
        <v>0</v>
      </c>
      <c r="L1365" s="13" t="str">
        <f t="shared" si="109"/>
        <v>Paid</v>
      </c>
      <c r="M1365" s="14">
        <v>45901</v>
      </c>
      <c r="N1365" s="14">
        <v>45962</v>
      </c>
    </row>
    <row r="1366" spans="1:14" x14ac:dyDescent="0.25">
      <c r="A1366" s="10" t="s">
        <v>1493</v>
      </c>
      <c r="B1366" s="10" t="s">
        <v>119</v>
      </c>
      <c r="C1366" s="11">
        <v>45921</v>
      </c>
      <c r="D1366" s="11">
        <v>45951</v>
      </c>
      <c r="E1366" s="11">
        <v>45951</v>
      </c>
      <c r="F1366" s="12">
        <v>61533.18</v>
      </c>
      <c r="G1366" s="12">
        <v>61533.18</v>
      </c>
      <c r="H1366" s="12">
        <f t="shared" si="105"/>
        <v>0</v>
      </c>
      <c r="I1366" s="10">
        <f t="shared" si="106"/>
        <v>0</v>
      </c>
      <c r="J1366" s="10" t="str">
        <f t="shared" ca="1" si="107"/>
        <v>Paid</v>
      </c>
      <c r="K1366" s="10">
        <f t="shared" ca="1" si="108"/>
        <v>0</v>
      </c>
      <c r="L1366" s="10" t="str">
        <f t="shared" si="109"/>
        <v>Paid</v>
      </c>
      <c r="M1366" s="11">
        <v>45901</v>
      </c>
      <c r="N1366" s="11">
        <v>45931</v>
      </c>
    </row>
    <row r="1367" spans="1:14" x14ac:dyDescent="0.25">
      <c r="A1367" s="13" t="s">
        <v>1494</v>
      </c>
      <c r="B1367" s="13" t="s">
        <v>220</v>
      </c>
      <c r="C1367" s="14">
        <v>45918</v>
      </c>
      <c r="D1367" s="14">
        <v>45948</v>
      </c>
      <c r="E1367" s="14">
        <v>45962</v>
      </c>
      <c r="F1367" s="15">
        <v>27055.77</v>
      </c>
      <c r="G1367" s="15">
        <v>27055.77</v>
      </c>
      <c r="H1367" s="15">
        <f t="shared" si="105"/>
        <v>0</v>
      </c>
      <c r="I1367" s="13">
        <f t="shared" si="106"/>
        <v>14</v>
      </c>
      <c r="J1367" s="13" t="str">
        <f t="shared" ca="1" si="107"/>
        <v>Paid</v>
      </c>
      <c r="K1367" s="13">
        <f t="shared" ca="1" si="108"/>
        <v>0</v>
      </c>
      <c r="L1367" s="13" t="str">
        <f t="shared" si="109"/>
        <v>Paid</v>
      </c>
      <c r="M1367" s="14">
        <v>45901</v>
      </c>
      <c r="N1367" s="14">
        <v>45962</v>
      </c>
    </row>
    <row r="1368" spans="1:14" x14ac:dyDescent="0.25">
      <c r="A1368" s="10" t="s">
        <v>1495</v>
      </c>
      <c r="B1368" s="10" t="s">
        <v>93</v>
      </c>
      <c r="C1368" s="11">
        <v>45910</v>
      </c>
      <c r="D1368" s="11">
        <v>45940</v>
      </c>
      <c r="E1368" s="11"/>
      <c r="F1368" s="12">
        <v>45922.71</v>
      </c>
      <c r="G1368" s="12">
        <v>0</v>
      </c>
      <c r="H1368" s="12">
        <f t="shared" si="105"/>
        <v>45922.71</v>
      </c>
      <c r="I1368" s="10" t="str">
        <f t="shared" si="106"/>
        <v/>
      </c>
      <c r="J1368" s="10" t="str">
        <f t="shared" ca="1" si="107"/>
        <v>Overdue</v>
      </c>
      <c r="K1368" s="10">
        <f t="shared" ca="1" si="108"/>
        <v>316</v>
      </c>
      <c r="L1368" s="10" t="str">
        <f t="shared" ca="1" si="109"/>
        <v>120+ Days</v>
      </c>
      <c r="M1368" s="11">
        <v>45901</v>
      </c>
      <c r="N1368" s="11"/>
    </row>
    <row r="1369" spans="1:14" x14ac:dyDescent="0.25">
      <c r="A1369" s="13" t="s">
        <v>1496</v>
      </c>
      <c r="B1369" s="13" t="s">
        <v>74</v>
      </c>
      <c r="C1369" s="14">
        <v>45913</v>
      </c>
      <c r="D1369" s="14">
        <v>45943</v>
      </c>
      <c r="E1369" s="14">
        <v>45961</v>
      </c>
      <c r="F1369" s="15">
        <v>60893.19</v>
      </c>
      <c r="G1369" s="15">
        <v>60893.19</v>
      </c>
      <c r="H1369" s="15">
        <f t="shared" si="105"/>
        <v>0</v>
      </c>
      <c r="I1369" s="13">
        <f t="shared" si="106"/>
        <v>18</v>
      </c>
      <c r="J1369" s="13" t="str">
        <f t="shared" ca="1" si="107"/>
        <v>Paid</v>
      </c>
      <c r="K1369" s="13">
        <f t="shared" ca="1" si="108"/>
        <v>0</v>
      </c>
      <c r="L1369" s="13" t="str">
        <f t="shared" si="109"/>
        <v>Paid</v>
      </c>
      <c r="M1369" s="14">
        <v>45901</v>
      </c>
      <c r="N1369" s="14">
        <v>45931</v>
      </c>
    </row>
    <row r="1370" spans="1:14" x14ac:dyDescent="0.25">
      <c r="A1370" s="10" t="s">
        <v>1497</v>
      </c>
      <c r="B1370" s="10" t="s">
        <v>115</v>
      </c>
      <c r="C1370" s="11">
        <v>45924</v>
      </c>
      <c r="D1370" s="11">
        <v>45954</v>
      </c>
      <c r="E1370" s="11">
        <v>45963</v>
      </c>
      <c r="F1370" s="12">
        <v>60007.58</v>
      </c>
      <c r="G1370" s="12">
        <v>60007.58</v>
      </c>
      <c r="H1370" s="12">
        <f t="shared" si="105"/>
        <v>0</v>
      </c>
      <c r="I1370" s="10">
        <f t="shared" si="106"/>
        <v>9</v>
      </c>
      <c r="J1370" s="10" t="str">
        <f t="shared" ca="1" si="107"/>
        <v>Paid</v>
      </c>
      <c r="K1370" s="10">
        <f t="shared" ca="1" si="108"/>
        <v>0</v>
      </c>
      <c r="L1370" s="10" t="str">
        <f t="shared" si="109"/>
        <v>Paid</v>
      </c>
      <c r="M1370" s="11">
        <v>45901</v>
      </c>
      <c r="N1370" s="11">
        <v>45962</v>
      </c>
    </row>
    <row r="1371" spans="1:14" x14ac:dyDescent="0.25">
      <c r="A1371" s="13" t="s">
        <v>1498</v>
      </c>
      <c r="B1371" s="13" t="s">
        <v>150</v>
      </c>
      <c r="C1371" s="14">
        <v>45914</v>
      </c>
      <c r="D1371" s="14">
        <v>45944</v>
      </c>
      <c r="E1371" s="14">
        <v>45955</v>
      </c>
      <c r="F1371" s="15">
        <v>33631.040000000001</v>
      </c>
      <c r="G1371" s="15">
        <v>33631.040000000001</v>
      </c>
      <c r="H1371" s="15">
        <f t="shared" si="105"/>
        <v>0</v>
      </c>
      <c r="I1371" s="13">
        <f t="shared" si="106"/>
        <v>11</v>
      </c>
      <c r="J1371" s="13" t="str">
        <f t="shared" ca="1" si="107"/>
        <v>Paid</v>
      </c>
      <c r="K1371" s="13">
        <f t="shared" ca="1" si="108"/>
        <v>0</v>
      </c>
      <c r="L1371" s="13" t="str">
        <f t="shared" si="109"/>
        <v>Paid</v>
      </c>
      <c r="M1371" s="14">
        <v>45901</v>
      </c>
      <c r="N1371" s="14">
        <v>45931</v>
      </c>
    </row>
    <row r="1372" spans="1:14" x14ac:dyDescent="0.25">
      <c r="A1372" s="10" t="s">
        <v>1499</v>
      </c>
      <c r="B1372" s="10" t="s">
        <v>265</v>
      </c>
      <c r="C1372" s="11">
        <v>45927</v>
      </c>
      <c r="D1372" s="11">
        <v>45957</v>
      </c>
      <c r="E1372" s="11">
        <v>45985</v>
      </c>
      <c r="F1372" s="12">
        <v>23582.06</v>
      </c>
      <c r="G1372" s="12">
        <v>23582.06</v>
      </c>
      <c r="H1372" s="12">
        <f t="shared" si="105"/>
        <v>0</v>
      </c>
      <c r="I1372" s="10">
        <f t="shared" si="106"/>
        <v>28</v>
      </c>
      <c r="J1372" s="10" t="str">
        <f t="shared" ca="1" si="107"/>
        <v>Paid</v>
      </c>
      <c r="K1372" s="10">
        <f t="shared" ca="1" si="108"/>
        <v>0</v>
      </c>
      <c r="L1372" s="10" t="str">
        <f t="shared" si="109"/>
        <v>Paid</v>
      </c>
      <c r="M1372" s="11">
        <v>45901</v>
      </c>
      <c r="N1372" s="11">
        <v>45962</v>
      </c>
    </row>
    <row r="1373" spans="1:14" x14ac:dyDescent="0.25">
      <c r="A1373" s="13" t="s">
        <v>1500</v>
      </c>
      <c r="B1373" s="13" t="s">
        <v>278</v>
      </c>
      <c r="C1373" s="14">
        <v>45905</v>
      </c>
      <c r="D1373" s="14">
        <v>45935</v>
      </c>
      <c r="E1373" s="14">
        <v>45987</v>
      </c>
      <c r="F1373" s="15">
        <v>86084.19</v>
      </c>
      <c r="G1373" s="15">
        <v>30656.55</v>
      </c>
      <c r="H1373" s="15">
        <f t="shared" si="105"/>
        <v>55427.64</v>
      </c>
      <c r="I1373" s="13">
        <f t="shared" si="106"/>
        <v>52</v>
      </c>
      <c r="J1373" s="13" t="str">
        <f t="shared" ca="1" si="107"/>
        <v>Overdue</v>
      </c>
      <c r="K1373" s="13">
        <f t="shared" ca="1" si="108"/>
        <v>321</v>
      </c>
      <c r="L1373" s="13" t="str">
        <f t="shared" ca="1" si="109"/>
        <v>120+ Days</v>
      </c>
      <c r="M1373" s="14">
        <v>45901</v>
      </c>
      <c r="N1373" s="14">
        <v>45962</v>
      </c>
    </row>
    <row r="1374" spans="1:14" x14ac:dyDescent="0.25">
      <c r="A1374" s="10" t="s">
        <v>1501</v>
      </c>
      <c r="B1374" s="10" t="s">
        <v>99</v>
      </c>
      <c r="C1374" s="11">
        <v>45906</v>
      </c>
      <c r="D1374" s="11">
        <v>45936</v>
      </c>
      <c r="E1374" s="11">
        <v>45936</v>
      </c>
      <c r="F1374" s="12">
        <v>49908.12</v>
      </c>
      <c r="G1374" s="12">
        <v>49908.12</v>
      </c>
      <c r="H1374" s="12">
        <f t="shared" si="105"/>
        <v>0</v>
      </c>
      <c r="I1374" s="10">
        <f t="shared" si="106"/>
        <v>0</v>
      </c>
      <c r="J1374" s="10" t="str">
        <f t="shared" ca="1" si="107"/>
        <v>Paid</v>
      </c>
      <c r="K1374" s="10">
        <f t="shared" ca="1" si="108"/>
        <v>0</v>
      </c>
      <c r="L1374" s="10" t="str">
        <f t="shared" si="109"/>
        <v>Paid</v>
      </c>
      <c r="M1374" s="11">
        <v>45901</v>
      </c>
      <c r="N1374" s="11">
        <v>45931</v>
      </c>
    </row>
    <row r="1375" spans="1:14" x14ac:dyDescent="0.25">
      <c r="A1375" s="13" t="s">
        <v>1502</v>
      </c>
      <c r="B1375" s="13" t="s">
        <v>146</v>
      </c>
      <c r="C1375" s="14">
        <v>45902</v>
      </c>
      <c r="D1375" s="14">
        <v>45932</v>
      </c>
      <c r="E1375" s="14">
        <v>45946</v>
      </c>
      <c r="F1375" s="15">
        <v>50907.199999999997</v>
      </c>
      <c r="G1375" s="15">
        <v>50907.199999999997</v>
      </c>
      <c r="H1375" s="15">
        <f t="shared" si="105"/>
        <v>0</v>
      </c>
      <c r="I1375" s="13">
        <f t="shared" si="106"/>
        <v>14</v>
      </c>
      <c r="J1375" s="13" t="str">
        <f t="shared" ca="1" si="107"/>
        <v>Paid</v>
      </c>
      <c r="K1375" s="13">
        <f t="shared" ca="1" si="108"/>
        <v>0</v>
      </c>
      <c r="L1375" s="13" t="str">
        <f t="shared" si="109"/>
        <v>Paid</v>
      </c>
      <c r="M1375" s="14">
        <v>45901</v>
      </c>
      <c r="N1375" s="14">
        <v>45931</v>
      </c>
    </row>
    <row r="1376" spans="1:14" x14ac:dyDescent="0.25">
      <c r="A1376" s="10" t="s">
        <v>1503</v>
      </c>
      <c r="B1376" s="10" t="s">
        <v>79</v>
      </c>
      <c r="C1376" s="11">
        <v>45922</v>
      </c>
      <c r="D1376" s="11">
        <v>45952</v>
      </c>
      <c r="E1376" s="11">
        <v>45978</v>
      </c>
      <c r="F1376" s="12">
        <v>51142.559999999998</v>
      </c>
      <c r="G1376" s="12">
        <v>51142.559999999998</v>
      </c>
      <c r="H1376" s="12">
        <f t="shared" si="105"/>
        <v>0</v>
      </c>
      <c r="I1376" s="10">
        <f t="shared" si="106"/>
        <v>26</v>
      </c>
      <c r="J1376" s="10" t="str">
        <f t="shared" ca="1" si="107"/>
        <v>Paid</v>
      </c>
      <c r="K1376" s="10">
        <f t="shared" ca="1" si="108"/>
        <v>0</v>
      </c>
      <c r="L1376" s="10" t="str">
        <f t="shared" si="109"/>
        <v>Paid</v>
      </c>
      <c r="M1376" s="11">
        <v>45901</v>
      </c>
      <c r="N1376" s="11">
        <v>45962</v>
      </c>
    </row>
    <row r="1377" spans="1:14" x14ac:dyDescent="0.25">
      <c r="A1377" s="13" t="s">
        <v>1504</v>
      </c>
      <c r="B1377" s="13" t="s">
        <v>111</v>
      </c>
      <c r="C1377" s="14">
        <v>45923</v>
      </c>
      <c r="D1377" s="14">
        <v>45953</v>
      </c>
      <c r="E1377" s="14">
        <v>45953</v>
      </c>
      <c r="F1377" s="15">
        <v>12684.64</v>
      </c>
      <c r="G1377" s="15">
        <v>12684.64</v>
      </c>
      <c r="H1377" s="15">
        <f t="shared" si="105"/>
        <v>0</v>
      </c>
      <c r="I1377" s="13">
        <f t="shared" si="106"/>
        <v>0</v>
      </c>
      <c r="J1377" s="13" t="str">
        <f t="shared" ca="1" si="107"/>
        <v>Paid</v>
      </c>
      <c r="K1377" s="13">
        <f t="shared" ca="1" si="108"/>
        <v>0</v>
      </c>
      <c r="L1377" s="13" t="str">
        <f t="shared" si="109"/>
        <v>Paid</v>
      </c>
      <c r="M1377" s="14">
        <v>45901</v>
      </c>
      <c r="N1377" s="14">
        <v>45931</v>
      </c>
    </row>
    <row r="1378" spans="1:14" x14ac:dyDescent="0.25">
      <c r="A1378" s="10" t="s">
        <v>1505</v>
      </c>
      <c r="B1378" s="10" t="s">
        <v>70</v>
      </c>
      <c r="C1378" s="11">
        <v>45927</v>
      </c>
      <c r="D1378" s="11">
        <v>45957</v>
      </c>
      <c r="E1378" s="11">
        <v>45957</v>
      </c>
      <c r="F1378" s="12">
        <v>61689.82</v>
      </c>
      <c r="G1378" s="12">
        <v>61689.82</v>
      </c>
      <c r="H1378" s="12">
        <f t="shared" si="105"/>
        <v>0</v>
      </c>
      <c r="I1378" s="10">
        <f t="shared" si="106"/>
        <v>0</v>
      </c>
      <c r="J1378" s="10" t="str">
        <f t="shared" ca="1" si="107"/>
        <v>Paid</v>
      </c>
      <c r="K1378" s="10">
        <f t="shared" ca="1" si="108"/>
        <v>0</v>
      </c>
      <c r="L1378" s="10" t="str">
        <f t="shared" si="109"/>
        <v>Paid</v>
      </c>
      <c r="M1378" s="11">
        <v>45901</v>
      </c>
      <c r="N1378" s="11">
        <v>45931</v>
      </c>
    </row>
    <row r="1379" spans="1:14" x14ac:dyDescent="0.25">
      <c r="A1379" s="13" t="s">
        <v>1506</v>
      </c>
      <c r="B1379" s="13" t="s">
        <v>140</v>
      </c>
      <c r="C1379" s="14">
        <v>45903</v>
      </c>
      <c r="D1379" s="14">
        <v>45933</v>
      </c>
      <c r="E1379" s="14">
        <v>45941</v>
      </c>
      <c r="F1379" s="15">
        <v>26538.82</v>
      </c>
      <c r="G1379" s="15">
        <v>26538.82</v>
      </c>
      <c r="H1379" s="15">
        <f t="shared" si="105"/>
        <v>0</v>
      </c>
      <c r="I1379" s="13">
        <f t="shared" si="106"/>
        <v>8</v>
      </c>
      <c r="J1379" s="13" t="str">
        <f t="shared" ca="1" si="107"/>
        <v>Paid</v>
      </c>
      <c r="K1379" s="13">
        <f t="shared" ca="1" si="108"/>
        <v>0</v>
      </c>
      <c r="L1379" s="13" t="str">
        <f t="shared" si="109"/>
        <v>Paid</v>
      </c>
      <c r="M1379" s="14">
        <v>45901</v>
      </c>
      <c r="N1379" s="14">
        <v>45931</v>
      </c>
    </row>
    <row r="1380" spans="1:14" x14ac:dyDescent="0.25">
      <c r="A1380" s="10" t="s">
        <v>1507</v>
      </c>
      <c r="B1380" s="10" t="s">
        <v>111</v>
      </c>
      <c r="C1380" s="11">
        <v>45902</v>
      </c>
      <c r="D1380" s="11">
        <v>45932</v>
      </c>
      <c r="E1380" s="11">
        <v>45968</v>
      </c>
      <c r="F1380" s="12">
        <v>29466.799999999999</v>
      </c>
      <c r="G1380" s="12">
        <v>29466.799999999999</v>
      </c>
      <c r="H1380" s="12">
        <f t="shared" si="105"/>
        <v>0</v>
      </c>
      <c r="I1380" s="10">
        <f t="shared" si="106"/>
        <v>36</v>
      </c>
      <c r="J1380" s="10" t="str">
        <f t="shared" ca="1" si="107"/>
        <v>Paid</v>
      </c>
      <c r="K1380" s="10">
        <f t="shared" ca="1" si="108"/>
        <v>0</v>
      </c>
      <c r="L1380" s="10" t="str">
        <f t="shared" si="109"/>
        <v>Paid</v>
      </c>
      <c r="M1380" s="11">
        <v>45901</v>
      </c>
      <c r="N1380" s="11">
        <v>45962</v>
      </c>
    </row>
    <row r="1381" spans="1:14" x14ac:dyDescent="0.25">
      <c r="A1381" s="13" t="s">
        <v>1508</v>
      </c>
      <c r="B1381" s="13" t="s">
        <v>74</v>
      </c>
      <c r="C1381" s="14">
        <v>45914</v>
      </c>
      <c r="D1381" s="14">
        <v>45944</v>
      </c>
      <c r="E1381" s="14">
        <v>45964</v>
      </c>
      <c r="F1381" s="15">
        <v>47125.95</v>
      </c>
      <c r="G1381" s="15">
        <v>47125.95</v>
      </c>
      <c r="H1381" s="15">
        <f t="shared" si="105"/>
        <v>0</v>
      </c>
      <c r="I1381" s="13">
        <f t="shared" si="106"/>
        <v>20</v>
      </c>
      <c r="J1381" s="13" t="str">
        <f t="shared" ca="1" si="107"/>
        <v>Paid</v>
      </c>
      <c r="K1381" s="13">
        <f t="shared" ca="1" si="108"/>
        <v>0</v>
      </c>
      <c r="L1381" s="13" t="str">
        <f t="shared" si="109"/>
        <v>Paid</v>
      </c>
      <c r="M1381" s="14">
        <v>45901</v>
      </c>
      <c r="N1381" s="14">
        <v>45962</v>
      </c>
    </row>
    <row r="1382" spans="1:14" x14ac:dyDescent="0.25">
      <c r="A1382" s="10" t="s">
        <v>1509</v>
      </c>
      <c r="B1382" s="10" t="s">
        <v>198</v>
      </c>
      <c r="C1382" s="11">
        <v>45910</v>
      </c>
      <c r="D1382" s="11">
        <v>45940</v>
      </c>
      <c r="E1382" s="11">
        <v>45940</v>
      </c>
      <c r="F1382" s="12">
        <v>44987.38</v>
      </c>
      <c r="G1382" s="12">
        <v>44987.38</v>
      </c>
      <c r="H1382" s="12">
        <f t="shared" si="105"/>
        <v>0</v>
      </c>
      <c r="I1382" s="10">
        <f t="shared" si="106"/>
        <v>0</v>
      </c>
      <c r="J1382" s="10" t="str">
        <f t="shared" ca="1" si="107"/>
        <v>Paid</v>
      </c>
      <c r="K1382" s="10">
        <f t="shared" ca="1" si="108"/>
        <v>0</v>
      </c>
      <c r="L1382" s="10" t="str">
        <f t="shared" si="109"/>
        <v>Paid</v>
      </c>
      <c r="M1382" s="11">
        <v>45901</v>
      </c>
      <c r="N1382" s="11">
        <v>45931</v>
      </c>
    </row>
    <row r="1383" spans="1:14" x14ac:dyDescent="0.25">
      <c r="A1383" s="13" t="s">
        <v>1510</v>
      </c>
      <c r="B1383" s="13" t="s">
        <v>93</v>
      </c>
      <c r="C1383" s="14">
        <v>45917</v>
      </c>
      <c r="D1383" s="14">
        <v>45947</v>
      </c>
      <c r="E1383" s="14">
        <v>45982</v>
      </c>
      <c r="F1383" s="15">
        <v>63575.77</v>
      </c>
      <c r="G1383" s="15">
        <v>63575.77</v>
      </c>
      <c r="H1383" s="15">
        <f t="shared" si="105"/>
        <v>0</v>
      </c>
      <c r="I1383" s="13">
        <f t="shared" si="106"/>
        <v>35</v>
      </c>
      <c r="J1383" s="13" t="str">
        <f t="shared" ca="1" si="107"/>
        <v>Paid</v>
      </c>
      <c r="K1383" s="13">
        <f t="shared" ca="1" si="108"/>
        <v>0</v>
      </c>
      <c r="L1383" s="13" t="str">
        <f t="shared" si="109"/>
        <v>Paid</v>
      </c>
      <c r="M1383" s="14">
        <v>45901</v>
      </c>
      <c r="N1383" s="14">
        <v>45962</v>
      </c>
    </row>
    <row r="1384" spans="1:14" x14ac:dyDescent="0.25">
      <c r="A1384" s="10" t="s">
        <v>1511</v>
      </c>
      <c r="B1384" s="10" t="s">
        <v>169</v>
      </c>
      <c r="C1384" s="11">
        <v>45906</v>
      </c>
      <c r="D1384" s="11">
        <v>45936</v>
      </c>
      <c r="E1384" s="11">
        <v>45979</v>
      </c>
      <c r="F1384" s="12">
        <v>23304.89</v>
      </c>
      <c r="G1384" s="12">
        <v>23304.89</v>
      </c>
      <c r="H1384" s="12">
        <f t="shared" si="105"/>
        <v>0</v>
      </c>
      <c r="I1384" s="10">
        <f t="shared" si="106"/>
        <v>43</v>
      </c>
      <c r="J1384" s="10" t="str">
        <f t="shared" ca="1" si="107"/>
        <v>Paid</v>
      </c>
      <c r="K1384" s="10">
        <f t="shared" ca="1" si="108"/>
        <v>0</v>
      </c>
      <c r="L1384" s="10" t="str">
        <f t="shared" si="109"/>
        <v>Paid</v>
      </c>
      <c r="M1384" s="11">
        <v>45901</v>
      </c>
      <c r="N1384" s="11">
        <v>45962</v>
      </c>
    </row>
    <row r="1385" spans="1:14" x14ac:dyDescent="0.25">
      <c r="A1385" s="13" t="s">
        <v>1512</v>
      </c>
      <c r="B1385" s="13" t="s">
        <v>161</v>
      </c>
      <c r="C1385" s="14">
        <v>45927</v>
      </c>
      <c r="D1385" s="14">
        <v>45957</v>
      </c>
      <c r="E1385" s="14">
        <v>45963</v>
      </c>
      <c r="F1385" s="15">
        <v>85307.06</v>
      </c>
      <c r="G1385" s="15">
        <v>85307.06</v>
      </c>
      <c r="H1385" s="15">
        <f t="shared" si="105"/>
        <v>0</v>
      </c>
      <c r="I1385" s="13">
        <f t="shared" si="106"/>
        <v>6</v>
      </c>
      <c r="J1385" s="13" t="str">
        <f t="shared" ca="1" si="107"/>
        <v>Paid</v>
      </c>
      <c r="K1385" s="13">
        <f t="shared" ca="1" si="108"/>
        <v>0</v>
      </c>
      <c r="L1385" s="13" t="str">
        <f t="shared" si="109"/>
        <v>Paid</v>
      </c>
      <c r="M1385" s="14">
        <v>45901</v>
      </c>
      <c r="N1385" s="14">
        <v>45962</v>
      </c>
    </row>
    <row r="1386" spans="1:14" x14ac:dyDescent="0.25">
      <c r="A1386" s="10" t="s">
        <v>1513</v>
      </c>
      <c r="B1386" s="10" t="s">
        <v>72</v>
      </c>
      <c r="C1386" s="11">
        <v>45911</v>
      </c>
      <c r="D1386" s="11">
        <v>45941</v>
      </c>
      <c r="E1386" s="11"/>
      <c r="F1386" s="12">
        <v>53678.13</v>
      </c>
      <c r="G1386" s="12">
        <v>0</v>
      </c>
      <c r="H1386" s="12">
        <f t="shared" si="105"/>
        <v>53678.13</v>
      </c>
      <c r="I1386" s="10" t="str">
        <f t="shared" si="106"/>
        <v/>
      </c>
      <c r="J1386" s="10" t="str">
        <f t="shared" ca="1" si="107"/>
        <v>Overdue</v>
      </c>
      <c r="K1386" s="10">
        <f t="shared" ca="1" si="108"/>
        <v>315</v>
      </c>
      <c r="L1386" s="10" t="str">
        <f t="shared" ca="1" si="109"/>
        <v>120+ Days</v>
      </c>
      <c r="M1386" s="11">
        <v>45901</v>
      </c>
      <c r="N1386" s="11"/>
    </row>
    <row r="1387" spans="1:14" x14ac:dyDescent="0.25">
      <c r="A1387" s="13" t="s">
        <v>1514</v>
      </c>
      <c r="B1387" s="13" t="s">
        <v>220</v>
      </c>
      <c r="C1387" s="14">
        <v>45925</v>
      </c>
      <c r="D1387" s="14">
        <v>45955</v>
      </c>
      <c r="E1387" s="14"/>
      <c r="F1387" s="15">
        <v>24459.29</v>
      </c>
      <c r="G1387" s="15">
        <v>0</v>
      </c>
      <c r="H1387" s="15">
        <f t="shared" si="105"/>
        <v>24459.29</v>
      </c>
      <c r="I1387" s="13" t="str">
        <f t="shared" si="106"/>
        <v/>
      </c>
      <c r="J1387" s="13" t="str">
        <f t="shared" ca="1" si="107"/>
        <v>Overdue</v>
      </c>
      <c r="K1387" s="13">
        <f t="shared" ca="1" si="108"/>
        <v>301</v>
      </c>
      <c r="L1387" s="13" t="str">
        <f t="shared" ca="1" si="109"/>
        <v>120+ Days</v>
      </c>
      <c r="M1387" s="14">
        <v>45901</v>
      </c>
      <c r="N1387" s="14"/>
    </row>
    <row r="1388" spans="1:14" x14ac:dyDescent="0.25">
      <c r="A1388" s="10" t="s">
        <v>1515</v>
      </c>
      <c r="B1388" s="10" t="s">
        <v>182</v>
      </c>
      <c r="C1388" s="11">
        <v>45926</v>
      </c>
      <c r="D1388" s="11">
        <v>45956</v>
      </c>
      <c r="E1388" s="11">
        <v>45990</v>
      </c>
      <c r="F1388" s="12">
        <v>73522.95</v>
      </c>
      <c r="G1388" s="12">
        <v>73522.95</v>
      </c>
      <c r="H1388" s="12">
        <f t="shared" si="105"/>
        <v>0</v>
      </c>
      <c r="I1388" s="10">
        <f t="shared" si="106"/>
        <v>34</v>
      </c>
      <c r="J1388" s="10" t="str">
        <f t="shared" ca="1" si="107"/>
        <v>Paid</v>
      </c>
      <c r="K1388" s="10">
        <f t="shared" ca="1" si="108"/>
        <v>0</v>
      </c>
      <c r="L1388" s="10" t="str">
        <f t="shared" si="109"/>
        <v>Paid</v>
      </c>
      <c r="M1388" s="11">
        <v>45901</v>
      </c>
      <c r="N1388" s="11">
        <v>45962</v>
      </c>
    </row>
    <row r="1389" spans="1:14" x14ac:dyDescent="0.25">
      <c r="A1389" s="13" t="s">
        <v>1516</v>
      </c>
      <c r="B1389" s="13" t="s">
        <v>138</v>
      </c>
      <c r="C1389" s="14">
        <v>45922</v>
      </c>
      <c r="D1389" s="14">
        <v>45952</v>
      </c>
      <c r="E1389" s="14">
        <v>45969</v>
      </c>
      <c r="F1389" s="15">
        <v>32171.63</v>
      </c>
      <c r="G1389" s="15">
        <v>32171.63</v>
      </c>
      <c r="H1389" s="15">
        <f t="shared" si="105"/>
        <v>0</v>
      </c>
      <c r="I1389" s="13">
        <f t="shared" si="106"/>
        <v>17</v>
      </c>
      <c r="J1389" s="13" t="str">
        <f t="shared" ca="1" si="107"/>
        <v>Paid</v>
      </c>
      <c r="K1389" s="13">
        <f t="shared" ca="1" si="108"/>
        <v>0</v>
      </c>
      <c r="L1389" s="13" t="str">
        <f t="shared" si="109"/>
        <v>Paid</v>
      </c>
      <c r="M1389" s="14">
        <v>45901</v>
      </c>
      <c r="N1389" s="14">
        <v>45962</v>
      </c>
    </row>
    <row r="1390" spans="1:14" x14ac:dyDescent="0.25">
      <c r="A1390" s="10" t="s">
        <v>1517</v>
      </c>
      <c r="B1390" s="10" t="s">
        <v>119</v>
      </c>
      <c r="C1390" s="11">
        <v>45918</v>
      </c>
      <c r="D1390" s="11">
        <v>45948</v>
      </c>
      <c r="E1390" s="11">
        <v>45962</v>
      </c>
      <c r="F1390" s="12">
        <v>22240.04</v>
      </c>
      <c r="G1390" s="12">
        <v>22240.04</v>
      </c>
      <c r="H1390" s="12">
        <f t="shared" si="105"/>
        <v>0</v>
      </c>
      <c r="I1390" s="10">
        <f t="shared" si="106"/>
        <v>14</v>
      </c>
      <c r="J1390" s="10" t="str">
        <f t="shared" ca="1" si="107"/>
        <v>Paid</v>
      </c>
      <c r="K1390" s="10">
        <f t="shared" ca="1" si="108"/>
        <v>0</v>
      </c>
      <c r="L1390" s="10" t="str">
        <f t="shared" si="109"/>
        <v>Paid</v>
      </c>
      <c r="M1390" s="11">
        <v>45901</v>
      </c>
      <c r="N1390" s="11">
        <v>45962</v>
      </c>
    </row>
    <row r="1391" spans="1:14" x14ac:dyDescent="0.25">
      <c r="A1391" s="13" t="s">
        <v>1518</v>
      </c>
      <c r="B1391" s="13" t="s">
        <v>79</v>
      </c>
      <c r="C1391" s="14">
        <v>45921</v>
      </c>
      <c r="D1391" s="14">
        <v>45951</v>
      </c>
      <c r="E1391" s="14"/>
      <c r="F1391" s="15">
        <v>37626.49</v>
      </c>
      <c r="G1391" s="15">
        <v>0</v>
      </c>
      <c r="H1391" s="15">
        <f t="shared" si="105"/>
        <v>37626.49</v>
      </c>
      <c r="I1391" s="13" t="str">
        <f t="shared" si="106"/>
        <v/>
      </c>
      <c r="J1391" s="13" t="str">
        <f t="shared" ca="1" si="107"/>
        <v>Overdue</v>
      </c>
      <c r="K1391" s="13">
        <f t="shared" ca="1" si="108"/>
        <v>305</v>
      </c>
      <c r="L1391" s="13" t="str">
        <f t="shared" ca="1" si="109"/>
        <v>120+ Days</v>
      </c>
      <c r="M1391" s="14">
        <v>45901</v>
      </c>
      <c r="N1391" s="14"/>
    </row>
    <row r="1392" spans="1:14" x14ac:dyDescent="0.25">
      <c r="A1392" s="10" t="s">
        <v>1519</v>
      </c>
      <c r="B1392" s="10" t="s">
        <v>171</v>
      </c>
      <c r="C1392" s="11">
        <v>45905</v>
      </c>
      <c r="D1392" s="11">
        <v>45935</v>
      </c>
      <c r="E1392" s="11">
        <v>45935</v>
      </c>
      <c r="F1392" s="12">
        <v>57957.8</v>
      </c>
      <c r="G1392" s="12">
        <v>57957.8</v>
      </c>
      <c r="H1392" s="12">
        <f t="shared" si="105"/>
        <v>0</v>
      </c>
      <c r="I1392" s="10">
        <f t="shared" si="106"/>
        <v>0</v>
      </c>
      <c r="J1392" s="10" t="str">
        <f t="shared" ca="1" si="107"/>
        <v>Paid</v>
      </c>
      <c r="K1392" s="10">
        <f t="shared" ca="1" si="108"/>
        <v>0</v>
      </c>
      <c r="L1392" s="10" t="str">
        <f t="shared" si="109"/>
        <v>Paid</v>
      </c>
      <c r="M1392" s="11">
        <v>45901</v>
      </c>
      <c r="N1392" s="11">
        <v>45931</v>
      </c>
    </row>
    <row r="1393" spans="1:14" x14ac:dyDescent="0.25">
      <c r="A1393" s="13" t="s">
        <v>1520</v>
      </c>
      <c r="B1393" s="13" t="s">
        <v>159</v>
      </c>
      <c r="C1393" s="14">
        <v>45913</v>
      </c>
      <c r="D1393" s="14">
        <v>45943</v>
      </c>
      <c r="E1393" s="14">
        <v>45996</v>
      </c>
      <c r="F1393" s="15">
        <v>55942.45</v>
      </c>
      <c r="G1393" s="15">
        <v>34068.720000000001</v>
      </c>
      <c r="H1393" s="15">
        <f t="shared" si="105"/>
        <v>21873.729999999996</v>
      </c>
      <c r="I1393" s="13">
        <f t="shared" si="106"/>
        <v>53</v>
      </c>
      <c r="J1393" s="13" t="str">
        <f t="shared" ca="1" si="107"/>
        <v>Overdue</v>
      </c>
      <c r="K1393" s="13">
        <f t="shared" ca="1" si="108"/>
        <v>313</v>
      </c>
      <c r="L1393" s="13" t="str">
        <f t="shared" ca="1" si="109"/>
        <v>120+ Days</v>
      </c>
      <c r="M1393" s="14">
        <v>45901</v>
      </c>
      <c r="N1393" s="14">
        <v>45992</v>
      </c>
    </row>
    <row r="1394" spans="1:14" x14ac:dyDescent="0.25">
      <c r="A1394" s="10" t="s">
        <v>1521</v>
      </c>
      <c r="B1394" s="10" t="s">
        <v>117</v>
      </c>
      <c r="C1394" s="11">
        <v>45908</v>
      </c>
      <c r="D1394" s="11">
        <v>45938</v>
      </c>
      <c r="E1394" s="11">
        <v>45990</v>
      </c>
      <c r="F1394" s="12">
        <v>24046.22</v>
      </c>
      <c r="G1394" s="12">
        <v>24046.22</v>
      </c>
      <c r="H1394" s="12">
        <f t="shared" si="105"/>
        <v>0</v>
      </c>
      <c r="I1394" s="10">
        <f t="shared" si="106"/>
        <v>52</v>
      </c>
      <c r="J1394" s="10" t="str">
        <f t="shared" ca="1" si="107"/>
        <v>Paid</v>
      </c>
      <c r="K1394" s="10">
        <f t="shared" ca="1" si="108"/>
        <v>0</v>
      </c>
      <c r="L1394" s="10" t="str">
        <f t="shared" si="109"/>
        <v>Paid</v>
      </c>
      <c r="M1394" s="11">
        <v>45901</v>
      </c>
      <c r="N1394" s="11">
        <v>45962</v>
      </c>
    </row>
    <row r="1395" spans="1:14" x14ac:dyDescent="0.25">
      <c r="A1395" s="13" t="s">
        <v>1522</v>
      </c>
      <c r="B1395" s="13" t="s">
        <v>125</v>
      </c>
      <c r="C1395" s="14">
        <v>45914</v>
      </c>
      <c r="D1395" s="14">
        <v>45944</v>
      </c>
      <c r="E1395" s="14"/>
      <c r="F1395" s="15">
        <v>24395.200000000001</v>
      </c>
      <c r="G1395" s="15">
        <v>0</v>
      </c>
      <c r="H1395" s="15">
        <f t="shared" si="105"/>
        <v>24395.200000000001</v>
      </c>
      <c r="I1395" s="13" t="str">
        <f t="shared" si="106"/>
        <v/>
      </c>
      <c r="J1395" s="13" t="str">
        <f t="shared" ca="1" si="107"/>
        <v>Overdue</v>
      </c>
      <c r="K1395" s="13">
        <f t="shared" ca="1" si="108"/>
        <v>312</v>
      </c>
      <c r="L1395" s="13" t="str">
        <f t="shared" ca="1" si="109"/>
        <v>120+ Days</v>
      </c>
      <c r="M1395" s="14">
        <v>45901</v>
      </c>
      <c r="N1395" s="14"/>
    </row>
    <row r="1396" spans="1:14" x14ac:dyDescent="0.25">
      <c r="A1396" s="10" t="s">
        <v>1523</v>
      </c>
      <c r="B1396" s="10" t="s">
        <v>184</v>
      </c>
      <c r="C1396" s="11">
        <v>45921</v>
      </c>
      <c r="D1396" s="11">
        <v>45951</v>
      </c>
      <c r="E1396" s="11">
        <v>45984</v>
      </c>
      <c r="F1396" s="12">
        <v>51913.74</v>
      </c>
      <c r="G1396" s="12">
        <v>51913.74</v>
      </c>
      <c r="H1396" s="12">
        <f t="shared" si="105"/>
        <v>0</v>
      </c>
      <c r="I1396" s="10">
        <f t="shared" si="106"/>
        <v>33</v>
      </c>
      <c r="J1396" s="10" t="str">
        <f t="shared" ca="1" si="107"/>
        <v>Paid</v>
      </c>
      <c r="K1396" s="10">
        <f t="shared" ca="1" si="108"/>
        <v>0</v>
      </c>
      <c r="L1396" s="10" t="str">
        <f t="shared" si="109"/>
        <v>Paid</v>
      </c>
      <c r="M1396" s="11">
        <v>45901</v>
      </c>
      <c r="N1396" s="11">
        <v>45962</v>
      </c>
    </row>
    <row r="1397" spans="1:14" x14ac:dyDescent="0.25">
      <c r="A1397" s="13" t="s">
        <v>1524</v>
      </c>
      <c r="B1397" s="13" t="s">
        <v>230</v>
      </c>
      <c r="C1397" s="14">
        <v>45912</v>
      </c>
      <c r="D1397" s="14">
        <v>45942</v>
      </c>
      <c r="E1397" s="14">
        <v>45970</v>
      </c>
      <c r="F1397" s="15">
        <v>96583.54</v>
      </c>
      <c r="G1397" s="15">
        <v>63088.09</v>
      </c>
      <c r="H1397" s="15">
        <f t="shared" si="105"/>
        <v>33495.449999999997</v>
      </c>
      <c r="I1397" s="13">
        <f t="shared" si="106"/>
        <v>28</v>
      </c>
      <c r="J1397" s="13" t="str">
        <f t="shared" ca="1" si="107"/>
        <v>Overdue</v>
      </c>
      <c r="K1397" s="13">
        <f t="shared" ca="1" si="108"/>
        <v>314</v>
      </c>
      <c r="L1397" s="13" t="str">
        <f t="shared" ca="1" si="109"/>
        <v>120+ Days</v>
      </c>
      <c r="M1397" s="14">
        <v>45901</v>
      </c>
      <c r="N1397" s="14">
        <v>45962</v>
      </c>
    </row>
    <row r="1398" spans="1:14" x14ac:dyDescent="0.25">
      <c r="A1398" s="10" t="s">
        <v>1525</v>
      </c>
      <c r="B1398" s="10" t="s">
        <v>76</v>
      </c>
      <c r="C1398" s="11">
        <v>45906</v>
      </c>
      <c r="D1398" s="11">
        <v>45936</v>
      </c>
      <c r="E1398" s="11">
        <v>45947</v>
      </c>
      <c r="F1398" s="12">
        <v>59139.040000000001</v>
      </c>
      <c r="G1398" s="12">
        <v>59139.040000000001</v>
      </c>
      <c r="H1398" s="12">
        <f t="shared" si="105"/>
        <v>0</v>
      </c>
      <c r="I1398" s="10">
        <f t="shared" si="106"/>
        <v>11</v>
      </c>
      <c r="J1398" s="10" t="str">
        <f t="shared" ca="1" si="107"/>
        <v>Paid</v>
      </c>
      <c r="K1398" s="10">
        <f t="shared" ca="1" si="108"/>
        <v>0</v>
      </c>
      <c r="L1398" s="10" t="str">
        <f t="shared" si="109"/>
        <v>Paid</v>
      </c>
      <c r="M1398" s="11">
        <v>45901</v>
      </c>
      <c r="N1398" s="11">
        <v>45931</v>
      </c>
    </row>
    <row r="1399" spans="1:14" x14ac:dyDescent="0.25">
      <c r="A1399" s="13" t="s">
        <v>1526</v>
      </c>
      <c r="B1399" s="13" t="s">
        <v>85</v>
      </c>
      <c r="C1399" s="14">
        <v>45909</v>
      </c>
      <c r="D1399" s="14">
        <v>45939</v>
      </c>
      <c r="E1399" s="14">
        <v>45955</v>
      </c>
      <c r="F1399" s="15">
        <v>42338.02</v>
      </c>
      <c r="G1399" s="15">
        <v>30739.67</v>
      </c>
      <c r="H1399" s="15">
        <f t="shared" si="105"/>
        <v>11598.349999999999</v>
      </c>
      <c r="I1399" s="13">
        <f t="shared" si="106"/>
        <v>16</v>
      </c>
      <c r="J1399" s="13" t="str">
        <f t="shared" ca="1" si="107"/>
        <v>Overdue</v>
      </c>
      <c r="K1399" s="13">
        <f t="shared" ca="1" si="108"/>
        <v>317</v>
      </c>
      <c r="L1399" s="13" t="str">
        <f t="shared" ca="1" si="109"/>
        <v>120+ Days</v>
      </c>
      <c r="M1399" s="14">
        <v>45901</v>
      </c>
      <c r="N1399" s="14">
        <v>45931</v>
      </c>
    </row>
    <row r="1400" spans="1:14" x14ac:dyDescent="0.25">
      <c r="A1400" s="10" t="s">
        <v>1527</v>
      </c>
      <c r="B1400" s="10" t="s">
        <v>111</v>
      </c>
      <c r="C1400" s="11">
        <v>45922</v>
      </c>
      <c r="D1400" s="11">
        <v>45952</v>
      </c>
      <c r="E1400" s="11">
        <v>45952</v>
      </c>
      <c r="F1400" s="12">
        <v>12581.29</v>
      </c>
      <c r="G1400" s="12">
        <v>12581.29</v>
      </c>
      <c r="H1400" s="12">
        <f t="shared" si="105"/>
        <v>0</v>
      </c>
      <c r="I1400" s="10">
        <f t="shared" si="106"/>
        <v>0</v>
      </c>
      <c r="J1400" s="10" t="str">
        <f t="shared" ca="1" si="107"/>
        <v>Paid</v>
      </c>
      <c r="K1400" s="10">
        <f t="shared" ca="1" si="108"/>
        <v>0</v>
      </c>
      <c r="L1400" s="10" t="str">
        <f t="shared" si="109"/>
        <v>Paid</v>
      </c>
      <c r="M1400" s="11">
        <v>45901</v>
      </c>
      <c r="N1400" s="11">
        <v>45931</v>
      </c>
    </row>
    <row r="1401" spans="1:14" x14ac:dyDescent="0.25">
      <c r="A1401" s="13" t="s">
        <v>1528</v>
      </c>
      <c r="B1401" s="13" t="s">
        <v>70</v>
      </c>
      <c r="C1401" s="14">
        <v>45917</v>
      </c>
      <c r="D1401" s="14">
        <v>45947</v>
      </c>
      <c r="E1401" s="14">
        <v>45953</v>
      </c>
      <c r="F1401" s="15">
        <v>84011.59</v>
      </c>
      <c r="G1401" s="15">
        <v>84011.59</v>
      </c>
      <c r="H1401" s="15">
        <f t="shared" si="105"/>
        <v>0</v>
      </c>
      <c r="I1401" s="13">
        <f t="shared" si="106"/>
        <v>6</v>
      </c>
      <c r="J1401" s="13" t="str">
        <f t="shared" ca="1" si="107"/>
        <v>Paid</v>
      </c>
      <c r="K1401" s="13">
        <f t="shared" ca="1" si="108"/>
        <v>0</v>
      </c>
      <c r="L1401" s="13" t="str">
        <f t="shared" si="109"/>
        <v>Paid</v>
      </c>
      <c r="M1401" s="14">
        <v>45901</v>
      </c>
      <c r="N1401" s="14">
        <v>45931</v>
      </c>
    </row>
    <row r="1402" spans="1:14" x14ac:dyDescent="0.25">
      <c r="A1402" s="10" t="s">
        <v>1529</v>
      </c>
      <c r="B1402" s="10" t="s">
        <v>107</v>
      </c>
      <c r="C1402" s="11">
        <v>45926</v>
      </c>
      <c r="D1402" s="11">
        <v>45956</v>
      </c>
      <c r="E1402" s="11">
        <v>45977</v>
      </c>
      <c r="F1402" s="12">
        <v>27983.16</v>
      </c>
      <c r="G1402" s="12">
        <v>27983.16</v>
      </c>
      <c r="H1402" s="12">
        <f t="shared" si="105"/>
        <v>0</v>
      </c>
      <c r="I1402" s="10">
        <f t="shared" si="106"/>
        <v>21</v>
      </c>
      <c r="J1402" s="10" t="str">
        <f t="shared" ca="1" si="107"/>
        <v>Paid</v>
      </c>
      <c r="K1402" s="10">
        <f t="shared" ca="1" si="108"/>
        <v>0</v>
      </c>
      <c r="L1402" s="10" t="str">
        <f t="shared" si="109"/>
        <v>Paid</v>
      </c>
      <c r="M1402" s="11">
        <v>45901</v>
      </c>
      <c r="N1402" s="11">
        <v>45962</v>
      </c>
    </row>
    <row r="1403" spans="1:14" x14ac:dyDescent="0.25">
      <c r="A1403" s="13" t="s">
        <v>1530</v>
      </c>
      <c r="B1403" s="13" t="s">
        <v>127</v>
      </c>
      <c r="C1403" s="14">
        <v>45918</v>
      </c>
      <c r="D1403" s="14">
        <v>45948</v>
      </c>
      <c r="E1403" s="14">
        <v>45968</v>
      </c>
      <c r="F1403" s="15">
        <v>34209.279999999999</v>
      </c>
      <c r="G1403" s="15">
        <v>34209.279999999999</v>
      </c>
      <c r="H1403" s="15">
        <f t="shared" si="105"/>
        <v>0</v>
      </c>
      <c r="I1403" s="13">
        <f t="shared" si="106"/>
        <v>20</v>
      </c>
      <c r="J1403" s="13" t="str">
        <f t="shared" ca="1" si="107"/>
        <v>Paid</v>
      </c>
      <c r="K1403" s="13">
        <f t="shared" ca="1" si="108"/>
        <v>0</v>
      </c>
      <c r="L1403" s="13" t="str">
        <f t="shared" si="109"/>
        <v>Paid</v>
      </c>
      <c r="M1403" s="14">
        <v>45901</v>
      </c>
      <c r="N1403" s="14">
        <v>45962</v>
      </c>
    </row>
    <row r="1404" spans="1:14" x14ac:dyDescent="0.25">
      <c r="A1404" s="10" t="s">
        <v>1531</v>
      </c>
      <c r="B1404" s="10" t="s">
        <v>91</v>
      </c>
      <c r="C1404" s="11">
        <v>45927</v>
      </c>
      <c r="D1404" s="11">
        <v>45957</v>
      </c>
      <c r="E1404" s="11"/>
      <c r="F1404" s="12">
        <v>13163.45</v>
      </c>
      <c r="G1404" s="12">
        <v>0</v>
      </c>
      <c r="H1404" s="12">
        <f t="shared" si="105"/>
        <v>13163.45</v>
      </c>
      <c r="I1404" s="10" t="str">
        <f t="shared" si="106"/>
        <v/>
      </c>
      <c r="J1404" s="10" t="str">
        <f t="shared" ca="1" si="107"/>
        <v>Overdue</v>
      </c>
      <c r="K1404" s="10">
        <f t="shared" ca="1" si="108"/>
        <v>299</v>
      </c>
      <c r="L1404" s="10" t="str">
        <f t="shared" ca="1" si="109"/>
        <v>120+ Days</v>
      </c>
      <c r="M1404" s="11">
        <v>45901</v>
      </c>
      <c r="N1404" s="11"/>
    </row>
    <row r="1405" spans="1:14" x14ac:dyDescent="0.25">
      <c r="A1405" s="13" t="s">
        <v>1532</v>
      </c>
      <c r="B1405" s="13" t="s">
        <v>127</v>
      </c>
      <c r="C1405" s="14">
        <v>45908</v>
      </c>
      <c r="D1405" s="14">
        <v>45938</v>
      </c>
      <c r="E1405" s="14">
        <v>45947</v>
      </c>
      <c r="F1405" s="15">
        <v>35468.26</v>
      </c>
      <c r="G1405" s="15">
        <v>35468.26</v>
      </c>
      <c r="H1405" s="15">
        <f t="shared" si="105"/>
        <v>0</v>
      </c>
      <c r="I1405" s="13">
        <f t="shared" si="106"/>
        <v>9</v>
      </c>
      <c r="J1405" s="13" t="str">
        <f t="shared" ca="1" si="107"/>
        <v>Paid</v>
      </c>
      <c r="K1405" s="13">
        <f t="shared" ca="1" si="108"/>
        <v>0</v>
      </c>
      <c r="L1405" s="13" t="str">
        <f t="shared" si="109"/>
        <v>Paid</v>
      </c>
      <c r="M1405" s="14">
        <v>45901</v>
      </c>
      <c r="N1405" s="14">
        <v>45931</v>
      </c>
    </row>
    <row r="1406" spans="1:14" x14ac:dyDescent="0.25">
      <c r="A1406" s="10" t="s">
        <v>1533</v>
      </c>
      <c r="B1406" s="10" t="s">
        <v>140</v>
      </c>
      <c r="C1406" s="11">
        <v>45925</v>
      </c>
      <c r="D1406" s="11">
        <v>45955</v>
      </c>
      <c r="E1406" s="11">
        <v>45966</v>
      </c>
      <c r="F1406" s="12">
        <v>109973.53</v>
      </c>
      <c r="G1406" s="12">
        <v>109973.53</v>
      </c>
      <c r="H1406" s="12">
        <f t="shared" si="105"/>
        <v>0</v>
      </c>
      <c r="I1406" s="10">
        <f t="shared" si="106"/>
        <v>11</v>
      </c>
      <c r="J1406" s="10" t="str">
        <f t="shared" ca="1" si="107"/>
        <v>Paid</v>
      </c>
      <c r="K1406" s="10">
        <f t="shared" ca="1" si="108"/>
        <v>0</v>
      </c>
      <c r="L1406" s="10" t="str">
        <f t="shared" si="109"/>
        <v>Paid</v>
      </c>
      <c r="M1406" s="11">
        <v>45901</v>
      </c>
      <c r="N1406" s="11">
        <v>45962</v>
      </c>
    </row>
    <row r="1407" spans="1:14" x14ac:dyDescent="0.25">
      <c r="A1407" s="13" t="s">
        <v>1534</v>
      </c>
      <c r="B1407" s="13" t="s">
        <v>244</v>
      </c>
      <c r="C1407" s="14">
        <v>45924</v>
      </c>
      <c r="D1407" s="14">
        <v>45954</v>
      </c>
      <c r="E1407" s="14"/>
      <c r="F1407" s="15">
        <v>28211.68</v>
      </c>
      <c r="G1407" s="15">
        <v>0</v>
      </c>
      <c r="H1407" s="15">
        <f t="shared" si="105"/>
        <v>28211.68</v>
      </c>
      <c r="I1407" s="13" t="str">
        <f t="shared" si="106"/>
        <v/>
      </c>
      <c r="J1407" s="13" t="str">
        <f t="shared" ca="1" si="107"/>
        <v>Overdue</v>
      </c>
      <c r="K1407" s="13">
        <f t="shared" ca="1" si="108"/>
        <v>302</v>
      </c>
      <c r="L1407" s="13" t="str">
        <f t="shared" ca="1" si="109"/>
        <v>120+ Days</v>
      </c>
      <c r="M1407" s="14">
        <v>45901</v>
      </c>
      <c r="N1407" s="14"/>
    </row>
    <row r="1408" spans="1:14" x14ac:dyDescent="0.25">
      <c r="A1408" s="10" t="s">
        <v>1535</v>
      </c>
      <c r="B1408" s="10" t="s">
        <v>129</v>
      </c>
      <c r="C1408" s="11">
        <v>45907</v>
      </c>
      <c r="D1408" s="11">
        <v>45937</v>
      </c>
      <c r="E1408" s="11"/>
      <c r="F1408" s="12">
        <v>38289.370000000003</v>
      </c>
      <c r="G1408" s="12">
        <v>0</v>
      </c>
      <c r="H1408" s="12">
        <f t="shared" si="105"/>
        <v>38289.370000000003</v>
      </c>
      <c r="I1408" s="10" t="str">
        <f t="shared" si="106"/>
        <v/>
      </c>
      <c r="J1408" s="10" t="str">
        <f t="shared" ca="1" si="107"/>
        <v>Overdue</v>
      </c>
      <c r="K1408" s="10">
        <f t="shared" ca="1" si="108"/>
        <v>319</v>
      </c>
      <c r="L1408" s="10" t="str">
        <f t="shared" ca="1" si="109"/>
        <v>120+ Days</v>
      </c>
      <c r="M1408" s="11">
        <v>45901</v>
      </c>
      <c r="N1408" s="11"/>
    </row>
    <row r="1409" spans="1:14" x14ac:dyDescent="0.25">
      <c r="A1409" s="13" t="s">
        <v>1536</v>
      </c>
      <c r="B1409" s="13" t="s">
        <v>111</v>
      </c>
      <c r="C1409" s="14">
        <v>45909</v>
      </c>
      <c r="D1409" s="14">
        <v>45939</v>
      </c>
      <c r="E1409" s="14">
        <v>45939</v>
      </c>
      <c r="F1409" s="15">
        <v>45202.59</v>
      </c>
      <c r="G1409" s="15">
        <v>45202.59</v>
      </c>
      <c r="H1409" s="15">
        <f t="shared" si="105"/>
        <v>0</v>
      </c>
      <c r="I1409" s="13">
        <f t="shared" si="106"/>
        <v>0</v>
      </c>
      <c r="J1409" s="13" t="str">
        <f t="shared" ca="1" si="107"/>
        <v>Paid</v>
      </c>
      <c r="K1409" s="13">
        <f t="shared" ca="1" si="108"/>
        <v>0</v>
      </c>
      <c r="L1409" s="13" t="str">
        <f t="shared" si="109"/>
        <v>Paid</v>
      </c>
      <c r="M1409" s="14">
        <v>45901</v>
      </c>
      <c r="N1409" s="14">
        <v>45931</v>
      </c>
    </row>
    <row r="1410" spans="1:14" x14ac:dyDescent="0.25">
      <c r="A1410" s="10" t="s">
        <v>1537</v>
      </c>
      <c r="B1410" s="10" t="s">
        <v>169</v>
      </c>
      <c r="C1410" s="11">
        <v>45909</v>
      </c>
      <c r="D1410" s="11">
        <v>45939</v>
      </c>
      <c r="E1410" s="11">
        <v>45945</v>
      </c>
      <c r="F1410" s="12">
        <v>39802.51</v>
      </c>
      <c r="G1410" s="12">
        <v>39802.51</v>
      </c>
      <c r="H1410" s="12">
        <f t="shared" ref="H1410:H1473" si="110">MAX(0,F1410-G1410)</f>
        <v>0</v>
      </c>
      <c r="I1410" s="10">
        <f t="shared" ref="I1410:I1473" si="111">IF(E1410="","",MAX(0,E1410-D1410))</f>
        <v>6</v>
      </c>
      <c r="J1410" s="10" t="str">
        <f t="shared" ref="J1410:J1473" ca="1" si="112">IF(H1410=0,"Paid",IF(D1410&lt;TODAY(),"Overdue","Open"))</f>
        <v>Paid</v>
      </c>
      <c r="K1410" s="10">
        <f t="shared" ref="K1410:K1473" ca="1" si="113">IF(H1410=0,0,MAX(0,TODAY()-D1410))</f>
        <v>0</v>
      </c>
      <c r="L1410" s="10" t="str">
        <f t="shared" ref="L1410:L1473" si="114">IF(H1410=0,"Paid",IF(K1410&lt;=30,"0-30 Days",IF(K1410&lt;=60,"31-60 Days",IF(K1410&lt;=90,"61-90 Days",IF(K1410&lt;=120,"91-120 Days","120+ Days")))))</f>
        <v>Paid</v>
      </c>
      <c r="M1410" s="11">
        <v>45901</v>
      </c>
      <c r="N1410" s="11">
        <v>45931</v>
      </c>
    </row>
    <row r="1411" spans="1:14" x14ac:dyDescent="0.25">
      <c r="A1411" s="13" t="s">
        <v>1538</v>
      </c>
      <c r="B1411" s="13" t="s">
        <v>463</v>
      </c>
      <c r="C1411" s="14">
        <v>45910</v>
      </c>
      <c r="D1411" s="14">
        <v>45940</v>
      </c>
      <c r="E1411" s="14">
        <v>45943</v>
      </c>
      <c r="F1411" s="15">
        <v>81918.62</v>
      </c>
      <c r="G1411" s="15">
        <v>81918.62</v>
      </c>
      <c r="H1411" s="15">
        <f t="shared" si="110"/>
        <v>0</v>
      </c>
      <c r="I1411" s="13">
        <f t="shared" si="111"/>
        <v>3</v>
      </c>
      <c r="J1411" s="13" t="str">
        <f t="shared" ca="1" si="112"/>
        <v>Paid</v>
      </c>
      <c r="K1411" s="13">
        <f t="shared" ca="1" si="113"/>
        <v>0</v>
      </c>
      <c r="L1411" s="13" t="str">
        <f t="shared" si="114"/>
        <v>Paid</v>
      </c>
      <c r="M1411" s="14">
        <v>45901</v>
      </c>
      <c r="N1411" s="14">
        <v>45931</v>
      </c>
    </row>
    <row r="1412" spans="1:14" x14ac:dyDescent="0.25">
      <c r="A1412" s="10" t="s">
        <v>1539</v>
      </c>
      <c r="B1412" s="10" t="s">
        <v>117</v>
      </c>
      <c r="C1412" s="11">
        <v>45924</v>
      </c>
      <c r="D1412" s="11">
        <v>45954</v>
      </c>
      <c r="E1412" s="11">
        <v>45971</v>
      </c>
      <c r="F1412" s="12">
        <v>65897.919999999998</v>
      </c>
      <c r="G1412" s="12">
        <v>65897.919999999998</v>
      </c>
      <c r="H1412" s="12">
        <f t="shared" si="110"/>
        <v>0</v>
      </c>
      <c r="I1412" s="10">
        <f t="shared" si="111"/>
        <v>17</v>
      </c>
      <c r="J1412" s="10" t="str">
        <f t="shared" ca="1" si="112"/>
        <v>Paid</v>
      </c>
      <c r="K1412" s="10">
        <f t="shared" ca="1" si="113"/>
        <v>0</v>
      </c>
      <c r="L1412" s="10" t="str">
        <f t="shared" si="114"/>
        <v>Paid</v>
      </c>
      <c r="M1412" s="11">
        <v>45901</v>
      </c>
      <c r="N1412" s="11">
        <v>45962</v>
      </c>
    </row>
    <row r="1413" spans="1:14" x14ac:dyDescent="0.25">
      <c r="A1413" s="13" t="s">
        <v>1540</v>
      </c>
      <c r="B1413" s="13" t="s">
        <v>107</v>
      </c>
      <c r="C1413" s="14">
        <v>45918</v>
      </c>
      <c r="D1413" s="14">
        <v>45948</v>
      </c>
      <c r="E1413" s="14">
        <v>45972</v>
      </c>
      <c r="F1413" s="15">
        <v>47035.01</v>
      </c>
      <c r="G1413" s="15">
        <v>47035.01</v>
      </c>
      <c r="H1413" s="15">
        <f t="shared" si="110"/>
        <v>0</v>
      </c>
      <c r="I1413" s="13">
        <f t="shared" si="111"/>
        <v>24</v>
      </c>
      <c r="J1413" s="13" t="str">
        <f t="shared" ca="1" si="112"/>
        <v>Paid</v>
      </c>
      <c r="K1413" s="13">
        <f t="shared" ca="1" si="113"/>
        <v>0</v>
      </c>
      <c r="L1413" s="13" t="str">
        <f t="shared" si="114"/>
        <v>Paid</v>
      </c>
      <c r="M1413" s="14">
        <v>45901</v>
      </c>
      <c r="N1413" s="14">
        <v>45962</v>
      </c>
    </row>
    <row r="1414" spans="1:14" x14ac:dyDescent="0.25">
      <c r="A1414" s="10" t="s">
        <v>1541</v>
      </c>
      <c r="B1414" s="10" t="s">
        <v>215</v>
      </c>
      <c r="C1414" s="11">
        <v>45938</v>
      </c>
      <c r="D1414" s="11">
        <v>45968</v>
      </c>
      <c r="E1414" s="11">
        <v>45988</v>
      </c>
      <c r="F1414" s="12">
        <v>19615.48</v>
      </c>
      <c r="G1414" s="12">
        <v>15160.67</v>
      </c>
      <c r="H1414" s="12">
        <f t="shared" si="110"/>
        <v>4454.8099999999995</v>
      </c>
      <c r="I1414" s="10">
        <f t="shared" si="111"/>
        <v>20</v>
      </c>
      <c r="J1414" s="10" t="str">
        <f t="shared" ca="1" si="112"/>
        <v>Overdue</v>
      </c>
      <c r="K1414" s="10">
        <f t="shared" ca="1" si="113"/>
        <v>288</v>
      </c>
      <c r="L1414" s="10" t="str">
        <f t="shared" ca="1" si="114"/>
        <v>120+ Days</v>
      </c>
      <c r="M1414" s="11">
        <v>45931</v>
      </c>
      <c r="N1414" s="11">
        <v>45962</v>
      </c>
    </row>
    <row r="1415" spans="1:14" x14ac:dyDescent="0.25">
      <c r="A1415" s="13" t="s">
        <v>1542</v>
      </c>
      <c r="B1415" s="13" t="s">
        <v>463</v>
      </c>
      <c r="C1415" s="14">
        <v>45937</v>
      </c>
      <c r="D1415" s="14">
        <v>45967</v>
      </c>
      <c r="E1415" s="14">
        <v>45967</v>
      </c>
      <c r="F1415" s="15">
        <v>37344.160000000003</v>
      </c>
      <c r="G1415" s="15">
        <v>37344.160000000003</v>
      </c>
      <c r="H1415" s="15">
        <f t="shared" si="110"/>
        <v>0</v>
      </c>
      <c r="I1415" s="13">
        <f t="shared" si="111"/>
        <v>0</v>
      </c>
      <c r="J1415" s="13" t="str">
        <f t="shared" ca="1" si="112"/>
        <v>Paid</v>
      </c>
      <c r="K1415" s="13">
        <f t="shared" ca="1" si="113"/>
        <v>0</v>
      </c>
      <c r="L1415" s="13" t="str">
        <f t="shared" si="114"/>
        <v>Paid</v>
      </c>
      <c r="M1415" s="14">
        <v>45931</v>
      </c>
      <c r="N1415" s="14">
        <v>45962</v>
      </c>
    </row>
    <row r="1416" spans="1:14" x14ac:dyDescent="0.25">
      <c r="A1416" s="10" t="s">
        <v>1543</v>
      </c>
      <c r="B1416" s="10" t="s">
        <v>76</v>
      </c>
      <c r="C1416" s="11">
        <v>45948</v>
      </c>
      <c r="D1416" s="11">
        <v>45978</v>
      </c>
      <c r="E1416" s="11">
        <v>46000</v>
      </c>
      <c r="F1416" s="12">
        <v>26199.06</v>
      </c>
      <c r="G1416" s="12">
        <v>26199.06</v>
      </c>
      <c r="H1416" s="12">
        <f t="shared" si="110"/>
        <v>0</v>
      </c>
      <c r="I1416" s="10">
        <f t="shared" si="111"/>
        <v>22</v>
      </c>
      <c r="J1416" s="10" t="str">
        <f t="shared" ca="1" si="112"/>
        <v>Paid</v>
      </c>
      <c r="K1416" s="10">
        <f t="shared" ca="1" si="113"/>
        <v>0</v>
      </c>
      <c r="L1416" s="10" t="str">
        <f t="shared" si="114"/>
        <v>Paid</v>
      </c>
      <c r="M1416" s="11">
        <v>45931</v>
      </c>
      <c r="N1416" s="11">
        <v>45992</v>
      </c>
    </row>
    <row r="1417" spans="1:14" x14ac:dyDescent="0.25">
      <c r="A1417" s="13" t="s">
        <v>1544</v>
      </c>
      <c r="B1417" s="13" t="s">
        <v>87</v>
      </c>
      <c r="C1417" s="14">
        <v>45938</v>
      </c>
      <c r="D1417" s="14">
        <v>45968</v>
      </c>
      <c r="E1417" s="14">
        <v>45968</v>
      </c>
      <c r="F1417" s="15">
        <v>16661.990000000002</v>
      </c>
      <c r="G1417" s="15">
        <v>16661.990000000002</v>
      </c>
      <c r="H1417" s="15">
        <f t="shared" si="110"/>
        <v>0</v>
      </c>
      <c r="I1417" s="13">
        <f t="shared" si="111"/>
        <v>0</v>
      </c>
      <c r="J1417" s="13" t="str">
        <f t="shared" ca="1" si="112"/>
        <v>Paid</v>
      </c>
      <c r="K1417" s="13">
        <f t="shared" ca="1" si="113"/>
        <v>0</v>
      </c>
      <c r="L1417" s="13" t="str">
        <f t="shared" si="114"/>
        <v>Paid</v>
      </c>
      <c r="M1417" s="14">
        <v>45931</v>
      </c>
      <c r="N1417" s="14">
        <v>45962</v>
      </c>
    </row>
    <row r="1418" spans="1:14" x14ac:dyDescent="0.25">
      <c r="A1418" s="10" t="s">
        <v>1545</v>
      </c>
      <c r="B1418" s="10" t="s">
        <v>131</v>
      </c>
      <c r="C1418" s="11">
        <v>45940</v>
      </c>
      <c r="D1418" s="11">
        <v>45970</v>
      </c>
      <c r="E1418" s="11">
        <v>45970</v>
      </c>
      <c r="F1418" s="12">
        <v>66859.33</v>
      </c>
      <c r="G1418" s="12">
        <v>66859.33</v>
      </c>
      <c r="H1418" s="12">
        <f t="shared" si="110"/>
        <v>0</v>
      </c>
      <c r="I1418" s="10">
        <f t="shared" si="111"/>
        <v>0</v>
      </c>
      <c r="J1418" s="10" t="str">
        <f t="shared" ca="1" si="112"/>
        <v>Paid</v>
      </c>
      <c r="K1418" s="10">
        <f t="shared" ca="1" si="113"/>
        <v>0</v>
      </c>
      <c r="L1418" s="10" t="str">
        <f t="shared" si="114"/>
        <v>Paid</v>
      </c>
      <c r="M1418" s="11">
        <v>45931</v>
      </c>
      <c r="N1418" s="11">
        <v>45962</v>
      </c>
    </row>
    <row r="1419" spans="1:14" x14ac:dyDescent="0.25">
      <c r="A1419" s="13" t="s">
        <v>1546</v>
      </c>
      <c r="B1419" s="13" t="s">
        <v>91</v>
      </c>
      <c r="C1419" s="14">
        <v>45950</v>
      </c>
      <c r="D1419" s="14">
        <v>45980</v>
      </c>
      <c r="E1419" s="14">
        <v>46052</v>
      </c>
      <c r="F1419" s="15">
        <v>36610.51</v>
      </c>
      <c r="G1419" s="15">
        <v>36610.51</v>
      </c>
      <c r="H1419" s="15">
        <f t="shared" si="110"/>
        <v>0</v>
      </c>
      <c r="I1419" s="13">
        <f t="shared" si="111"/>
        <v>72</v>
      </c>
      <c r="J1419" s="13" t="str">
        <f t="shared" ca="1" si="112"/>
        <v>Paid</v>
      </c>
      <c r="K1419" s="13">
        <f t="shared" ca="1" si="113"/>
        <v>0</v>
      </c>
      <c r="L1419" s="13" t="str">
        <f t="shared" si="114"/>
        <v>Paid</v>
      </c>
      <c r="M1419" s="14">
        <v>45931</v>
      </c>
      <c r="N1419" s="14">
        <v>46023</v>
      </c>
    </row>
    <row r="1420" spans="1:14" x14ac:dyDescent="0.25">
      <c r="A1420" s="10" t="s">
        <v>1547</v>
      </c>
      <c r="B1420" s="10" t="s">
        <v>115</v>
      </c>
      <c r="C1420" s="11">
        <v>45936</v>
      </c>
      <c r="D1420" s="11">
        <v>45966</v>
      </c>
      <c r="E1420" s="11">
        <v>46012</v>
      </c>
      <c r="F1420" s="12">
        <v>38056.53</v>
      </c>
      <c r="G1420" s="12">
        <v>30727.65</v>
      </c>
      <c r="H1420" s="12">
        <f t="shared" si="110"/>
        <v>7328.8799999999974</v>
      </c>
      <c r="I1420" s="10">
        <f t="shared" si="111"/>
        <v>46</v>
      </c>
      <c r="J1420" s="10" t="str">
        <f t="shared" ca="1" si="112"/>
        <v>Overdue</v>
      </c>
      <c r="K1420" s="10">
        <f t="shared" ca="1" si="113"/>
        <v>290</v>
      </c>
      <c r="L1420" s="10" t="str">
        <f t="shared" ca="1" si="114"/>
        <v>120+ Days</v>
      </c>
      <c r="M1420" s="11">
        <v>45931</v>
      </c>
      <c r="N1420" s="11">
        <v>45992</v>
      </c>
    </row>
    <row r="1421" spans="1:14" x14ac:dyDescent="0.25">
      <c r="A1421" s="13" t="s">
        <v>1548</v>
      </c>
      <c r="B1421" s="13" t="s">
        <v>97</v>
      </c>
      <c r="C1421" s="14">
        <v>45931</v>
      </c>
      <c r="D1421" s="14">
        <v>45961</v>
      </c>
      <c r="E1421" s="14">
        <v>45961</v>
      </c>
      <c r="F1421" s="15">
        <v>72327.100000000006</v>
      </c>
      <c r="G1421" s="15">
        <v>72327.100000000006</v>
      </c>
      <c r="H1421" s="15">
        <f t="shared" si="110"/>
        <v>0</v>
      </c>
      <c r="I1421" s="13">
        <f t="shared" si="111"/>
        <v>0</v>
      </c>
      <c r="J1421" s="13" t="str">
        <f t="shared" ca="1" si="112"/>
        <v>Paid</v>
      </c>
      <c r="K1421" s="13">
        <f t="shared" ca="1" si="113"/>
        <v>0</v>
      </c>
      <c r="L1421" s="13" t="str">
        <f t="shared" si="114"/>
        <v>Paid</v>
      </c>
      <c r="M1421" s="14">
        <v>45931</v>
      </c>
      <c r="N1421" s="14">
        <v>45931</v>
      </c>
    </row>
    <row r="1422" spans="1:14" x14ac:dyDescent="0.25">
      <c r="A1422" s="10" t="s">
        <v>1549</v>
      </c>
      <c r="B1422" s="10" t="s">
        <v>76</v>
      </c>
      <c r="C1422" s="11">
        <v>45934</v>
      </c>
      <c r="D1422" s="11">
        <v>45964</v>
      </c>
      <c r="E1422" s="11">
        <v>45973</v>
      </c>
      <c r="F1422" s="12">
        <v>37469.620000000003</v>
      </c>
      <c r="G1422" s="12">
        <v>37469.620000000003</v>
      </c>
      <c r="H1422" s="12">
        <f t="shared" si="110"/>
        <v>0</v>
      </c>
      <c r="I1422" s="10">
        <f t="shared" si="111"/>
        <v>9</v>
      </c>
      <c r="J1422" s="10" t="str">
        <f t="shared" ca="1" si="112"/>
        <v>Paid</v>
      </c>
      <c r="K1422" s="10">
        <f t="shared" ca="1" si="113"/>
        <v>0</v>
      </c>
      <c r="L1422" s="10" t="str">
        <f t="shared" si="114"/>
        <v>Paid</v>
      </c>
      <c r="M1422" s="11">
        <v>45931</v>
      </c>
      <c r="N1422" s="11">
        <v>45962</v>
      </c>
    </row>
    <row r="1423" spans="1:14" x14ac:dyDescent="0.25">
      <c r="A1423" s="13" t="s">
        <v>1550</v>
      </c>
      <c r="B1423" s="13" t="s">
        <v>113</v>
      </c>
      <c r="C1423" s="14">
        <v>45947</v>
      </c>
      <c r="D1423" s="14">
        <v>45977</v>
      </c>
      <c r="E1423" s="14">
        <v>45977</v>
      </c>
      <c r="F1423" s="15">
        <v>23654.51</v>
      </c>
      <c r="G1423" s="15">
        <v>23654.51</v>
      </c>
      <c r="H1423" s="15">
        <f t="shared" si="110"/>
        <v>0</v>
      </c>
      <c r="I1423" s="13">
        <f t="shared" si="111"/>
        <v>0</v>
      </c>
      <c r="J1423" s="13" t="str">
        <f t="shared" ca="1" si="112"/>
        <v>Paid</v>
      </c>
      <c r="K1423" s="13">
        <f t="shared" ca="1" si="113"/>
        <v>0</v>
      </c>
      <c r="L1423" s="13" t="str">
        <f t="shared" si="114"/>
        <v>Paid</v>
      </c>
      <c r="M1423" s="14">
        <v>45931</v>
      </c>
      <c r="N1423" s="14">
        <v>45962</v>
      </c>
    </row>
    <row r="1424" spans="1:14" x14ac:dyDescent="0.25">
      <c r="A1424" s="10" t="s">
        <v>1551</v>
      </c>
      <c r="B1424" s="10" t="s">
        <v>74</v>
      </c>
      <c r="C1424" s="11">
        <v>45939</v>
      </c>
      <c r="D1424" s="11">
        <v>45969</v>
      </c>
      <c r="E1424" s="11">
        <v>45969</v>
      </c>
      <c r="F1424" s="12">
        <v>25617.56</v>
      </c>
      <c r="G1424" s="12">
        <v>25617.56</v>
      </c>
      <c r="H1424" s="12">
        <f t="shared" si="110"/>
        <v>0</v>
      </c>
      <c r="I1424" s="10">
        <f t="shared" si="111"/>
        <v>0</v>
      </c>
      <c r="J1424" s="10" t="str">
        <f t="shared" ca="1" si="112"/>
        <v>Paid</v>
      </c>
      <c r="K1424" s="10">
        <f t="shared" ca="1" si="113"/>
        <v>0</v>
      </c>
      <c r="L1424" s="10" t="str">
        <f t="shared" si="114"/>
        <v>Paid</v>
      </c>
      <c r="M1424" s="11">
        <v>45931</v>
      </c>
      <c r="N1424" s="11">
        <v>45962</v>
      </c>
    </row>
    <row r="1425" spans="1:14" x14ac:dyDescent="0.25">
      <c r="A1425" s="13" t="s">
        <v>1552</v>
      </c>
      <c r="B1425" s="13" t="s">
        <v>115</v>
      </c>
      <c r="C1425" s="14">
        <v>45956</v>
      </c>
      <c r="D1425" s="14">
        <v>45986</v>
      </c>
      <c r="E1425" s="14">
        <v>46001</v>
      </c>
      <c r="F1425" s="15">
        <v>53814.93</v>
      </c>
      <c r="G1425" s="15">
        <v>53814.93</v>
      </c>
      <c r="H1425" s="15">
        <f t="shared" si="110"/>
        <v>0</v>
      </c>
      <c r="I1425" s="13">
        <f t="shared" si="111"/>
        <v>15</v>
      </c>
      <c r="J1425" s="13" t="str">
        <f t="shared" ca="1" si="112"/>
        <v>Paid</v>
      </c>
      <c r="K1425" s="13">
        <f t="shared" ca="1" si="113"/>
        <v>0</v>
      </c>
      <c r="L1425" s="13" t="str">
        <f t="shared" si="114"/>
        <v>Paid</v>
      </c>
      <c r="M1425" s="14">
        <v>45931</v>
      </c>
      <c r="N1425" s="14">
        <v>45992</v>
      </c>
    </row>
    <row r="1426" spans="1:14" x14ac:dyDescent="0.25">
      <c r="A1426" s="10" t="s">
        <v>1553</v>
      </c>
      <c r="B1426" s="10" t="s">
        <v>107</v>
      </c>
      <c r="C1426" s="11">
        <v>45947</v>
      </c>
      <c r="D1426" s="11">
        <v>45977</v>
      </c>
      <c r="E1426" s="11">
        <v>45981</v>
      </c>
      <c r="F1426" s="12">
        <v>34939.81</v>
      </c>
      <c r="G1426" s="12">
        <v>34939.81</v>
      </c>
      <c r="H1426" s="12">
        <f t="shared" si="110"/>
        <v>0</v>
      </c>
      <c r="I1426" s="10">
        <f t="shared" si="111"/>
        <v>4</v>
      </c>
      <c r="J1426" s="10" t="str">
        <f t="shared" ca="1" si="112"/>
        <v>Paid</v>
      </c>
      <c r="K1426" s="10">
        <f t="shared" ca="1" si="113"/>
        <v>0</v>
      </c>
      <c r="L1426" s="10" t="str">
        <f t="shared" si="114"/>
        <v>Paid</v>
      </c>
      <c r="M1426" s="11">
        <v>45931</v>
      </c>
      <c r="N1426" s="11">
        <v>45962</v>
      </c>
    </row>
    <row r="1427" spans="1:14" x14ac:dyDescent="0.25">
      <c r="A1427" s="13" t="s">
        <v>1554</v>
      </c>
      <c r="B1427" s="13" t="s">
        <v>198</v>
      </c>
      <c r="C1427" s="14">
        <v>45949</v>
      </c>
      <c r="D1427" s="14">
        <v>45979</v>
      </c>
      <c r="E1427" s="14">
        <v>46008</v>
      </c>
      <c r="F1427" s="15">
        <v>49880.5</v>
      </c>
      <c r="G1427" s="15">
        <v>49880.5</v>
      </c>
      <c r="H1427" s="15">
        <f t="shared" si="110"/>
        <v>0</v>
      </c>
      <c r="I1427" s="13">
        <f t="shared" si="111"/>
        <v>29</v>
      </c>
      <c r="J1427" s="13" t="str">
        <f t="shared" ca="1" si="112"/>
        <v>Paid</v>
      </c>
      <c r="K1427" s="13">
        <f t="shared" ca="1" si="113"/>
        <v>0</v>
      </c>
      <c r="L1427" s="13" t="str">
        <f t="shared" si="114"/>
        <v>Paid</v>
      </c>
      <c r="M1427" s="14">
        <v>45931</v>
      </c>
      <c r="N1427" s="14">
        <v>45992</v>
      </c>
    </row>
    <row r="1428" spans="1:14" x14ac:dyDescent="0.25">
      <c r="A1428" s="10" t="s">
        <v>1555</v>
      </c>
      <c r="B1428" s="10" t="s">
        <v>215</v>
      </c>
      <c r="C1428" s="11">
        <v>45955</v>
      </c>
      <c r="D1428" s="11">
        <v>45985</v>
      </c>
      <c r="E1428" s="11">
        <v>46008</v>
      </c>
      <c r="F1428" s="12">
        <v>46839.03</v>
      </c>
      <c r="G1428" s="12">
        <v>46839.03</v>
      </c>
      <c r="H1428" s="12">
        <f t="shared" si="110"/>
        <v>0</v>
      </c>
      <c r="I1428" s="10">
        <f t="shared" si="111"/>
        <v>23</v>
      </c>
      <c r="J1428" s="10" t="str">
        <f t="shared" ca="1" si="112"/>
        <v>Paid</v>
      </c>
      <c r="K1428" s="10">
        <f t="shared" ca="1" si="113"/>
        <v>0</v>
      </c>
      <c r="L1428" s="10" t="str">
        <f t="shared" si="114"/>
        <v>Paid</v>
      </c>
      <c r="M1428" s="11">
        <v>45931</v>
      </c>
      <c r="N1428" s="11">
        <v>45992</v>
      </c>
    </row>
    <row r="1429" spans="1:14" x14ac:dyDescent="0.25">
      <c r="A1429" s="13" t="s">
        <v>1556</v>
      </c>
      <c r="B1429" s="13" t="s">
        <v>129</v>
      </c>
      <c r="C1429" s="14">
        <v>45943</v>
      </c>
      <c r="D1429" s="14">
        <v>45973</v>
      </c>
      <c r="E1429" s="14">
        <v>45984</v>
      </c>
      <c r="F1429" s="15">
        <v>49539.199999999997</v>
      </c>
      <c r="G1429" s="15">
        <v>49539.199999999997</v>
      </c>
      <c r="H1429" s="15">
        <f t="shared" si="110"/>
        <v>0</v>
      </c>
      <c r="I1429" s="13">
        <f t="shared" si="111"/>
        <v>11</v>
      </c>
      <c r="J1429" s="13" t="str">
        <f t="shared" ca="1" si="112"/>
        <v>Paid</v>
      </c>
      <c r="K1429" s="13">
        <f t="shared" ca="1" si="113"/>
        <v>0</v>
      </c>
      <c r="L1429" s="13" t="str">
        <f t="shared" si="114"/>
        <v>Paid</v>
      </c>
      <c r="M1429" s="14">
        <v>45931</v>
      </c>
      <c r="N1429" s="14">
        <v>45962</v>
      </c>
    </row>
    <row r="1430" spans="1:14" x14ac:dyDescent="0.25">
      <c r="A1430" s="10" t="s">
        <v>1557</v>
      </c>
      <c r="B1430" s="10" t="s">
        <v>188</v>
      </c>
      <c r="C1430" s="11">
        <v>45955</v>
      </c>
      <c r="D1430" s="11">
        <v>45985</v>
      </c>
      <c r="E1430" s="11">
        <v>46001</v>
      </c>
      <c r="F1430" s="12">
        <v>21297.49</v>
      </c>
      <c r="G1430" s="12">
        <v>21297.49</v>
      </c>
      <c r="H1430" s="12">
        <f t="shared" si="110"/>
        <v>0</v>
      </c>
      <c r="I1430" s="10">
        <f t="shared" si="111"/>
        <v>16</v>
      </c>
      <c r="J1430" s="10" t="str">
        <f t="shared" ca="1" si="112"/>
        <v>Paid</v>
      </c>
      <c r="K1430" s="10">
        <f t="shared" ca="1" si="113"/>
        <v>0</v>
      </c>
      <c r="L1430" s="10" t="str">
        <f t="shared" si="114"/>
        <v>Paid</v>
      </c>
      <c r="M1430" s="11">
        <v>45931</v>
      </c>
      <c r="N1430" s="11">
        <v>45992</v>
      </c>
    </row>
    <row r="1431" spans="1:14" x14ac:dyDescent="0.25">
      <c r="A1431" s="13" t="s">
        <v>1558</v>
      </c>
      <c r="B1431" s="13" t="s">
        <v>99</v>
      </c>
      <c r="C1431" s="14">
        <v>45947</v>
      </c>
      <c r="D1431" s="14">
        <v>45977</v>
      </c>
      <c r="E1431" s="14">
        <v>45977</v>
      </c>
      <c r="F1431" s="15">
        <v>22200.92</v>
      </c>
      <c r="G1431" s="15">
        <v>22200.92</v>
      </c>
      <c r="H1431" s="15">
        <f t="shared" si="110"/>
        <v>0</v>
      </c>
      <c r="I1431" s="13">
        <f t="shared" si="111"/>
        <v>0</v>
      </c>
      <c r="J1431" s="13" t="str">
        <f t="shared" ca="1" si="112"/>
        <v>Paid</v>
      </c>
      <c r="K1431" s="13">
        <f t="shared" ca="1" si="113"/>
        <v>0</v>
      </c>
      <c r="L1431" s="13" t="str">
        <f t="shared" si="114"/>
        <v>Paid</v>
      </c>
      <c r="M1431" s="14">
        <v>45931</v>
      </c>
      <c r="N1431" s="14">
        <v>45962</v>
      </c>
    </row>
    <row r="1432" spans="1:14" x14ac:dyDescent="0.25">
      <c r="A1432" s="10" t="s">
        <v>1559</v>
      </c>
      <c r="B1432" s="10" t="s">
        <v>136</v>
      </c>
      <c r="C1432" s="11">
        <v>45932</v>
      </c>
      <c r="D1432" s="11">
        <v>45962</v>
      </c>
      <c r="E1432" s="11">
        <v>46002</v>
      </c>
      <c r="F1432" s="12">
        <v>38525.589999999997</v>
      </c>
      <c r="G1432" s="12">
        <v>38525.589999999997</v>
      </c>
      <c r="H1432" s="12">
        <f t="shared" si="110"/>
        <v>0</v>
      </c>
      <c r="I1432" s="10">
        <f t="shared" si="111"/>
        <v>40</v>
      </c>
      <c r="J1432" s="10" t="str">
        <f t="shared" ca="1" si="112"/>
        <v>Paid</v>
      </c>
      <c r="K1432" s="10">
        <f t="shared" ca="1" si="113"/>
        <v>0</v>
      </c>
      <c r="L1432" s="10" t="str">
        <f t="shared" si="114"/>
        <v>Paid</v>
      </c>
      <c r="M1432" s="11">
        <v>45931</v>
      </c>
      <c r="N1432" s="11">
        <v>45992</v>
      </c>
    </row>
    <row r="1433" spans="1:14" x14ac:dyDescent="0.25">
      <c r="A1433" s="13" t="s">
        <v>1560</v>
      </c>
      <c r="B1433" s="13" t="s">
        <v>140</v>
      </c>
      <c r="C1433" s="14">
        <v>45933</v>
      </c>
      <c r="D1433" s="14">
        <v>45963</v>
      </c>
      <c r="E1433" s="14">
        <v>45963</v>
      </c>
      <c r="F1433" s="15">
        <v>109079.77</v>
      </c>
      <c r="G1433" s="15">
        <v>109079.77</v>
      </c>
      <c r="H1433" s="15">
        <f t="shared" si="110"/>
        <v>0</v>
      </c>
      <c r="I1433" s="13">
        <f t="shared" si="111"/>
        <v>0</v>
      </c>
      <c r="J1433" s="13" t="str">
        <f t="shared" ca="1" si="112"/>
        <v>Paid</v>
      </c>
      <c r="K1433" s="13">
        <f t="shared" ca="1" si="113"/>
        <v>0</v>
      </c>
      <c r="L1433" s="13" t="str">
        <f t="shared" si="114"/>
        <v>Paid</v>
      </c>
      <c r="M1433" s="14">
        <v>45931</v>
      </c>
      <c r="N1433" s="14">
        <v>45962</v>
      </c>
    </row>
    <row r="1434" spans="1:14" x14ac:dyDescent="0.25">
      <c r="A1434" s="10" t="s">
        <v>1561</v>
      </c>
      <c r="B1434" s="10" t="s">
        <v>265</v>
      </c>
      <c r="C1434" s="11">
        <v>45953</v>
      </c>
      <c r="D1434" s="11">
        <v>45983</v>
      </c>
      <c r="E1434" s="11">
        <v>45983</v>
      </c>
      <c r="F1434" s="12">
        <v>25663.7</v>
      </c>
      <c r="G1434" s="12">
        <v>25663.7</v>
      </c>
      <c r="H1434" s="12">
        <f t="shared" si="110"/>
        <v>0</v>
      </c>
      <c r="I1434" s="10">
        <f t="shared" si="111"/>
        <v>0</v>
      </c>
      <c r="J1434" s="10" t="str">
        <f t="shared" ca="1" si="112"/>
        <v>Paid</v>
      </c>
      <c r="K1434" s="10">
        <f t="shared" ca="1" si="113"/>
        <v>0</v>
      </c>
      <c r="L1434" s="10" t="str">
        <f t="shared" si="114"/>
        <v>Paid</v>
      </c>
      <c r="M1434" s="11">
        <v>45931</v>
      </c>
      <c r="N1434" s="11">
        <v>45962</v>
      </c>
    </row>
    <row r="1435" spans="1:14" x14ac:dyDescent="0.25">
      <c r="A1435" s="13" t="s">
        <v>1562</v>
      </c>
      <c r="B1435" s="13" t="s">
        <v>271</v>
      </c>
      <c r="C1435" s="14">
        <v>45956</v>
      </c>
      <c r="D1435" s="14">
        <v>45986</v>
      </c>
      <c r="E1435" s="14"/>
      <c r="F1435" s="15">
        <v>28296.29</v>
      </c>
      <c r="G1435" s="15">
        <v>0</v>
      </c>
      <c r="H1435" s="15">
        <f t="shared" si="110"/>
        <v>28296.29</v>
      </c>
      <c r="I1435" s="13" t="str">
        <f t="shared" si="111"/>
        <v/>
      </c>
      <c r="J1435" s="13" t="str">
        <f t="shared" ca="1" si="112"/>
        <v>Overdue</v>
      </c>
      <c r="K1435" s="13">
        <f t="shared" ca="1" si="113"/>
        <v>270</v>
      </c>
      <c r="L1435" s="13" t="str">
        <f t="shared" ca="1" si="114"/>
        <v>120+ Days</v>
      </c>
      <c r="M1435" s="14">
        <v>45931</v>
      </c>
      <c r="N1435" s="14"/>
    </row>
    <row r="1436" spans="1:14" x14ac:dyDescent="0.25">
      <c r="A1436" s="10" t="s">
        <v>1563</v>
      </c>
      <c r="B1436" s="10" t="s">
        <v>109</v>
      </c>
      <c r="C1436" s="11">
        <v>45931</v>
      </c>
      <c r="D1436" s="11">
        <v>45961</v>
      </c>
      <c r="E1436" s="11">
        <v>45997</v>
      </c>
      <c r="F1436" s="12">
        <v>46343.24</v>
      </c>
      <c r="G1436" s="12">
        <v>46343.24</v>
      </c>
      <c r="H1436" s="12">
        <f t="shared" si="110"/>
        <v>0</v>
      </c>
      <c r="I1436" s="10">
        <f t="shared" si="111"/>
        <v>36</v>
      </c>
      <c r="J1436" s="10" t="str">
        <f t="shared" ca="1" si="112"/>
        <v>Paid</v>
      </c>
      <c r="K1436" s="10">
        <f t="shared" ca="1" si="113"/>
        <v>0</v>
      </c>
      <c r="L1436" s="10" t="str">
        <f t="shared" si="114"/>
        <v>Paid</v>
      </c>
      <c r="M1436" s="11">
        <v>45931</v>
      </c>
      <c r="N1436" s="11">
        <v>45992</v>
      </c>
    </row>
    <row r="1437" spans="1:14" x14ac:dyDescent="0.25">
      <c r="A1437" s="13" t="s">
        <v>1564</v>
      </c>
      <c r="B1437" s="13" t="s">
        <v>233</v>
      </c>
      <c r="C1437" s="14">
        <v>45937</v>
      </c>
      <c r="D1437" s="14">
        <v>45967</v>
      </c>
      <c r="E1437" s="14">
        <v>45967</v>
      </c>
      <c r="F1437" s="15">
        <v>25016.720000000001</v>
      </c>
      <c r="G1437" s="15">
        <v>25016.720000000001</v>
      </c>
      <c r="H1437" s="15">
        <f t="shared" si="110"/>
        <v>0</v>
      </c>
      <c r="I1437" s="13">
        <f t="shared" si="111"/>
        <v>0</v>
      </c>
      <c r="J1437" s="13" t="str">
        <f t="shared" ca="1" si="112"/>
        <v>Paid</v>
      </c>
      <c r="K1437" s="13">
        <f t="shared" ca="1" si="113"/>
        <v>0</v>
      </c>
      <c r="L1437" s="13" t="str">
        <f t="shared" si="114"/>
        <v>Paid</v>
      </c>
      <c r="M1437" s="14">
        <v>45931</v>
      </c>
      <c r="N1437" s="14">
        <v>45962</v>
      </c>
    </row>
    <row r="1438" spans="1:14" x14ac:dyDescent="0.25">
      <c r="A1438" s="10" t="s">
        <v>1565</v>
      </c>
      <c r="B1438" s="10" t="s">
        <v>97</v>
      </c>
      <c r="C1438" s="11">
        <v>45942</v>
      </c>
      <c r="D1438" s="11">
        <v>45972</v>
      </c>
      <c r="E1438" s="11">
        <v>45980</v>
      </c>
      <c r="F1438" s="12">
        <v>20955.09</v>
      </c>
      <c r="G1438" s="12">
        <v>20955.09</v>
      </c>
      <c r="H1438" s="12">
        <f t="shared" si="110"/>
        <v>0</v>
      </c>
      <c r="I1438" s="10">
        <f t="shared" si="111"/>
        <v>8</v>
      </c>
      <c r="J1438" s="10" t="str">
        <f t="shared" ca="1" si="112"/>
        <v>Paid</v>
      </c>
      <c r="K1438" s="10">
        <f t="shared" ca="1" si="113"/>
        <v>0</v>
      </c>
      <c r="L1438" s="10" t="str">
        <f t="shared" si="114"/>
        <v>Paid</v>
      </c>
      <c r="M1438" s="11">
        <v>45931</v>
      </c>
      <c r="N1438" s="11">
        <v>45962</v>
      </c>
    </row>
    <row r="1439" spans="1:14" x14ac:dyDescent="0.25">
      <c r="A1439" s="13" t="s">
        <v>1566</v>
      </c>
      <c r="B1439" s="13" t="s">
        <v>91</v>
      </c>
      <c r="C1439" s="14">
        <v>45933</v>
      </c>
      <c r="D1439" s="14">
        <v>45963</v>
      </c>
      <c r="E1439" s="14"/>
      <c r="F1439" s="15">
        <v>28784.76</v>
      </c>
      <c r="G1439" s="15">
        <v>0</v>
      </c>
      <c r="H1439" s="15">
        <f t="shared" si="110"/>
        <v>28784.76</v>
      </c>
      <c r="I1439" s="13" t="str">
        <f t="shared" si="111"/>
        <v/>
      </c>
      <c r="J1439" s="13" t="str">
        <f t="shared" ca="1" si="112"/>
        <v>Overdue</v>
      </c>
      <c r="K1439" s="13">
        <f t="shared" ca="1" si="113"/>
        <v>293</v>
      </c>
      <c r="L1439" s="13" t="str">
        <f t="shared" ca="1" si="114"/>
        <v>120+ Days</v>
      </c>
      <c r="M1439" s="14">
        <v>45931</v>
      </c>
      <c r="N1439" s="14"/>
    </row>
    <row r="1440" spans="1:14" x14ac:dyDescent="0.25">
      <c r="A1440" s="10" t="s">
        <v>1567</v>
      </c>
      <c r="B1440" s="10" t="s">
        <v>180</v>
      </c>
      <c r="C1440" s="11">
        <v>45950</v>
      </c>
      <c r="D1440" s="11">
        <v>45980</v>
      </c>
      <c r="E1440" s="11"/>
      <c r="F1440" s="12">
        <v>41944.92</v>
      </c>
      <c r="G1440" s="12">
        <v>0</v>
      </c>
      <c r="H1440" s="12">
        <f t="shared" si="110"/>
        <v>41944.92</v>
      </c>
      <c r="I1440" s="10" t="str">
        <f t="shared" si="111"/>
        <v/>
      </c>
      <c r="J1440" s="10" t="str">
        <f t="shared" ca="1" si="112"/>
        <v>Overdue</v>
      </c>
      <c r="K1440" s="10">
        <f t="shared" ca="1" si="113"/>
        <v>276</v>
      </c>
      <c r="L1440" s="10" t="str">
        <f t="shared" ca="1" si="114"/>
        <v>120+ Days</v>
      </c>
      <c r="M1440" s="11">
        <v>45931</v>
      </c>
      <c r="N1440" s="11"/>
    </row>
    <row r="1441" spans="1:14" x14ac:dyDescent="0.25">
      <c r="A1441" s="13" t="s">
        <v>1568</v>
      </c>
      <c r="B1441" s="13" t="s">
        <v>127</v>
      </c>
      <c r="C1441" s="14">
        <v>45948</v>
      </c>
      <c r="D1441" s="14">
        <v>45978</v>
      </c>
      <c r="E1441" s="14">
        <v>46004</v>
      </c>
      <c r="F1441" s="15">
        <v>38437.879999999997</v>
      </c>
      <c r="G1441" s="15">
        <v>38437.879999999997</v>
      </c>
      <c r="H1441" s="15">
        <f t="shared" si="110"/>
        <v>0</v>
      </c>
      <c r="I1441" s="13">
        <f t="shared" si="111"/>
        <v>26</v>
      </c>
      <c r="J1441" s="13" t="str">
        <f t="shared" ca="1" si="112"/>
        <v>Paid</v>
      </c>
      <c r="K1441" s="13">
        <f t="shared" ca="1" si="113"/>
        <v>0</v>
      </c>
      <c r="L1441" s="13" t="str">
        <f t="shared" si="114"/>
        <v>Paid</v>
      </c>
      <c r="M1441" s="14">
        <v>45931</v>
      </c>
      <c r="N1441" s="14">
        <v>45992</v>
      </c>
    </row>
    <row r="1442" spans="1:14" x14ac:dyDescent="0.25">
      <c r="A1442" s="10" t="s">
        <v>1569</v>
      </c>
      <c r="B1442" s="10" t="s">
        <v>222</v>
      </c>
      <c r="C1442" s="11">
        <v>45952</v>
      </c>
      <c r="D1442" s="11">
        <v>45982</v>
      </c>
      <c r="E1442" s="11">
        <v>46003</v>
      </c>
      <c r="F1442" s="12">
        <v>16356.98</v>
      </c>
      <c r="G1442" s="12">
        <v>16356.98</v>
      </c>
      <c r="H1442" s="12">
        <f t="shared" si="110"/>
        <v>0</v>
      </c>
      <c r="I1442" s="10">
        <f t="shared" si="111"/>
        <v>21</v>
      </c>
      <c r="J1442" s="10" t="str">
        <f t="shared" ca="1" si="112"/>
        <v>Paid</v>
      </c>
      <c r="K1442" s="10">
        <f t="shared" ca="1" si="113"/>
        <v>0</v>
      </c>
      <c r="L1442" s="10" t="str">
        <f t="shared" si="114"/>
        <v>Paid</v>
      </c>
      <c r="M1442" s="11">
        <v>45931</v>
      </c>
      <c r="N1442" s="11">
        <v>45992</v>
      </c>
    </row>
    <row r="1443" spans="1:14" x14ac:dyDescent="0.25">
      <c r="A1443" s="13" t="s">
        <v>1570</v>
      </c>
      <c r="B1443" s="13" t="s">
        <v>153</v>
      </c>
      <c r="C1443" s="14">
        <v>45938</v>
      </c>
      <c r="D1443" s="14">
        <v>45968</v>
      </c>
      <c r="E1443" s="14">
        <v>46008</v>
      </c>
      <c r="F1443" s="15">
        <v>39784.78</v>
      </c>
      <c r="G1443" s="15">
        <v>39784.78</v>
      </c>
      <c r="H1443" s="15">
        <f t="shared" si="110"/>
        <v>0</v>
      </c>
      <c r="I1443" s="13">
        <f t="shared" si="111"/>
        <v>40</v>
      </c>
      <c r="J1443" s="13" t="str">
        <f t="shared" ca="1" si="112"/>
        <v>Paid</v>
      </c>
      <c r="K1443" s="13">
        <f t="shared" ca="1" si="113"/>
        <v>0</v>
      </c>
      <c r="L1443" s="13" t="str">
        <f t="shared" si="114"/>
        <v>Paid</v>
      </c>
      <c r="M1443" s="14">
        <v>45931</v>
      </c>
      <c r="N1443" s="14">
        <v>45992</v>
      </c>
    </row>
    <row r="1444" spans="1:14" x14ac:dyDescent="0.25">
      <c r="A1444" s="10" t="s">
        <v>1571</v>
      </c>
      <c r="B1444" s="10" t="s">
        <v>171</v>
      </c>
      <c r="C1444" s="11">
        <v>45935</v>
      </c>
      <c r="D1444" s="11">
        <v>45965</v>
      </c>
      <c r="E1444" s="11">
        <v>45981</v>
      </c>
      <c r="F1444" s="12">
        <v>22178.2</v>
      </c>
      <c r="G1444" s="12">
        <v>22178.2</v>
      </c>
      <c r="H1444" s="12">
        <f t="shared" si="110"/>
        <v>0</v>
      </c>
      <c r="I1444" s="10">
        <f t="shared" si="111"/>
        <v>16</v>
      </c>
      <c r="J1444" s="10" t="str">
        <f t="shared" ca="1" si="112"/>
        <v>Paid</v>
      </c>
      <c r="K1444" s="10">
        <f t="shared" ca="1" si="113"/>
        <v>0</v>
      </c>
      <c r="L1444" s="10" t="str">
        <f t="shared" si="114"/>
        <v>Paid</v>
      </c>
      <c r="M1444" s="11">
        <v>45931</v>
      </c>
      <c r="N1444" s="11">
        <v>45962</v>
      </c>
    </row>
    <row r="1445" spans="1:14" x14ac:dyDescent="0.25">
      <c r="A1445" s="13" t="s">
        <v>1572</v>
      </c>
      <c r="B1445" s="13" t="s">
        <v>117</v>
      </c>
      <c r="C1445" s="14">
        <v>45950</v>
      </c>
      <c r="D1445" s="14">
        <v>45980</v>
      </c>
      <c r="E1445" s="14">
        <v>45986</v>
      </c>
      <c r="F1445" s="15">
        <v>60893.17</v>
      </c>
      <c r="G1445" s="15">
        <v>60893.17</v>
      </c>
      <c r="H1445" s="15">
        <f t="shared" si="110"/>
        <v>0</v>
      </c>
      <c r="I1445" s="13">
        <f t="shared" si="111"/>
        <v>6</v>
      </c>
      <c r="J1445" s="13" t="str">
        <f t="shared" ca="1" si="112"/>
        <v>Paid</v>
      </c>
      <c r="K1445" s="13">
        <f t="shared" ca="1" si="113"/>
        <v>0</v>
      </c>
      <c r="L1445" s="13" t="str">
        <f t="shared" si="114"/>
        <v>Paid</v>
      </c>
      <c r="M1445" s="14">
        <v>45931</v>
      </c>
      <c r="N1445" s="14">
        <v>45962</v>
      </c>
    </row>
    <row r="1446" spans="1:14" x14ac:dyDescent="0.25">
      <c r="A1446" s="10" t="s">
        <v>1573</v>
      </c>
      <c r="B1446" s="10" t="s">
        <v>131</v>
      </c>
      <c r="C1446" s="11">
        <v>45955</v>
      </c>
      <c r="D1446" s="11">
        <v>45985</v>
      </c>
      <c r="E1446" s="11">
        <v>45988</v>
      </c>
      <c r="F1446" s="12">
        <v>49038.53</v>
      </c>
      <c r="G1446" s="12">
        <v>49038.53</v>
      </c>
      <c r="H1446" s="12">
        <f t="shared" si="110"/>
        <v>0</v>
      </c>
      <c r="I1446" s="10">
        <f t="shared" si="111"/>
        <v>3</v>
      </c>
      <c r="J1446" s="10" t="str">
        <f t="shared" ca="1" si="112"/>
        <v>Paid</v>
      </c>
      <c r="K1446" s="10">
        <f t="shared" ca="1" si="113"/>
        <v>0</v>
      </c>
      <c r="L1446" s="10" t="str">
        <f t="shared" si="114"/>
        <v>Paid</v>
      </c>
      <c r="M1446" s="11">
        <v>45931</v>
      </c>
      <c r="N1446" s="11">
        <v>45962</v>
      </c>
    </row>
    <row r="1447" spans="1:14" x14ac:dyDescent="0.25">
      <c r="A1447" s="13" t="s">
        <v>1574</v>
      </c>
      <c r="B1447" s="13" t="s">
        <v>161</v>
      </c>
      <c r="C1447" s="14">
        <v>45934</v>
      </c>
      <c r="D1447" s="14">
        <v>45964</v>
      </c>
      <c r="E1447" s="14">
        <v>45970</v>
      </c>
      <c r="F1447" s="15">
        <v>25706.6</v>
      </c>
      <c r="G1447" s="15">
        <v>25706.6</v>
      </c>
      <c r="H1447" s="15">
        <f t="shared" si="110"/>
        <v>0</v>
      </c>
      <c r="I1447" s="13">
        <f t="shared" si="111"/>
        <v>6</v>
      </c>
      <c r="J1447" s="13" t="str">
        <f t="shared" ca="1" si="112"/>
        <v>Paid</v>
      </c>
      <c r="K1447" s="13">
        <f t="shared" ca="1" si="113"/>
        <v>0</v>
      </c>
      <c r="L1447" s="13" t="str">
        <f t="shared" si="114"/>
        <v>Paid</v>
      </c>
      <c r="M1447" s="14">
        <v>45931</v>
      </c>
      <c r="N1447" s="14">
        <v>45962</v>
      </c>
    </row>
    <row r="1448" spans="1:14" x14ac:dyDescent="0.25">
      <c r="A1448" s="10" t="s">
        <v>1575</v>
      </c>
      <c r="B1448" s="10" t="s">
        <v>153</v>
      </c>
      <c r="C1448" s="11">
        <v>45934</v>
      </c>
      <c r="D1448" s="11">
        <v>45964</v>
      </c>
      <c r="E1448" s="11">
        <v>45974</v>
      </c>
      <c r="F1448" s="12">
        <v>41837.440000000002</v>
      </c>
      <c r="G1448" s="12">
        <v>41837.440000000002</v>
      </c>
      <c r="H1448" s="12">
        <f t="shared" si="110"/>
        <v>0</v>
      </c>
      <c r="I1448" s="10">
        <f t="shared" si="111"/>
        <v>10</v>
      </c>
      <c r="J1448" s="10" t="str">
        <f t="shared" ca="1" si="112"/>
        <v>Paid</v>
      </c>
      <c r="K1448" s="10">
        <f t="shared" ca="1" si="113"/>
        <v>0</v>
      </c>
      <c r="L1448" s="10" t="str">
        <f t="shared" si="114"/>
        <v>Paid</v>
      </c>
      <c r="M1448" s="11">
        <v>45931</v>
      </c>
      <c r="N1448" s="11">
        <v>45962</v>
      </c>
    </row>
    <row r="1449" spans="1:14" x14ac:dyDescent="0.25">
      <c r="A1449" s="13" t="s">
        <v>1576</v>
      </c>
      <c r="B1449" s="13" t="s">
        <v>159</v>
      </c>
      <c r="C1449" s="14">
        <v>45957</v>
      </c>
      <c r="D1449" s="14">
        <v>45987</v>
      </c>
      <c r="E1449" s="14">
        <v>46033</v>
      </c>
      <c r="F1449" s="15">
        <v>11322.31</v>
      </c>
      <c r="G1449" s="15">
        <v>11322.31</v>
      </c>
      <c r="H1449" s="15">
        <f t="shared" si="110"/>
        <v>0</v>
      </c>
      <c r="I1449" s="13">
        <f t="shared" si="111"/>
        <v>46</v>
      </c>
      <c r="J1449" s="13" t="str">
        <f t="shared" ca="1" si="112"/>
        <v>Paid</v>
      </c>
      <c r="K1449" s="13">
        <f t="shared" ca="1" si="113"/>
        <v>0</v>
      </c>
      <c r="L1449" s="13" t="str">
        <f t="shared" si="114"/>
        <v>Paid</v>
      </c>
      <c r="M1449" s="14">
        <v>45931</v>
      </c>
      <c r="N1449" s="14">
        <v>46023</v>
      </c>
    </row>
    <row r="1450" spans="1:14" x14ac:dyDescent="0.25">
      <c r="A1450" s="10" t="s">
        <v>1577</v>
      </c>
      <c r="B1450" s="10" t="s">
        <v>161</v>
      </c>
      <c r="C1450" s="11">
        <v>45947</v>
      </c>
      <c r="D1450" s="11">
        <v>45977</v>
      </c>
      <c r="E1450" s="11"/>
      <c r="F1450" s="12">
        <v>41065.08</v>
      </c>
      <c r="G1450" s="12">
        <v>0</v>
      </c>
      <c r="H1450" s="12">
        <f t="shared" si="110"/>
        <v>41065.08</v>
      </c>
      <c r="I1450" s="10" t="str">
        <f t="shared" si="111"/>
        <v/>
      </c>
      <c r="J1450" s="10" t="str">
        <f t="shared" ca="1" si="112"/>
        <v>Overdue</v>
      </c>
      <c r="K1450" s="10">
        <f t="shared" ca="1" si="113"/>
        <v>279</v>
      </c>
      <c r="L1450" s="10" t="str">
        <f t="shared" ca="1" si="114"/>
        <v>120+ Days</v>
      </c>
      <c r="M1450" s="11">
        <v>45931</v>
      </c>
      <c r="N1450" s="11"/>
    </row>
    <row r="1451" spans="1:14" x14ac:dyDescent="0.25">
      <c r="A1451" s="13" t="s">
        <v>1578</v>
      </c>
      <c r="B1451" s="13" t="s">
        <v>117</v>
      </c>
      <c r="C1451" s="14">
        <v>45946</v>
      </c>
      <c r="D1451" s="14">
        <v>45976</v>
      </c>
      <c r="E1451" s="14"/>
      <c r="F1451" s="15">
        <v>19688.509999999998</v>
      </c>
      <c r="G1451" s="15">
        <v>0</v>
      </c>
      <c r="H1451" s="15">
        <f t="shared" si="110"/>
        <v>19688.509999999998</v>
      </c>
      <c r="I1451" s="13" t="str">
        <f t="shared" si="111"/>
        <v/>
      </c>
      <c r="J1451" s="13" t="str">
        <f t="shared" ca="1" si="112"/>
        <v>Overdue</v>
      </c>
      <c r="K1451" s="13">
        <f t="shared" ca="1" si="113"/>
        <v>280</v>
      </c>
      <c r="L1451" s="13" t="str">
        <f t="shared" ca="1" si="114"/>
        <v>120+ Days</v>
      </c>
      <c r="M1451" s="14">
        <v>45931</v>
      </c>
      <c r="N1451" s="14"/>
    </row>
    <row r="1452" spans="1:14" x14ac:dyDescent="0.25">
      <c r="A1452" s="10" t="s">
        <v>1579</v>
      </c>
      <c r="B1452" s="10" t="s">
        <v>81</v>
      </c>
      <c r="C1452" s="11">
        <v>45935</v>
      </c>
      <c r="D1452" s="11">
        <v>45965</v>
      </c>
      <c r="E1452" s="11"/>
      <c r="F1452" s="12">
        <v>95669.440000000002</v>
      </c>
      <c r="G1452" s="12">
        <v>0</v>
      </c>
      <c r="H1452" s="12">
        <f t="shared" si="110"/>
        <v>95669.440000000002</v>
      </c>
      <c r="I1452" s="10" t="str">
        <f t="shared" si="111"/>
        <v/>
      </c>
      <c r="J1452" s="10" t="str">
        <f t="shared" ca="1" si="112"/>
        <v>Overdue</v>
      </c>
      <c r="K1452" s="10">
        <f t="shared" ca="1" si="113"/>
        <v>291</v>
      </c>
      <c r="L1452" s="10" t="str">
        <f t="shared" ca="1" si="114"/>
        <v>120+ Days</v>
      </c>
      <c r="M1452" s="11">
        <v>45931</v>
      </c>
      <c r="N1452" s="11"/>
    </row>
    <row r="1453" spans="1:14" x14ac:dyDescent="0.25">
      <c r="A1453" s="13" t="s">
        <v>1580</v>
      </c>
      <c r="B1453" s="13" t="s">
        <v>161</v>
      </c>
      <c r="C1453" s="14">
        <v>45945</v>
      </c>
      <c r="D1453" s="14">
        <v>45975</v>
      </c>
      <c r="E1453" s="14">
        <v>45992</v>
      </c>
      <c r="F1453" s="15">
        <v>45964.34</v>
      </c>
      <c r="G1453" s="15">
        <v>45964.34</v>
      </c>
      <c r="H1453" s="15">
        <f t="shared" si="110"/>
        <v>0</v>
      </c>
      <c r="I1453" s="13">
        <f t="shared" si="111"/>
        <v>17</v>
      </c>
      <c r="J1453" s="13" t="str">
        <f t="shared" ca="1" si="112"/>
        <v>Paid</v>
      </c>
      <c r="K1453" s="13">
        <f t="shared" ca="1" si="113"/>
        <v>0</v>
      </c>
      <c r="L1453" s="13" t="str">
        <f t="shared" si="114"/>
        <v>Paid</v>
      </c>
      <c r="M1453" s="14">
        <v>45931</v>
      </c>
      <c r="N1453" s="14">
        <v>45992</v>
      </c>
    </row>
    <row r="1454" spans="1:14" x14ac:dyDescent="0.25">
      <c r="A1454" s="10" t="s">
        <v>1581</v>
      </c>
      <c r="B1454" s="10" t="s">
        <v>244</v>
      </c>
      <c r="C1454" s="11">
        <v>45941</v>
      </c>
      <c r="D1454" s="11">
        <v>45971</v>
      </c>
      <c r="E1454" s="11">
        <v>46026</v>
      </c>
      <c r="F1454" s="12">
        <v>34999.47</v>
      </c>
      <c r="G1454" s="12">
        <v>34999.47</v>
      </c>
      <c r="H1454" s="12">
        <f t="shared" si="110"/>
        <v>0</v>
      </c>
      <c r="I1454" s="10">
        <f t="shared" si="111"/>
        <v>55</v>
      </c>
      <c r="J1454" s="10" t="str">
        <f t="shared" ca="1" si="112"/>
        <v>Paid</v>
      </c>
      <c r="K1454" s="10">
        <f t="shared" ca="1" si="113"/>
        <v>0</v>
      </c>
      <c r="L1454" s="10" t="str">
        <f t="shared" si="114"/>
        <v>Paid</v>
      </c>
      <c r="M1454" s="11">
        <v>45931</v>
      </c>
      <c r="N1454" s="11">
        <v>46023</v>
      </c>
    </row>
    <row r="1455" spans="1:14" x14ac:dyDescent="0.25">
      <c r="A1455" s="13" t="s">
        <v>1582</v>
      </c>
      <c r="B1455" s="13" t="s">
        <v>79</v>
      </c>
      <c r="C1455" s="14">
        <v>45957</v>
      </c>
      <c r="D1455" s="14">
        <v>45987</v>
      </c>
      <c r="E1455" s="14">
        <v>46022</v>
      </c>
      <c r="F1455" s="15">
        <v>41784.51</v>
      </c>
      <c r="G1455" s="15">
        <v>41784.51</v>
      </c>
      <c r="H1455" s="15">
        <f t="shared" si="110"/>
        <v>0</v>
      </c>
      <c r="I1455" s="13">
        <f t="shared" si="111"/>
        <v>35</v>
      </c>
      <c r="J1455" s="13" t="str">
        <f t="shared" ca="1" si="112"/>
        <v>Paid</v>
      </c>
      <c r="K1455" s="13">
        <f t="shared" ca="1" si="113"/>
        <v>0</v>
      </c>
      <c r="L1455" s="13" t="str">
        <f t="shared" si="114"/>
        <v>Paid</v>
      </c>
      <c r="M1455" s="14">
        <v>45931</v>
      </c>
      <c r="N1455" s="14">
        <v>45992</v>
      </c>
    </row>
    <row r="1456" spans="1:14" x14ac:dyDescent="0.25">
      <c r="A1456" s="10" t="s">
        <v>1583</v>
      </c>
      <c r="B1456" s="10" t="s">
        <v>188</v>
      </c>
      <c r="C1456" s="11">
        <v>45951</v>
      </c>
      <c r="D1456" s="11">
        <v>45981</v>
      </c>
      <c r="E1456" s="11">
        <v>46012</v>
      </c>
      <c r="F1456" s="12">
        <v>27762.54</v>
      </c>
      <c r="G1456" s="12">
        <v>27762.54</v>
      </c>
      <c r="H1456" s="12">
        <f t="shared" si="110"/>
        <v>0</v>
      </c>
      <c r="I1456" s="10">
        <f t="shared" si="111"/>
        <v>31</v>
      </c>
      <c r="J1456" s="10" t="str">
        <f t="shared" ca="1" si="112"/>
        <v>Paid</v>
      </c>
      <c r="K1456" s="10">
        <f t="shared" ca="1" si="113"/>
        <v>0</v>
      </c>
      <c r="L1456" s="10" t="str">
        <f t="shared" si="114"/>
        <v>Paid</v>
      </c>
      <c r="M1456" s="11">
        <v>45931</v>
      </c>
      <c r="N1456" s="11">
        <v>45992</v>
      </c>
    </row>
    <row r="1457" spans="1:14" x14ac:dyDescent="0.25">
      <c r="A1457" s="13" t="s">
        <v>1584</v>
      </c>
      <c r="B1457" s="13" t="s">
        <v>107</v>
      </c>
      <c r="C1457" s="14">
        <v>45935</v>
      </c>
      <c r="D1457" s="14">
        <v>45965</v>
      </c>
      <c r="E1457" s="14">
        <v>45965</v>
      </c>
      <c r="F1457" s="15">
        <v>48829.08</v>
      </c>
      <c r="G1457" s="15">
        <v>48829.08</v>
      </c>
      <c r="H1457" s="15">
        <f t="shared" si="110"/>
        <v>0</v>
      </c>
      <c r="I1457" s="13">
        <f t="shared" si="111"/>
        <v>0</v>
      </c>
      <c r="J1457" s="13" t="str">
        <f t="shared" ca="1" si="112"/>
        <v>Paid</v>
      </c>
      <c r="K1457" s="13">
        <f t="shared" ca="1" si="113"/>
        <v>0</v>
      </c>
      <c r="L1457" s="13" t="str">
        <f t="shared" si="114"/>
        <v>Paid</v>
      </c>
      <c r="M1457" s="14">
        <v>45931</v>
      </c>
      <c r="N1457" s="14">
        <v>45962</v>
      </c>
    </row>
    <row r="1458" spans="1:14" x14ac:dyDescent="0.25">
      <c r="A1458" s="10" t="s">
        <v>1585</v>
      </c>
      <c r="B1458" s="10" t="s">
        <v>314</v>
      </c>
      <c r="C1458" s="11">
        <v>45934</v>
      </c>
      <c r="D1458" s="11">
        <v>45964</v>
      </c>
      <c r="E1458" s="11">
        <v>45973</v>
      </c>
      <c r="F1458" s="12">
        <v>50514.45</v>
      </c>
      <c r="G1458" s="12">
        <v>50514.45</v>
      </c>
      <c r="H1458" s="12">
        <f t="shared" si="110"/>
        <v>0</v>
      </c>
      <c r="I1458" s="10">
        <f t="shared" si="111"/>
        <v>9</v>
      </c>
      <c r="J1458" s="10" t="str">
        <f t="shared" ca="1" si="112"/>
        <v>Paid</v>
      </c>
      <c r="K1458" s="10">
        <f t="shared" ca="1" si="113"/>
        <v>0</v>
      </c>
      <c r="L1458" s="10" t="str">
        <f t="shared" si="114"/>
        <v>Paid</v>
      </c>
      <c r="M1458" s="11">
        <v>45931</v>
      </c>
      <c r="N1458" s="11">
        <v>45962</v>
      </c>
    </row>
    <row r="1459" spans="1:14" x14ac:dyDescent="0.25">
      <c r="A1459" s="13" t="s">
        <v>1586</v>
      </c>
      <c r="B1459" s="13" t="s">
        <v>119</v>
      </c>
      <c r="C1459" s="14">
        <v>45956</v>
      </c>
      <c r="D1459" s="14">
        <v>45986</v>
      </c>
      <c r="E1459" s="14">
        <v>45987</v>
      </c>
      <c r="F1459" s="15">
        <v>42521.39</v>
      </c>
      <c r="G1459" s="15">
        <v>42521.39</v>
      </c>
      <c r="H1459" s="15">
        <f t="shared" si="110"/>
        <v>0</v>
      </c>
      <c r="I1459" s="13">
        <f t="shared" si="111"/>
        <v>1</v>
      </c>
      <c r="J1459" s="13" t="str">
        <f t="shared" ca="1" si="112"/>
        <v>Paid</v>
      </c>
      <c r="K1459" s="13">
        <f t="shared" ca="1" si="113"/>
        <v>0</v>
      </c>
      <c r="L1459" s="13" t="str">
        <f t="shared" si="114"/>
        <v>Paid</v>
      </c>
      <c r="M1459" s="14">
        <v>45931</v>
      </c>
      <c r="N1459" s="14">
        <v>45962</v>
      </c>
    </row>
    <row r="1460" spans="1:14" x14ac:dyDescent="0.25">
      <c r="A1460" s="10" t="s">
        <v>1587</v>
      </c>
      <c r="B1460" s="10" t="s">
        <v>131</v>
      </c>
      <c r="C1460" s="11">
        <v>45951</v>
      </c>
      <c r="D1460" s="11">
        <v>45981</v>
      </c>
      <c r="E1460" s="11">
        <v>46004</v>
      </c>
      <c r="F1460" s="12">
        <v>16153.66</v>
      </c>
      <c r="G1460" s="12">
        <v>16153.66</v>
      </c>
      <c r="H1460" s="12">
        <f t="shared" si="110"/>
        <v>0</v>
      </c>
      <c r="I1460" s="10">
        <f t="shared" si="111"/>
        <v>23</v>
      </c>
      <c r="J1460" s="10" t="str">
        <f t="shared" ca="1" si="112"/>
        <v>Paid</v>
      </c>
      <c r="K1460" s="10">
        <f t="shared" ca="1" si="113"/>
        <v>0</v>
      </c>
      <c r="L1460" s="10" t="str">
        <f t="shared" si="114"/>
        <v>Paid</v>
      </c>
      <c r="M1460" s="11">
        <v>45931</v>
      </c>
      <c r="N1460" s="11">
        <v>45992</v>
      </c>
    </row>
    <row r="1461" spans="1:14" x14ac:dyDescent="0.25">
      <c r="A1461" s="13" t="s">
        <v>1588</v>
      </c>
      <c r="B1461" s="13" t="s">
        <v>244</v>
      </c>
      <c r="C1461" s="14">
        <v>45945</v>
      </c>
      <c r="D1461" s="14">
        <v>45975</v>
      </c>
      <c r="E1461" s="14"/>
      <c r="F1461" s="15">
        <v>47709.32</v>
      </c>
      <c r="G1461" s="15">
        <v>0</v>
      </c>
      <c r="H1461" s="15">
        <f t="shared" si="110"/>
        <v>47709.32</v>
      </c>
      <c r="I1461" s="13" t="str">
        <f t="shared" si="111"/>
        <v/>
      </c>
      <c r="J1461" s="13" t="str">
        <f t="shared" ca="1" si="112"/>
        <v>Overdue</v>
      </c>
      <c r="K1461" s="13">
        <f t="shared" ca="1" si="113"/>
        <v>281</v>
      </c>
      <c r="L1461" s="13" t="str">
        <f t="shared" ca="1" si="114"/>
        <v>120+ Days</v>
      </c>
      <c r="M1461" s="14">
        <v>45931</v>
      </c>
      <c r="N1461" s="14"/>
    </row>
    <row r="1462" spans="1:14" x14ac:dyDescent="0.25">
      <c r="A1462" s="10" t="s">
        <v>1589</v>
      </c>
      <c r="B1462" s="10" t="s">
        <v>220</v>
      </c>
      <c r="C1462" s="11">
        <v>45951</v>
      </c>
      <c r="D1462" s="11">
        <v>45981</v>
      </c>
      <c r="E1462" s="11">
        <v>46014</v>
      </c>
      <c r="F1462" s="12">
        <v>23976.39</v>
      </c>
      <c r="G1462" s="12">
        <v>23976.39</v>
      </c>
      <c r="H1462" s="12">
        <f t="shared" si="110"/>
        <v>0</v>
      </c>
      <c r="I1462" s="10">
        <f t="shared" si="111"/>
        <v>33</v>
      </c>
      <c r="J1462" s="10" t="str">
        <f t="shared" ca="1" si="112"/>
        <v>Paid</v>
      </c>
      <c r="K1462" s="10">
        <f t="shared" ca="1" si="113"/>
        <v>0</v>
      </c>
      <c r="L1462" s="10" t="str">
        <f t="shared" si="114"/>
        <v>Paid</v>
      </c>
      <c r="M1462" s="11">
        <v>45931</v>
      </c>
      <c r="N1462" s="11">
        <v>45992</v>
      </c>
    </row>
    <row r="1463" spans="1:14" x14ac:dyDescent="0.25">
      <c r="A1463" s="13" t="s">
        <v>1590</v>
      </c>
      <c r="B1463" s="13" t="s">
        <v>184</v>
      </c>
      <c r="C1463" s="14">
        <v>45944</v>
      </c>
      <c r="D1463" s="14">
        <v>45974</v>
      </c>
      <c r="E1463" s="14">
        <v>45993</v>
      </c>
      <c r="F1463" s="15">
        <v>87217.77</v>
      </c>
      <c r="G1463" s="15">
        <v>87217.77</v>
      </c>
      <c r="H1463" s="15">
        <f t="shared" si="110"/>
        <v>0</v>
      </c>
      <c r="I1463" s="13">
        <f t="shared" si="111"/>
        <v>19</v>
      </c>
      <c r="J1463" s="13" t="str">
        <f t="shared" ca="1" si="112"/>
        <v>Paid</v>
      </c>
      <c r="K1463" s="13">
        <f t="shared" ca="1" si="113"/>
        <v>0</v>
      </c>
      <c r="L1463" s="13" t="str">
        <f t="shared" si="114"/>
        <v>Paid</v>
      </c>
      <c r="M1463" s="14">
        <v>45931</v>
      </c>
      <c r="N1463" s="14">
        <v>45992</v>
      </c>
    </row>
    <row r="1464" spans="1:14" x14ac:dyDescent="0.25">
      <c r="A1464" s="10" t="s">
        <v>1591</v>
      </c>
      <c r="B1464" s="10" t="s">
        <v>72</v>
      </c>
      <c r="C1464" s="11">
        <v>45953</v>
      </c>
      <c r="D1464" s="11">
        <v>45983</v>
      </c>
      <c r="E1464" s="11">
        <v>46059</v>
      </c>
      <c r="F1464" s="12">
        <v>41641.949999999997</v>
      </c>
      <c r="G1464" s="12">
        <v>41641.949999999997</v>
      </c>
      <c r="H1464" s="12">
        <f t="shared" si="110"/>
        <v>0</v>
      </c>
      <c r="I1464" s="10">
        <f t="shared" si="111"/>
        <v>76</v>
      </c>
      <c r="J1464" s="10" t="str">
        <f t="shared" ca="1" si="112"/>
        <v>Paid</v>
      </c>
      <c r="K1464" s="10">
        <f t="shared" ca="1" si="113"/>
        <v>0</v>
      </c>
      <c r="L1464" s="10" t="str">
        <f t="shared" si="114"/>
        <v>Paid</v>
      </c>
      <c r="M1464" s="11">
        <v>45931</v>
      </c>
      <c r="N1464" s="11">
        <v>46054</v>
      </c>
    </row>
    <row r="1465" spans="1:14" x14ac:dyDescent="0.25">
      <c r="A1465" s="13" t="s">
        <v>1592</v>
      </c>
      <c r="B1465" s="13" t="s">
        <v>127</v>
      </c>
      <c r="C1465" s="14">
        <v>45949</v>
      </c>
      <c r="D1465" s="14">
        <v>45979</v>
      </c>
      <c r="E1465" s="14"/>
      <c r="F1465" s="15">
        <v>22117.11</v>
      </c>
      <c r="G1465" s="15">
        <v>0</v>
      </c>
      <c r="H1465" s="15">
        <f t="shared" si="110"/>
        <v>22117.11</v>
      </c>
      <c r="I1465" s="13" t="str">
        <f t="shared" si="111"/>
        <v/>
      </c>
      <c r="J1465" s="13" t="str">
        <f t="shared" ca="1" si="112"/>
        <v>Overdue</v>
      </c>
      <c r="K1465" s="13">
        <f t="shared" ca="1" si="113"/>
        <v>277</v>
      </c>
      <c r="L1465" s="13" t="str">
        <f t="shared" ca="1" si="114"/>
        <v>120+ Days</v>
      </c>
      <c r="M1465" s="14">
        <v>45931</v>
      </c>
      <c r="N1465" s="14"/>
    </row>
    <row r="1466" spans="1:14" x14ac:dyDescent="0.25">
      <c r="A1466" s="10" t="s">
        <v>1593</v>
      </c>
      <c r="B1466" s="10" t="s">
        <v>95</v>
      </c>
      <c r="C1466" s="11">
        <v>45954</v>
      </c>
      <c r="D1466" s="11">
        <v>45984</v>
      </c>
      <c r="E1466" s="11">
        <v>46017</v>
      </c>
      <c r="F1466" s="12">
        <v>41927.040000000001</v>
      </c>
      <c r="G1466" s="12">
        <v>41927.040000000001</v>
      </c>
      <c r="H1466" s="12">
        <f t="shared" si="110"/>
        <v>0</v>
      </c>
      <c r="I1466" s="10">
        <f t="shared" si="111"/>
        <v>33</v>
      </c>
      <c r="J1466" s="10" t="str">
        <f t="shared" ca="1" si="112"/>
        <v>Paid</v>
      </c>
      <c r="K1466" s="10">
        <f t="shared" ca="1" si="113"/>
        <v>0</v>
      </c>
      <c r="L1466" s="10" t="str">
        <f t="shared" si="114"/>
        <v>Paid</v>
      </c>
      <c r="M1466" s="11">
        <v>45931</v>
      </c>
      <c r="N1466" s="11">
        <v>45992</v>
      </c>
    </row>
    <row r="1467" spans="1:14" x14ac:dyDescent="0.25">
      <c r="A1467" s="13" t="s">
        <v>1594</v>
      </c>
      <c r="B1467" s="13" t="s">
        <v>150</v>
      </c>
      <c r="C1467" s="14">
        <v>45939</v>
      </c>
      <c r="D1467" s="14">
        <v>45969</v>
      </c>
      <c r="E1467" s="14"/>
      <c r="F1467" s="15">
        <v>45531.53</v>
      </c>
      <c r="G1467" s="15">
        <v>0</v>
      </c>
      <c r="H1467" s="15">
        <f t="shared" si="110"/>
        <v>45531.53</v>
      </c>
      <c r="I1467" s="13" t="str">
        <f t="shared" si="111"/>
        <v/>
      </c>
      <c r="J1467" s="13" t="str">
        <f t="shared" ca="1" si="112"/>
        <v>Overdue</v>
      </c>
      <c r="K1467" s="13">
        <f t="shared" ca="1" si="113"/>
        <v>287</v>
      </c>
      <c r="L1467" s="13" t="str">
        <f t="shared" ca="1" si="114"/>
        <v>120+ Days</v>
      </c>
      <c r="M1467" s="14">
        <v>45931</v>
      </c>
      <c r="N1467" s="14"/>
    </row>
    <row r="1468" spans="1:14" x14ac:dyDescent="0.25">
      <c r="A1468" s="10" t="s">
        <v>1595</v>
      </c>
      <c r="B1468" s="10" t="s">
        <v>184</v>
      </c>
      <c r="C1468" s="11">
        <v>45939</v>
      </c>
      <c r="D1468" s="11">
        <v>45969</v>
      </c>
      <c r="E1468" s="11"/>
      <c r="F1468" s="12">
        <v>25747.16</v>
      </c>
      <c r="G1468" s="12">
        <v>0</v>
      </c>
      <c r="H1468" s="12">
        <f t="shared" si="110"/>
        <v>25747.16</v>
      </c>
      <c r="I1468" s="10" t="str">
        <f t="shared" si="111"/>
        <v/>
      </c>
      <c r="J1468" s="10" t="str">
        <f t="shared" ca="1" si="112"/>
        <v>Overdue</v>
      </c>
      <c r="K1468" s="10">
        <f t="shared" ca="1" si="113"/>
        <v>287</v>
      </c>
      <c r="L1468" s="10" t="str">
        <f t="shared" ca="1" si="114"/>
        <v>120+ Days</v>
      </c>
      <c r="M1468" s="11">
        <v>45931</v>
      </c>
      <c r="N1468" s="11"/>
    </row>
    <row r="1469" spans="1:14" x14ac:dyDescent="0.25">
      <c r="A1469" s="13" t="s">
        <v>1596</v>
      </c>
      <c r="B1469" s="13" t="s">
        <v>70</v>
      </c>
      <c r="C1469" s="14">
        <v>45951</v>
      </c>
      <c r="D1469" s="14">
        <v>45981</v>
      </c>
      <c r="E1469" s="14">
        <v>45997</v>
      </c>
      <c r="F1469" s="15">
        <v>96703.26</v>
      </c>
      <c r="G1469" s="15">
        <v>96703.26</v>
      </c>
      <c r="H1469" s="15">
        <f t="shared" si="110"/>
        <v>0</v>
      </c>
      <c r="I1469" s="13">
        <f t="shared" si="111"/>
        <v>16</v>
      </c>
      <c r="J1469" s="13" t="str">
        <f t="shared" ca="1" si="112"/>
        <v>Paid</v>
      </c>
      <c r="K1469" s="13">
        <f t="shared" ca="1" si="113"/>
        <v>0</v>
      </c>
      <c r="L1469" s="13" t="str">
        <f t="shared" si="114"/>
        <v>Paid</v>
      </c>
      <c r="M1469" s="14">
        <v>45931</v>
      </c>
      <c r="N1469" s="14">
        <v>45992</v>
      </c>
    </row>
    <row r="1470" spans="1:14" x14ac:dyDescent="0.25">
      <c r="A1470" s="10" t="s">
        <v>1597</v>
      </c>
      <c r="B1470" s="10" t="s">
        <v>115</v>
      </c>
      <c r="C1470" s="11">
        <v>45935</v>
      </c>
      <c r="D1470" s="11">
        <v>45965</v>
      </c>
      <c r="E1470" s="11">
        <v>45965</v>
      </c>
      <c r="F1470" s="12">
        <v>47011.94</v>
      </c>
      <c r="G1470" s="12">
        <v>47011.94</v>
      </c>
      <c r="H1470" s="12">
        <f t="shared" si="110"/>
        <v>0</v>
      </c>
      <c r="I1470" s="10">
        <f t="shared" si="111"/>
        <v>0</v>
      </c>
      <c r="J1470" s="10" t="str">
        <f t="shared" ca="1" si="112"/>
        <v>Paid</v>
      </c>
      <c r="K1470" s="10">
        <f t="shared" ca="1" si="113"/>
        <v>0</v>
      </c>
      <c r="L1470" s="10" t="str">
        <f t="shared" si="114"/>
        <v>Paid</v>
      </c>
      <c r="M1470" s="11">
        <v>45931</v>
      </c>
      <c r="N1470" s="11">
        <v>45962</v>
      </c>
    </row>
    <row r="1471" spans="1:14" x14ac:dyDescent="0.25">
      <c r="A1471" s="13" t="s">
        <v>1598</v>
      </c>
      <c r="B1471" s="13" t="s">
        <v>70</v>
      </c>
      <c r="C1471" s="14">
        <v>45931</v>
      </c>
      <c r="D1471" s="14">
        <v>45961</v>
      </c>
      <c r="E1471" s="14"/>
      <c r="F1471" s="15">
        <v>40367.089999999997</v>
      </c>
      <c r="G1471" s="15">
        <v>0</v>
      </c>
      <c r="H1471" s="15">
        <f t="shared" si="110"/>
        <v>40367.089999999997</v>
      </c>
      <c r="I1471" s="13" t="str">
        <f t="shared" si="111"/>
        <v/>
      </c>
      <c r="J1471" s="13" t="str">
        <f t="shared" ca="1" si="112"/>
        <v>Overdue</v>
      </c>
      <c r="K1471" s="13">
        <f t="shared" ca="1" si="113"/>
        <v>295</v>
      </c>
      <c r="L1471" s="13" t="str">
        <f t="shared" ca="1" si="114"/>
        <v>120+ Days</v>
      </c>
      <c r="M1471" s="14">
        <v>45931</v>
      </c>
      <c r="N1471" s="14"/>
    </row>
    <row r="1472" spans="1:14" x14ac:dyDescent="0.25">
      <c r="A1472" s="10" t="s">
        <v>1599</v>
      </c>
      <c r="B1472" s="10" t="s">
        <v>85</v>
      </c>
      <c r="C1472" s="11">
        <v>45948</v>
      </c>
      <c r="D1472" s="11">
        <v>45978</v>
      </c>
      <c r="E1472" s="11">
        <v>45995</v>
      </c>
      <c r="F1472" s="12">
        <v>49426.65</v>
      </c>
      <c r="G1472" s="12">
        <v>49426.65</v>
      </c>
      <c r="H1472" s="12">
        <f t="shared" si="110"/>
        <v>0</v>
      </c>
      <c r="I1472" s="10">
        <f t="shared" si="111"/>
        <v>17</v>
      </c>
      <c r="J1472" s="10" t="str">
        <f t="shared" ca="1" si="112"/>
        <v>Paid</v>
      </c>
      <c r="K1472" s="10">
        <f t="shared" ca="1" si="113"/>
        <v>0</v>
      </c>
      <c r="L1472" s="10" t="str">
        <f t="shared" si="114"/>
        <v>Paid</v>
      </c>
      <c r="M1472" s="11">
        <v>45931</v>
      </c>
      <c r="N1472" s="11">
        <v>45992</v>
      </c>
    </row>
    <row r="1473" spans="1:14" x14ac:dyDescent="0.25">
      <c r="A1473" s="13" t="s">
        <v>1600</v>
      </c>
      <c r="B1473" s="13" t="s">
        <v>182</v>
      </c>
      <c r="C1473" s="14">
        <v>45956</v>
      </c>
      <c r="D1473" s="14">
        <v>45986</v>
      </c>
      <c r="E1473" s="14"/>
      <c r="F1473" s="15">
        <v>84793.25</v>
      </c>
      <c r="G1473" s="15">
        <v>0</v>
      </c>
      <c r="H1473" s="15">
        <f t="shared" si="110"/>
        <v>84793.25</v>
      </c>
      <c r="I1473" s="13" t="str">
        <f t="shared" si="111"/>
        <v/>
      </c>
      <c r="J1473" s="13" t="str">
        <f t="shared" ca="1" si="112"/>
        <v>Overdue</v>
      </c>
      <c r="K1473" s="13">
        <f t="shared" ca="1" si="113"/>
        <v>270</v>
      </c>
      <c r="L1473" s="13" t="str">
        <f t="shared" ca="1" si="114"/>
        <v>120+ Days</v>
      </c>
      <c r="M1473" s="14">
        <v>45931</v>
      </c>
      <c r="N1473" s="14"/>
    </row>
    <row r="1474" spans="1:14" x14ac:dyDescent="0.25">
      <c r="A1474" s="10" t="s">
        <v>1601</v>
      </c>
      <c r="B1474" s="10" t="s">
        <v>113</v>
      </c>
      <c r="C1474" s="11">
        <v>45956</v>
      </c>
      <c r="D1474" s="11">
        <v>45986</v>
      </c>
      <c r="E1474" s="11">
        <v>46020</v>
      </c>
      <c r="F1474" s="12">
        <v>30794.03</v>
      </c>
      <c r="G1474" s="12">
        <v>16643.939999999999</v>
      </c>
      <c r="H1474" s="12">
        <f t="shared" ref="H1474:H1537" si="115">MAX(0,F1474-G1474)</f>
        <v>14150.09</v>
      </c>
      <c r="I1474" s="10">
        <f t="shared" ref="I1474:I1537" si="116">IF(E1474="","",MAX(0,E1474-D1474))</f>
        <v>34</v>
      </c>
      <c r="J1474" s="10" t="str">
        <f t="shared" ref="J1474:J1537" ca="1" si="117">IF(H1474=0,"Paid",IF(D1474&lt;TODAY(),"Overdue","Open"))</f>
        <v>Overdue</v>
      </c>
      <c r="K1474" s="10">
        <f t="shared" ref="K1474:K1537" ca="1" si="118">IF(H1474=0,0,MAX(0,TODAY()-D1474))</f>
        <v>270</v>
      </c>
      <c r="L1474" s="10" t="str">
        <f t="shared" ref="L1474:L1537" ca="1" si="119">IF(H1474=0,"Paid",IF(K1474&lt;=30,"0-30 Days",IF(K1474&lt;=60,"31-60 Days",IF(K1474&lt;=90,"61-90 Days",IF(K1474&lt;=120,"91-120 Days","120+ Days")))))</f>
        <v>120+ Days</v>
      </c>
      <c r="M1474" s="11">
        <v>45931</v>
      </c>
      <c r="N1474" s="11">
        <v>45992</v>
      </c>
    </row>
    <row r="1475" spans="1:14" x14ac:dyDescent="0.25">
      <c r="A1475" s="13" t="s">
        <v>1602</v>
      </c>
      <c r="B1475" s="13" t="s">
        <v>107</v>
      </c>
      <c r="C1475" s="14">
        <v>45939</v>
      </c>
      <c r="D1475" s="14">
        <v>45969</v>
      </c>
      <c r="E1475" s="14">
        <v>45978</v>
      </c>
      <c r="F1475" s="15">
        <v>49512.27</v>
      </c>
      <c r="G1475" s="15">
        <v>49512.27</v>
      </c>
      <c r="H1475" s="15">
        <f t="shared" si="115"/>
        <v>0</v>
      </c>
      <c r="I1475" s="13">
        <f t="shared" si="116"/>
        <v>9</v>
      </c>
      <c r="J1475" s="13" t="str">
        <f t="shared" ca="1" si="117"/>
        <v>Paid</v>
      </c>
      <c r="K1475" s="13">
        <f t="shared" ca="1" si="118"/>
        <v>0</v>
      </c>
      <c r="L1475" s="13" t="str">
        <f t="shared" si="119"/>
        <v>Paid</v>
      </c>
      <c r="M1475" s="14">
        <v>45931</v>
      </c>
      <c r="N1475" s="14">
        <v>45962</v>
      </c>
    </row>
    <row r="1476" spans="1:14" x14ac:dyDescent="0.25">
      <c r="A1476" s="10" t="s">
        <v>1603</v>
      </c>
      <c r="B1476" s="10" t="s">
        <v>136</v>
      </c>
      <c r="C1476" s="11">
        <v>45951</v>
      </c>
      <c r="D1476" s="11">
        <v>45981</v>
      </c>
      <c r="E1476" s="11">
        <v>46001</v>
      </c>
      <c r="F1476" s="12">
        <v>54963.74</v>
      </c>
      <c r="G1476" s="12">
        <v>54963.74</v>
      </c>
      <c r="H1476" s="12">
        <f t="shared" si="115"/>
        <v>0</v>
      </c>
      <c r="I1476" s="10">
        <f t="shared" si="116"/>
        <v>20</v>
      </c>
      <c r="J1476" s="10" t="str">
        <f t="shared" ca="1" si="117"/>
        <v>Paid</v>
      </c>
      <c r="K1476" s="10">
        <f t="shared" ca="1" si="118"/>
        <v>0</v>
      </c>
      <c r="L1476" s="10" t="str">
        <f t="shared" si="119"/>
        <v>Paid</v>
      </c>
      <c r="M1476" s="11">
        <v>45931</v>
      </c>
      <c r="N1476" s="11">
        <v>45992</v>
      </c>
    </row>
    <row r="1477" spans="1:14" x14ac:dyDescent="0.25">
      <c r="A1477" s="13" t="s">
        <v>1604</v>
      </c>
      <c r="B1477" s="13" t="s">
        <v>463</v>
      </c>
      <c r="C1477" s="14">
        <v>45949</v>
      </c>
      <c r="D1477" s="14">
        <v>45979</v>
      </c>
      <c r="E1477" s="14">
        <v>46000</v>
      </c>
      <c r="F1477" s="15">
        <v>47632.639999999999</v>
      </c>
      <c r="G1477" s="15">
        <v>47632.639999999999</v>
      </c>
      <c r="H1477" s="15">
        <f t="shared" si="115"/>
        <v>0</v>
      </c>
      <c r="I1477" s="13">
        <f t="shared" si="116"/>
        <v>21</v>
      </c>
      <c r="J1477" s="13" t="str">
        <f t="shared" ca="1" si="117"/>
        <v>Paid</v>
      </c>
      <c r="K1477" s="13">
        <f t="shared" ca="1" si="118"/>
        <v>0</v>
      </c>
      <c r="L1477" s="13" t="str">
        <f t="shared" si="119"/>
        <v>Paid</v>
      </c>
      <c r="M1477" s="14">
        <v>45931</v>
      </c>
      <c r="N1477" s="14">
        <v>45992</v>
      </c>
    </row>
    <row r="1478" spans="1:14" x14ac:dyDescent="0.25">
      <c r="A1478" s="10" t="s">
        <v>1605</v>
      </c>
      <c r="B1478" s="10" t="s">
        <v>274</v>
      </c>
      <c r="C1478" s="11">
        <v>45933</v>
      </c>
      <c r="D1478" s="11">
        <v>45963</v>
      </c>
      <c r="E1478" s="11">
        <v>46019</v>
      </c>
      <c r="F1478" s="12">
        <v>14368.9</v>
      </c>
      <c r="G1478" s="12">
        <v>14368.9</v>
      </c>
      <c r="H1478" s="12">
        <f t="shared" si="115"/>
        <v>0</v>
      </c>
      <c r="I1478" s="10">
        <f t="shared" si="116"/>
        <v>56</v>
      </c>
      <c r="J1478" s="10" t="str">
        <f t="shared" ca="1" si="117"/>
        <v>Paid</v>
      </c>
      <c r="K1478" s="10">
        <f t="shared" ca="1" si="118"/>
        <v>0</v>
      </c>
      <c r="L1478" s="10" t="str">
        <f t="shared" si="119"/>
        <v>Paid</v>
      </c>
      <c r="M1478" s="11">
        <v>45931</v>
      </c>
      <c r="N1478" s="11">
        <v>45992</v>
      </c>
    </row>
    <row r="1479" spans="1:14" x14ac:dyDescent="0.25">
      <c r="A1479" s="13" t="s">
        <v>1606</v>
      </c>
      <c r="B1479" s="13" t="s">
        <v>76</v>
      </c>
      <c r="C1479" s="14">
        <v>45953</v>
      </c>
      <c r="D1479" s="14">
        <v>45983</v>
      </c>
      <c r="E1479" s="14">
        <v>46004</v>
      </c>
      <c r="F1479" s="15">
        <v>88050.27</v>
      </c>
      <c r="G1479" s="15">
        <v>88050.27</v>
      </c>
      <c r="H1479" s="15">
        <f t="shared" si="115"/>
        <v>0</v>
      </c>
      <c r="I1479" s="13">
        <f t="shared" si="116"/>
        <v>21</v>
      </c>
      <c r="J1479" s="13" t="str">
        <f t="shared" ca="1" si="117"/>
        <v>Paid</v>
      </c>
      <c r="K1479" s="13">
        <f t="shared" ca="1" si="118"/>
        <v>0</v>
      </c>
      <c r="L1479" s="13" t="str">
        <f t="shared" si="119"/>
        <v>Paid</v>
      </c>
      <c r="M1479" s="14">
        <v>45931</v>
      </c>
      <c r="N1479" s="14">
        <v>45992</v>
      </c>
    </row>
    <row r="1480" spans="1:14" x14ac:dyDescent="0.25">
      <c r="A1480" s="10" t="s">
        <v>1607</v>
      </c>
      <c r="B1480" s="10" t="s">
        <v>134</v>
      </c>
      <c r="C1480" s="11">
        <v>45947</v>
      </c>
      <c r="D1480" s="11">
        <v>45977</v>
      </c>
      <c r="E1480" s="11">
        <v>45990</v>
      </c>
      <c r="F1480" s="12">
        <v>37996.269999999997</v>
      </c>
      <c r="G1480" s="12">
        <v>37996.269999999997</v>
      </c>
      <c r="H1480" s="12">
        <f t="shared" si="115"/>
        <v>0</v>
      </c>
      <c r="I1480" s="10">
        <f t="shared" si="116"/>
        <v>13</v>
      </c>
      <c r="J1480" s="10" t="str">
        <f t="shared" ca="1" si="117"/>
        <v>Paid</v>
      </c>
      <c r="K1480" s="10">
        <f t="shared" ca="1" si="118"/>
        <v>0</v>
      </c>
      <c r="L1480" s="10" t="str">
        <f t="shared" si="119"/>
        <v>Paid</v>
      </c>
      <c r="M1480" s="11">
        <v>45931</v>
      </c>
      <c r="N1480" s="11">
        <v>45962</v>
      </c>
    </row>
    <row r="1481" spans="1:14" x14ac:dyDescent="0.25">
      <c r="A1481" s="13" t="s">
        <v>1608</v>
      </c>
      <c r="B1481" s="13" t="s">
        <v>99</v>
      </c>
      <c r="C1481" s="14">
        <v>45939</v>
      </c>
      <c r="D1481" s="14">
        <v>45969</v>
      </c>
      <c r="E1481" s="14">
        <v>45969</v>
      </c>
      <c r="F1481" s="15">
        <v>46636.46</v>
      </c>
      <c r="G1481" s="15">
        <v>46636.46</v>
      </c>
      <c r="H1481" s="15">
        <f t="shared" si="115"/>
        <v>0</v>
      </c>
      <c r="I1481" s="13">
        <f t="shared" si="116"/>
        <v>0</v>
      </c>
      <c r="J1481" s="13" t="str">
        <f t="shared" ca="1" si="117"/>
        <v>Paid</v>
      </c>
      <c r="K1481" s="13">
        <f t="shared" ca="1" si="118"/>
        <v>0</v>
      </c>
      <c r="L1481" s="13" t="str">
        <f t="shared" si="119"/>
        <v>Paid</v>
      </c>
      <c r="M1481" s="14">
        <v>45931</v>
      </c>
      <c r="N1481" s="14">
        <v>45962</v>
      </c>
    </row>
    <row r="1482" spans="1:14" x14ac:dyDescent="0.25">
      <c r="A1482" s="10" t="s">
        <v>1609</v>
      </c>
      <c r="B1482" s="10" t="s">
        <v>97</v>
      </c>
      <c r="C1482" s="11">
        <v>45937</v>
      </c>
      <c r="D1482" s="11">
        <v>45967</v>
      </c>
      <c r="E1482" s="11">
        <v>46000</v>
      </c>
      <c r="F1482" s="12">
        <v>13714.87</v>
      </c>
      <c r="G1482" s="12">
        <v>13714.87</v>
      </c>
      <c r="H1482" s="12">
        <f t="shared" si="115"/>
        <v>0</v>
      </c>
      <c r="I1482" s="10">
        <f t="shared" si="116"/>
        <v>33</v>
      </c>
      <c r="J1482" s="10" t="str">
        <f t="shared" ca="1" si="117"/>
        <v>Paid</v>
      </c>
      <c r="K1482" s="10">
        <f t="shared" ca="1" si="118"/>
        <v>0</v>
      </c>
      <c r="L1482" s="10" t="str">
        <f t="shared" si="119"/>
        <v>Paid</v>
      </c>
      <c r="M1482" s="11">
        <v>45931</v>
      </c>
      <c r="N1482" s="11">
        <v>45992</v>
      </c>
    </row>
    <row r="1483" spans="1:14" x14ac:dyDescent="0.25">
      <c r="A1483" s="13" t="s">
        <v>1610</v>
      </c>
      <c r="B1483" s="13" t="s">
        <v>188</v>
      </c>
      <c r="C1483" s="14">
        <v>45954</v>
      </c>
      <c r="D1483" s="14">
        <v>45984</v>
      </c>
      <c r="E1483" s="14">
        <v>45984</v>
      </c>
      <c r="F1483" s="15">
        <v>12793.19</v>
      </c>
      <c r="G1483" s="15">
        <v>12793.19</v>
      </c>
      <c r="H1483" s="15">
        <f t="shared" si="115"/>
        <v>0</v>
      </c>
      <c r="I1483" s="13">
        <f t="shared" si="116"/>
        <v>0</v>
      </c>
      <c r="J1483" s="13" t="str">
        <f t="shared" ca="1" si="117"/>
        <v>Paid</v>
      </c>
      <c r="K1483" s="13">
        <f t="shared" ca="1" si="118"/>
        <v>0</v>
      </c>
      <c r="L1483" s="13" t="str">
        <f t="shared" si="119"/>
        <v>Paid</v>
      </c>
      <c r="M1483" s="14">
        <v>45931</v>
      </c>
      <c r="N1483" s="14">
        <v>45962</v>
      </c>
    </row>
    <row r="1484" spans="1:14" x14ac:dyDescent="0.25">
      <c r="A1484" s="10" t="s">
        <v>1611</v>
      </c>
      <c r="B1484" s="10" t="s">
        <v>222</v>
      </c>
      <c r="C1484" s="11">
        <v>45957</v>
      </c>
      <c r="D1484" s="11">
        <v>45987</v>
      </c>
      <c r="E1484" s="11"/>
      <c r="F1484" s="12">
        <v>15896.65</v>
      </c>
      <c r="G1484" s="12">
        <v>0</v>
      </c>
      <c r="H1484" s="12">
        <f t="shared" si="115"/>
        <v>15896.65</v>
      </c>
      <c r="I1484" s="10" t="str">
        <f t="shared" si="116"/>
        <v/>
      </c>
      <c r="J1484" s="10" t="str">
        <f t="shared" ca="1" si="117"/>
        <v>Overdue</v>
      </c>
      <c r="K1484" s="10">
        <f t="shared" ca="1" si="118"/>
        <v>269</v>
      </c>
      <c r="L1484" s="10" t="str">
        <f t="shared" ca="1" si="119"/>
        <v>120+ Days</v>
      </c>
      <c r="M1484" s="11">
        <v>45931</v>
      </c>
      <c r="N1484" s="11"/>
    </row>
    <row r="1485" spans="1:14" x14ac:dyDescent="0.25">
      <c r="A1485" s="13" t="s">
        <v>1612</v>
      </c>
      <c r="B1485" s="13" t="s">
        <v>153</v>
      </c>
      <c r="C1485" s="14">
        <v>45972</v>
      </c>
      <c r="D1485" s="14">
        <v>46002</v>
      </c>
      <c r="E1485" s="14">
        <v>46033</v>
      </c>
      <c r="F1485" s="15">
        <v>54852.38</v>
      </c>
      <c r="G1485" s="15">
        <v>54852.38</v>
      </c>
      <c r="H1485" s="15">
        <f t="shared" si="115"/>
        <v>0</v>
      </c>
      <c r="I1485" s="13">
        <f t="shared" si="116"/>
        <v>31</v>
      </c>
      <c r="J1485" s="13" t="str">
        <f t="shared" ca="1" si="117"/>
        <v>Paid</v>
      </c>
      <c r="K1485" s="13">
        <f t="shared" ca="1" si="118"/>
        <v>0</v>
      </c>
      <c r="L1485" s="13" t="str">
        <f t="shared" si="119"/>
        <v>Paid</v>
      </c>
      <c r="M1485" s="14">
        <v>45962</v>
      </c>
      <c r="N1485" s="14">
        <v>46023</v>
      </c>
    </row>
    <row r="1486" spans="1:14" x14ac:dyDescent="0.25">
      <c r="A1486" s="10" t="s">
        <v>1613</v>
      </c>
      <c r="B1486" s="10" t="s">
        <v>83</v>
      </c>
      <c r="C1486" s="11">
        <v>45980</v>
      </c>
      <c r="D1486" s="11">
        <v>46010</v>
      </c>
      <c r="E1486" s="11">
        <v>46028</v>
      </c>
      <c r="F1486" s="12">
        <v>30688.19</v>
      </c>
      <c r="G1486" s="12">
        <v>17684.2</v>
      </c>
      <c r="H1486" s="12">
        <f t="shared" si="115"/>
        <v>13003.989999999998</v>
      </c>
      <c r="I1486" s="10">
        <f t="shared" si="116"/>
        <v>18</v>
      </c>
      <c r="J1486" s="10" t="str">
        <f t="shared" ca="1" si="117"/>
        <v>Overdue</v>
      </c>
      <c r="K1486" s="10">
        <f t="shared" ca="1" si="118"/>
        <v>246</v>
      </c>
      <c r="L1486" s="10" t="str">
        <f t="shared" ca="1" si="119"/>
        <v>120+ Days</v>
      </c>
      <c r="M1486" s="11">
        <v>45962</v>
      </c>
      <c r="N1486" s="11">
        <v>46023</v>
      </c>
    </row>
    <row r="1487" spans="1:14" x14ac:dyDescent="0.25">
      <c r="A1487" s="13" t="s">
        <v>1614</v>
      </c>
      <c r="B1487" s="13" t="s">
        <v>153</v>
      </c>
      <c r="C1487" s="14">
        <v>45985</v>
      </c>
      <c r="D1487" s="14">
        <v>46015</v>
      </c>
      <c r="E1487" s="14">
        <v>46043</v>
      </c>
      <c r="F1487" s="15">
        <v>71648.42</v>
      </c>
      <c r="G1487" s="15">
        <v>71648.42</v>
      </c>
      <c r="H1487" s="15">
        <f t="shared" si="115"/>
        <v>0</v>
      </c>
      <c r="I1487" s="13">
        <f t="shared" si="116"/>
        <v>28</v>
      </c>
      <c r="J1487" s="13" t="str">
        <f t="shared" ca="1" si="117"/>
        <v>Paid</v>
      </c>
      <c r="K1487" s="13">
        <f t="shared" ca="1" si="118"/>
        <v>0</v>
      </c>
      <c r="L1487" s="13" t="str">
        <f t="shared" si="119"/>
        <v>Paid</v>
      </c>
      <c r="M1487" s="14">
        <v>45962</v>
      </c>
      <c r="N1487" s="14">
        <v>46023</v>
      </c>
    </row>
    <row r="1488" spans="1:14" x14ac:dyDescent="0.25">
      <c r="A1488" s="10" t="s">
        <v>1615</v>
      </c>
      <c r="B1488" s="10" t="s">
        <v>111</v>
      </c>
      <c r="C1488" s="11">
        <v>45975</v>
      </c>
      <c r="D1488" s="11">
        <v>46005</v>
      </c>
      <c r="E1488" s="11">
        <v>46027</v>
      </c>
      <c r="F1488" s="12">
        <v>22087.919999999998</v>
      </c>
      <c r="G1488" s="12">
        <v>22087.919999999998</v>
      </c>
      <c r="H1488" s="12">
        <f t="shared" si="115"/>
        <v>0</v>
      </c>
      <c r="I1488" s="10">
        <f t="shared" si="116"/>
        <v>22</v>
      </c>
      <c r="J1488" s="10" t="str">
        <f t="shared" ca="1" si="117"/>
        <v>Paid</v>
      </c>
      <c r="K1488" s="10">
        <f t="shared" ca="1" si="118"/>
        <v>0</v>
      </c>
      <c r="L1488" s="10" t="str">
        <f t="shared" si="119"/>
        <v>Paid</v>
      </c>
      <c r="M1488" s="11">
        <v>45962</v>
      </c>
      <c r="N1488" s="11">
        <v>46023</v>
      </c>
    </row>
    <row r="1489" spans="1:14" x14ac:dyDescent="0.25">
      <c r="A1489" s="13" t="s">
        <v>1616</v>
      </c>
      <c r="B1489" s="13" t="s">
        <v>188</v>
      </c>
      <c r="C1489" s="14">
        <v>45966</v>
      </c>
      <c r="D1489" s="14">
        <v>45996</v>
      </c>
      <c r="E1489" s="14"/>
      <c r="F1489" s="15">
        <v>41844.03</v>
      </c>
      <c r="G1489" s="15">
        <v>0</v>
      </c>
      <c r="H1489" s="15">
        <f t="shared" si="115"/>
        <v>41844.03</v>
      </c>
      <c r="I1489" s="13" t="str">
        <f t="shared" si="116"/>
        <v/>
      </c>
      <c r="J1489" s="13" t="str">
        <f t="shared" ca="1" si="117"/>
        <v>Overdue</v>
      </c>
      <c r="K1489" s="13">
        <f t="shared" ca="1" si="118"/>
        <v>260</v>
      </c>
      <c r="L1489" s="13" t="str">
        <f t="shared" ca="1" si="119"/>
        <v>120+ Days</v>
      </c>
      <c r="M1489" s="14">
        <v>45962</v>
      </c>
      <c r="N1489" s="14"/>
    </row>
    <row r="1490" spans="1:14" x14ac:dyDescent="0.25">
      <c r="A1490" s="10" t="s">
        <v>1617</v>
      </c>
      <c r="B1490" s="10" t="s">
        <v>79</v>
      </c>
      <c r="C1490" s="11">
        <v>45974</v>
      </c>
      <c r="D1490" s="11">
        <v>46004</v>
      </c>
      <c r="E1490" s="11">
        <v>46037</v>
      </c>
      <c r="F1490" s="12">
        <v>61509.69</v>
      </c>
      <c r="G1490" s="12">
        <v>61509.69</v>
      </c>
      <c r="H1490" s="12">
        <f t="shared" si="115"/>
        <v>0</v>
      </c>
      <c r="I1490" s="10">
        <f t="shared" si="116"/>
        <v>33</v>
      </c>
      <c r="J1490" s="10" t="str">
        <f t="shared" ca="1" si="117"/>
        <v>Paid</v>
      </c>
      <c r="K1490" s="10">
        <f t="shared" ca="1" si="118"/>
        <v>0</v>
      </c>
      <c r="L1490" s="10" t="str">
        <f t="shared" si="119"/>
        <v>Paid</v>
      </c>
      <c r="M1490" s="11">
        <v>45962</v>
      </c>
      <c r="N1490" s="11">
        <v>46023</v>
      </c>
    </row>
    <row r="1491" spans="1:14" x14ac:dyDescent="0.25">
      <c r="A1491" s="13" t="s">
        <v>1618</v>
      </c>
      <c r="B1491" s="13" t="s">
        <v>224</v>
      </c>
      <c r="C1491" s="14">
        <v>45980</v>
      </c>
      <c r="D1491" s="14">
        <v>46010</v>
      </c>
      <c r="E1491" s="14">
        <v>46029</v>
      </c>
      <c r="F1491" s="15">
        <v>16653.82</v>
      </c>
      <c r="G1491" s="15">
        <v>13514.51</v>
      </c>
      <c r="H1491" s="15">
        <f t="shared" si="115"/>
        <v>3139.3099999999995</v>
      </c>
      <c r="I1491" s="13">
        <f t="shared" si="116"/>
        <v>19</v>
      </c>
      <c r="J1491" s="13" t="str">
        <f t="shared" ca="1" si="117"/>
        <v>Overdue</v>
      </c>
      <c r="K1491" s="13">
        <f t="shared" ca="1" si="118"/>
        <v>246</v>
      </c>
      <c r="L1491" s="13" t="str">
        <f t="shared" ca="1" si="119"/>
        <v>120+ Days</v>
      </c>
      <c r="M1491" s="14">
        <v>45962</v>
      </c>
      <c r="N1491" s="14">
        <v>46023</v>
      </c>
    </row>
    <row r="1492" spans="1:14" x14ac:dyDescent="0.25">
      <c r="A1492" s="10" t="s">
        <v>1619</v>
      </c>
      <c r="B1492" s="10" t="s">
        <v>101</v>
      </c>
      <c r="C1492" s="11">
        <v>45988</v>
      </c>
      <c r="D1492" s="11">
        <v>46018</v>
      </c>
      <c r="E1492" s="11"/>
      <c r="F1492" s="12">
        <v>29601.47</v>
      </c>
      <c r="G1492" s="12">
        <v>0</v>
      </c>
      <c r="H1492" s="12">
        <f t="shared" si="115"/>
        <v>29601.47</v>
      </c>
      <c r="I1492" s="10" t="str">
        <f t="shared" si="116"/>
        <v/>
      </c>
      <c r="J1492" s="10" t="str">
        <f t="shared" ca="1" si="117"/>
        <v>Overdue</v>
      </c>
      <c r="K1492" s="10">
        <f t="shared" ca="1" si="118"/>
        <v>238</v>
      </c>
      <c r="L1492" s="10" t="str">
        <f t="shared" ca="1" si="119"/>
        <v>120+ Days</v>
      </c>
      <c r="M1492" s="11">
        <v>45962</v>
      </c>
      <c r="N1492" s="11"/>
    </row>
    <row r="1493" spans="1:14" x14ac:dyDescent="0.25">
      <c r="A1493" s="13" t="s">
        <v>1620</v>
      </c>
      <c r="B1493" s="13" t="s">
        <v>449</v>
      </c>
      <c r="C1493" s="14">
        <v>45984</v>
      </c>
      <c r="D1493" s="14">
        <v>46014</v>
      </c>
      <c r="E1493" s="14">
        <v>46042</v>
      </c>
      <c r="F1493" s="15">
        <v>41513.14</v>
      </c>
      <c r="G1493" s="15">
        <v>41513.14</v>
      </c>
      <c r="H1493" s="15">
        <f t="shared" si="115"/>
        <v>0</v>
      </c>
      <c r="I1493" s="13">
        <f t="shared" si="116"/>
        <v>28</v>
      </c>
      <c r="J1493" s="13" t="str">
        <f t="shared" ca="1" si="117"/>
        <v>Paid</v>
      </c>
      <c r="K1493" s="13">
        <f t="shared" ca="1" si="118"/>
        <v>0</v>
      </c>
      <c r="L1493" s="13" t="str">
        <f t="shared" si="119"/>
        <v>Paid</v>
      </c>
      <c r="M1493" s="14">
        <v>45962</v>
      </c>
      <c r="N1493" s="14">
        <v>46023</v>
      </c>
    </row>
    <row r="1494" spans="1:14" x14ac:dyDescent="0.25">
      <c r="A1494" s="10" t="s">
        <v>1621</v>
      </c>
      <c r="B1494" s="10" t="s">
        <v>117</v>
      </c>
      <c r="C1494" s="11">
        <v>45977</v>
      </c>
      <c r="D1494" s="11">
        <v>46007</v>
      </c>
      <c r="E1494" s="11">
        <v>46047</v>
      </c>
      <c r="F1494" s="12">
        <v>180000</v>
      </c>
      <c r="G1494" s="12">
        <v>103381.8</v>
      </c>
      <c r="H1494" s="12">
        <f t="shared" si="115"/>
        <v>76618.2</v>
      </c>
      <c r="I1494" s="10">
        <f t="shared" si="116"/>
        <v>40</v>
      </c>
      <c r="J1494" s="10" t="str">
        <f t="shared" ca="1" si="117"/>
        <v>Overdue</v>
      </c>
      <c r="K1494" s="10">
        <f t="shared" ca="1" si="118"/>
        <v>249</v>
      </c>
      <c r="L1494" s="10" t="str">
        <f t="shared" ca="1" si="119"/>
        <v>120+ Days</v>
      </c>
      <c r="M1494" s="11">
        <v>45962</v>
      </c>
      <c r="N1494" s="11">
        <v>46023</v>
      </c>
    </row>
    <row r="1495" spans="1:14" x14ac:dyDescent="0.25">
      <c r="A1495" s="13" t="s">
        <v>1622</v>
      </c>
      <c r="B1495" s="13" t="s">
        <v>180</v>
      </c>
      <c r="C1495" s="14">
        <v>45980</v>
      </c>
      <c r="D1495" s="14">
        <v>46010</v>
      </c>
      <c r="E1495" s="14">
        <v>46027</v>
      </c>
      <c r="F1495" s="15">
        <v>28313.74</v>
      </c>
      <c r="G1495" s="15">
        <v>14757.62</v>
      </c>
      <c r="H1495" s="15">
        <f t="shared" si="115"/>
        <v>13556.12</v>
      </c>
      <c r="I1495" s="13">
        <f t="shared" si="116"/>
        <v>17</v>
      </c>
      <c r="J1495" s="13" t="str">
        <f t="shared" ca="1" si="117"/>
        <v>Overdue</v>
      </c>
      <c r="K1495" s="13">
        <f t="shared" ca="1" si="118"/>
        <v>246</v>
      </c>
      <c r="L1495" s="13" t="str">
        <f t="shared" ca="1" si="119"/>
        <v>120+ Days</v>
      </c>
      <c r="M1495" s="14">
        <v>45962</v>
      </c>
      <c r="N1495" s="14">
        <v>46023</v>
      </c>
    </row>
    <row r="1496" spans="1:14" x14ac:dyDescent="0.25">
      <c r="A1496" s="10" t="s">
        <v>1623</v>
      </c>
      <c r="B1496" s="10" t="s">
        <v>87</v>
      </c>
      <c r="C1496" s="11">
        <v>45981</v>
      </c>
      <c r="D1496" s="11">
        <v>46011</v>
      </c>
      <c r="E1496" s="11">
        <v>46037</v>
      </c>
      <c r="F1496" s="12">
        <v>11653.29</v>
      </c>
      <c r="G1496" s="12">
        <v>9111.99</v>
      </c>
      <c r="H1496" s="12">
        <f t="shared" si="115"/>
        <v>2541.3000000000011</v>
      </c>
      <c r="I1496" s="10">
        <f t="shared" si="116"/>
        <v>26</v>
      </c>
      <c r="J1496" s="10" t="str">
        <f t="shared" ca="1" si="117"/>
        <v>Overdue</v>
      </c>
      <c r="K1496" s="10">
        <f t="shared" ca="1" si="118"/>
        <v>245</v>
      </c>
      <c r="L1496" s="10" t="str">
        <f t="shared" ca="1" si="119"/>
        <v>120+ Days</v>
      </c>
      <c r="M1496" s="11">
        <v>45962</v>
      </c>
      <c r="N1496" s="11">
        <v>46023</v>
      </c>
    </row>
    <row r="1497" spans="1:14" x14ac:dyDescent="0.25">
      <c r="A1497" s="13" t="s">
        <v>1624</v>
      </c>
      <c r="B1497" s="13" t="s">
        <v>101</v>
      </c>
      <c r="C1497" s="14">
        <v>45978</v>
      </c>
      <c r="D1497" s="14">
        <v>46008</v>
      </c>
      <c r="E1497" s="14">
        <v>46042</v>
      </c>
      <c r="F1497" s="15">
        <v>31733.599999999999</v>
      </c>
      <c r="G1497" s="15">
        <v>31733.599999999999</v>
      </c>
      <c r="H1497" s="15">
        <f t="shared" si="115"/>
        <v>0</v>
      </c>
      <c r="I1497" s="13">
        <f t="shared" si="116"/>
        <v>34</v>
      </c>
      <c r="J1497" s="13" t="str">
        <f t="shared" ca="1" si="117"/>
        <v>Paid</v>
      </c>
      <c r="K1497" s="13">
        <f t="shared" ca="1" si="118"/>
        <v>0</v>
      </c>
      <c r="L1497" s="13" t="str">
        <f t="shared" si="119"/>
        <v>Paid</v>
      </c>
      <c r="M1497" s="14">
        <v>45962</v>
      </c>
      <c r="N1497" s="14">
        <v>46023</v>
      </c>
    </row>
    <row r="1498" spans="1:14" x14ac:dyDescent="0.25">
      <c r="A1498" s="10" t="s">
        <v>1625</v>
      </c>
      <c r="B1498" s="10" t="s">
        <v>222</v>
      </c>
      <c r="C1498" s="11">
        <v>45979</v>
      </c>
      <c r="D1498" s="11">
        <v>46009</v>
      </c>
      <c r="E1498" s="11">
        <v>46054</v>
      </c>
      <c r="F1498" s="12">
        <v>54923.76</v>
      </c>
      <c r="G1498" s="12">
        <v>54923.76</v>
      </c>
      <c r="H1498" s="12">
        <f t="shared" si="115"/>
        <v>0</v>
      </c>
      <c r="I1498" s="10">
        <f t="shared" si="116"/>
        <v>45</v>
      </c>
      <c r="J1498" s="10" t="str">
        <f t="shared" ca="1" si="117"/>
        <v>Paid</v>
      </c>
      <c r="K1498" s="10">
        <f t="shared" ca="1" si="118"/>
        <v>0</v>
      </c>
      <c r="L1498" s="10" t="str">
        <f t="shared" si="119"/>
        <v>Paid</v>
      </c>
      <c r="M1498" s="11">
        <v>45962</v>
      </c>
      <c r="N1498" s="11">
        <v>46054</v>
      </c>
    </row>
    <row r="1499" spans="1:14" x14ac:dyDescent="0.25">
      <c r="A1499" s="13" t="s">
        <v>1626</v>
      </c>
      <c r="B1499" s="13" t="s">
        <v>134</v>
      </c>
      <c r="C1499" s="14">
        <v>45973</v>
      </c>
      <c r="D1499" s="14">
        <v>46003</v>
      </c>
      <c r="E1499" s="14">
        <v>46019</v>
      </c>
      <c r="F1499" s="15">
        <v>71166.240000000005</v>
      </c>
      <c r="G1499" s="15">
        <v>71166.240000000005</v>
      </c>
      <c r="H1499" s="15">
        <f t="shared" si="115"/>
        <v>0</v>
      </c>
      <c r="I1499" s="13">
        <f t="shared" si="116"/>
        <v>16</v>
      </c>
      <c r="J1499" s="13" t="str">
        <f t="shared" ca="1" si="117"/>
        <v>Paid</v>
      </c>
      <c r="K1499" s="13">
        <f t="shared" ca="1" si="118"/>
        <v>0</v>
      </c>
      <c r="L1499" s="13" t="str">
        <f t="shared" si="119"/>
        <v>Paid</v>
      </c>
      <c r="M1499" s="14">
        <v>45962</v>
      </c>
      <c r="N1499" s="14">
        <v>45992</v>
      </c>
    </row>
    <row r="1500" spans="1:14" x14ac:dyDescent="0.25">
      <c r="A1500" s="10" t="s">
        <v>1627</v>
      </c>
      <c r="B1500" s="10" t="s">
        <v>101</v>
      </c>
      <c r="C1500" s="11">
        <v>45966</v>
      </c>
      <c r="D1500" s="11">
        <v>45996</v>
      </c>
      <c r="E1500" s="11"/>
      <c r="F1500" s="12">
        <v>50837.85</v>
      </c>
      <c r="G1500" s="12">
        <v>0</v>
      </c>
      <c r="H1500" s="12">
        <f t="shared" si="115"/>
        <v>50837.85</v>
      </c>
      <c r="I1500" s="10" t="str">
        <f t="shared" si="116"/>
        <v/>
      </c>
      <c r="J1500" s="10" t="str">
        <f t="shared" ca="1" si="117"/>
        <v>Overdue</v>
      </c>
      <c r="K1500" s="10">
        <f t="shared" ca="1" si="118"/>
        <v>260</v>
      </c>
      <c r="L1500" s="10" t="str">
        <f t="shared" ca="1" si="119"/>
        <v>120+ Days</v>
      </c>
      <c r="M1500" s="11">
        <v>45962</v>
      </c>
      <c r="N1500" s="11"/>
    </row>
    <row r="1501" spans="1:14" x14ac:dyDescent="0.25">
      <c r="A1501" s="13" t="s">
        <v>1628</v>
      </c>
      <c r="B1501" s="13" t="s">
        <v>76</v>
      </c>
      <c r="C1501" s="14">
        <v>45981</v>
      </c>
      <c r="D1501" s="14">
        <v>46011</v>
      </c>
      <c r="E1501" s="14">
        <v>46016</v>
      </c>
      <c r="F1501" s="15">
        <v>16720.939999999999</v>
      </c>
      <c r="G1501" s="15">
        <v>16720.939999999999</v>
      </c>
      <c r="H1501" s="15">
        <f t="shared" si="115"/>
        <v>0</v>
      </c>
      <c r="I1501" s="13">
        <f t="shared" si="116"/>
        <v>5</v>
      </c>
      <c r="J1501" s="13" t="str">
        <f t="shared" ca="1" si="117"/>
        <v>Paid</v>
      </c>
      <c r="K1501" s="13">
        <f t="shared" ca="1" si="118"/>
        <v>0</v>
      </c>
      <c r="L1501" s="13" t="str">
        <f t="shared" si="119"/>
        <v>Paid</v>
      </c>
      <c r="M1501" s="14">
        <v>45962</v>
      </c>
      <c r="N1501" s="14">
        <v>45992</v>
      </c>
    </row>
    <row r="1502" spans="1:14" x14ac:dyDescent="0.25">
      <c r="A1502" s="10" t="s">
        <v>1629</v>
      </c>
      <c r="B1502" s="10" t="s">
        <v>95</v>
      </c>
      <c r="C1502" s="11">
        <v>45987</v>
      </c>
      <c r="D1502" s="11">
        <v>46017</v>
      </c>
      <c r="E1502" s="11"/>
      <c r="F1502" s="12">
        <v>47262.64</v>
      </c>
      <c r="G1502" s="12">
        <v>0</v>
      </c>
      <c r="H1502" s="12">
        <f t="shared" si="115"/>
        <v>47262.64</v>
      </c>
      <c r="I1502" s="10" t="str">
        <f t="shared" si="116"/>
        <v/>
      </c>
      <c r="J1502" s="10" t="str">
        <f t="shared" ca="1" si="117"/>
        <v>Overdue</v>
      </c>
      <c r="K1502" s="10">
        <f t="shared" ca="1" si="118"/>
        <v>239</v>
      </c>
      <c r="L1502" s="10" t="str">
        <f t="shared" ca="1" si="119"/>
        <v>120+ Days</v>
      </c>
      <c r="M1502" s="11">
        <v>45962</v>
      </c>
      <c r="N1502" s="11"/>
    </row>
    <row r="1503" spans="1:14" x14ac:dyDescent="0.25">
      <c r="A1503" s="13" t="s">
        <v>1630</v>
      </c>
      <c r="B1503" s="13" t="s">
        <v>159</v>
      </c>
      <c r="C1503" s="14">
        <v>45987</v>
      </c>
      <c r="D1503" s="14">
        <v>46017</v>
      </c>
      <c r="E1503" s="14"/>
      <c r="F1503" s="15">
        <v>71802.34</v>
      </c>
      <c r="G1503" s="15">
        <v>0</v>
      </c>
      <c r="H1503" s="15">
        <f t="shared" si="115"/>
        <v>71802.34</v>
      </c>
      <c r="I1503" s="13" t="str">
        <f t="shared" si="116"/>
        <v/>
      </c>
      <c r="J1503" s="13" t="str">
        <f t="shared" ca="1" si="117"/>
        <v>Overdue</v>
      </c>
      <c r="K1503" s="13">
        <f t="shared" ca="1" si="118"/>
        <v>239</v>
      </c>
      <c r="L1503" s="13" t="str">
        <f t="shared" ca="1" si="119"/>
        <v>120+ Days</v>
      </c>
      <c r="M1503" s="14">
        <v>45962</v>
      </c>
      <c r="N1503" s="14"/>
    </row>
    <row r="1504" spans="1:14" x14ac:dyDescent="0.25">
      <c r="A1504" s="10" t="s">
        <v>1631</v>
      </c>
      <c r="B1504" s="10" t="s">
        <v>119</v>
      </c>
      <c r="C1504" s="11">
        <v>45964</v>
      </c>
      <c r="D1504" s="11">
        <v>45994</v>
      </c>
      <c r="E1504" s="11">
        <v>45998</v>
      </c>
      <c r="F1504" s="12">
        <v>43530.49</v>
      </c>
      <c r="G1504" s="12">
        <v>43530.49</v>
      </c>
      <c r="H1504" s="12">
        <f t="shared" si="115"/>
        <v>0</v>
      </c>
      <c r="I1504" s="10">
        <f t="shared" si="116"/>
        <v>4</v>
      </c>
      <c r="J1504" s="10" t="str">
        <f t="shared" ca="1" si="117"/>
        <v>Paid</v>
      </c>
      <c r="K1504" s="10">
        <f t="shared" ca="1" si="118"/>
        <v>0</v>
      </c>
      <c r="L1504" s="10" t="str">
        <f t="shared" si="119"/>
        <v>Paid</v>
      </c>
      <c r="M1504" s="11">
        <v>45962</v>
      </c>
      <c r="N1504" s="11">
        <v>45992</v>
      </c>
    </row>
    <row r="1505" spans="1:14" x14ac:dyDescent="0.25">
      <c r="A1505" s="13" t="s">
        <v>1632</v>
      </c>
      <c r="B1505" s="13" t="s">
        <v>271</v>
      </c>
      <c r="C1505" s="14">
        <v>45980</v>
      </c>
      <c r="D1505" s="14">
        <v>46010</v>
      </c>
      <c r="E1505" s="14"/>
      <c r="F1505" s="15">
        <v>8000</v>
      </c>
      <c r="G1505" s="15">
        <v>0</v>
      </c>
      <c r="H1505" s="15">
        <f t="shared" si="115"/>
        <v>8000</v>
      </c>
      <c r="I1505" s="13" t="str">
        <f t="shared" si="116"/>
        <v/>
      </c>
      <c r="J1505" s="13" t="str">
        <f t="shared" ca="1" si="117"/>
        <v>Overdue</v>
      </c>
      <c r="K1505" s="13">
        <f t="shared" ca="1" si="118"/>
        <v>246</v>
      </c>
      <c r="L1505" s="13" t="str">
        <f t="shared" ca="1" si="119"/>
        <v>120+ Days</v>
      </c>
      <c r="M1505" s="14">
        <v>45962</v>
      </c>
      <c r="N1505" s="14"/>
    </row>
    <row r="1506" spans="1:14" x14ac:dyDescent="0.25">
      <c r="A1506" s="10" t="s">
        <v>1633</v>
      </c>
      <c r="B1506" s="10" t="s">
        <v>159</v>
      </c>
      <c r="C1506" s="11">
        <v>45982</v>
      </c>
      <c r="D1506" s="11">
        <v>46012</v>
      </c>
      <c r="E1506" s="11">
        <v>46105</v>
      </c>
      <c r="F1506" s="12">
        <v>52131.51</v>
      </c>
      <c r="G1506" s="12">
        <v>52131.51</v>
      </c>
      <c r="H1506" s="12">
        <f t="shared" si="115"/>
        <v>0</v>
      </c>
      <c r="I1506" s="10">
        <f t="shared" si="116"/>
        <v>93</v>
      </c>
      <c r="J1506" s="10" t="str">
        <f t="shared" ca="1" si="117"/>
        <v>Paid</v>
      </c>
      <c r="K1506" s="10">
        <f t="shared" ca="1" si="118"/>
        <v>0</v>
      </c>
      <c r="L1506" s="10" t="str">
        <f t="shared" si="119"/>
        <v>Paid</v>
      </c>
      <c r="M1506" s="11">
        <v>45962</v>
      </c>
      <c r="N1506" s="11">
        <v>46082</v>
      </c>
    </row>
    <row r="1507" spans="1:14" x14ac:dyDescent="0.25">
      <c r="A1507" s="13" t="s">
        <v>1634</v>
      </c>
      <c r="B1507" s="13" t="s">
        <v>95</v>
      </c>
      <c r="C1507" s="14">
        <v>45976</v>
      </c>
      <c r="D1507" s="14">
        <v>46006</v>
      </c>
      <c r="E1507" s="14"/>
      <c r="F1507" s="15">
        <v>41063.94</v>
      </c>
      <c r="G1507" s="15">
        <v>0</v>
      </c>
      <c r="H1507" s="15">
        <f t="shared" si="115"/>
        <v>41063.94</v>
      </c>
      <c r="I1507" s="13" t="str">
        <f t="shared" si="116"/>
        <v/>
      </c>
      <c r="J1507" s="13" t="str">
        <f t="shared" ca="1" si="117"/>
        <v>Overdue</v>
      </c>
      <c r="K1507" s="13">
        <f t="shared" ca="1" si="118"/>
        <v>250</v>
      </c>
      <c r="L1507" s="13" t="str">
        <f t="shared" ca="1" si="119"/>
        <v>120+ Days</v>
      </c>
      <c r="M1507" s="14">
        <v>45962</v>
      </c>
      <c r="N1507" s="14"/>
    </row>
    <row r="1508" spans="1:14" x14ac:dyDescent="0.25">
      <c r="A1508" s="10" t="s">
        <v>1635</v>
      </c>
      <c r="B1508" s="10" t="s">
        <v>113</v>
      </c>
      <c r="C1508" s="11">
        <v>45962</v>
      </c>
      <c r="D1508" s="11">
        <v>45992</v>
      </c>
      <c r="E1508" s="11"/>
      <c r="F1508" s="12">
        <v>94711.95</v>
      </c>
      <c r="G1508" s="12">
        <v>0</v>
      </c>
      <c r="H1508" s="12">
        <f t="shared" si="115"/>
        <v>94711.95</v>
      </c>
      <c r="I1508" s="10" t="str">
        <f t="shared" si="116"/>
        <v/>
      </c>
      <c r="J1508" s="10" t="str">
        <f t="shared" ca="1" si="117"/>
        <v>Overdue</v>
      </c>
      <c r="K1508" s="10">
        <f t="shared" ca="1" si="118"/>
        <v>264</v>
      </c>
      <c r="L1508" s="10" t="str">
        <f t="shared" ca="1" si="119"/>
        <v>120+ Days</v>
      </c>
      <c r="M1508" s="11">
        <v>45962</v>
      </c>
      <c r="N1508" s="11"/>
    </row>
    <row r="1509" spans="1:14" x14ac:dyDescent="0.25">
      <c r="A1509" s="13" t="s">
        <v>1636</v>
      </c>
      <c r="B1509" s="13" t="s">
        <v>278</v>
      </c>
      <c r="C1509" s="14">
        <v>45977</v>
      </c>
      <c r="D1509" s="14">
        <v>46007</v>
      </c>
      <c r="E1509" s="14">
        <v>46071</v>
      </c>
      <c r="F1509" s="15">
        <v>74019.23</v>
      </c>
      <c r="G1509" s="15">
        <v>74019.23</v>
      </c>
      <c r="H1509" s="15">
        <f t="shared" si="115"/>
        <v>0</v>
      </c>
      <c r="I1509" s="13">
        <f t="shared" si="116"/>
        <v>64</v>
      </c>
      <c r="J1509" s="13" t="str">
        <f t="shared" ca="1" si="117"/>
        <v>Paid</v>
      </c>
      <c r="K1509" s="13">
        <f t="shared" ca="1" si="118"/>
        <v>0</v>
      </c>
      <c r="L1509" s="13" t="str">
        <f t="shared" si="119"/>
        <v>Paid</v>
      </c>
      <c r="M1509" s="14">
        <v>45962</v>
      </c>
      <c r="N1509" s="14">
        <v>46054</v>
      </c>
    </row>
    <row r="1510" spans="1:14" x14ac:dyDescent="0.25">
      <c r="A1510" s="10" t="s">
        <v>1637</v>
      </c>
      <c r="B1510" s="10" t="s">
        <v>222</v>
      </c>
      <c r="C1510" s="11">
        <v>45979</v>
      </c>
      <c r="D1510" s="11">
        <v>46009</v>
      </c>
      <c r="E1510" s="11">
        <v>46041</v>
      </c>
      <c r="F1510" s="12">
        <v>70313.210000000006</v>
      </c>
      <c r="G1510" s="12">
        <v>70313.210000000006</v>
      </c>
      <c r="H1510" s="12">
        <f t="shared" si="115"/>
        <v>0</v>
      </c>
      <c r="I1510" s="10">
        <f t="shared" si="116"/>
        <v>32</v>
      </c>
      <c r="J1510" s="10" t="str">
        <f t="shared" ca="1" si="117"/>
        <v>Paid</v>
      </c>
      <c r="K1510" s="10">
        <f t="shared" ca="1" si="118"/>
        <v>0</v>
      </c>
      <c r="L1510" s="10" t="str">
        <f t="shared" si="119"/>
        <v>Paid</v>
      </c>
      <c r="M1510" s="11">
        <v>45962</v>
      </c>
      <c r="N1510" s="11">
        <v>46023</v>
      </c>
    </row>
    <row r="1511" spans="1:14" x14ac:dyDescent="0.25">
      <c r="A1511" s="13" t="s">
        <v>1638</v>
      </c>
      <c r="B1511" s="13" t="s">
        <v>81</v>
      </c>
      <c r="C1511" s="14">
        <v>45976</v>
      </c>
      <c r="D1511" s="14">
        <v>46006</v>
      </c>
      <c r="E1511" s="14">
        <v>46025</v>
      </c>
      <c r="F1511" s="15">
        <v>41933.69</v>
      </c>
      <c r="G1511" s="15">
        <v>41933.69</v>
      </c>
      <c r="H1511" s="15">
        <f t="shared" si="115"/>
        <v>0</v>
      </c>
      <c r="I1511" s="13">
        <f t="shared" si="116"/>
        <v>19</v>
      </c>
      <c r="J1511" s="13" t="str">
        <f t="shared" ca="1" si="117"/>
        <v>Paid</v>
      </c>
      <c r="K1511" s="13">
        <f t="shared" ca="1" si="118"/>
        <v>0</v>
      </c>
      <c r="L1511" s="13" t="str">
        <f t="shared" si="119"/>
        <v>Paid</v>
      </c>
      <c r="M1511" s="14">
        <v>45962</v>
      </c>
      <c r="N1511" s="14">
        <v>46023</v>
      </c>
    </row>
    <row r="1512" spans="1:14" x14ac:dyDescent="0.25">
      <c r="A1512" s="10" t="s">
        <v>1639</v>
      </c>
      <c r="B1512" s="10" t="s">
        <v>83</v>
      </c>
      <c r="C1512" s="11">
        <v>45969</v>
      </c>
      <c r="D1512" s="11">
        <v>45999</v>
      </c>
      <c r="E1512" s="11">
        <v>45999</v>
      </c>
      <c r="F1512" s="12">
        <v>32758.75</v>
      </c>
      <c r="G1512" s="12">
        <v>32758.75</v>
      </c>
      <c r="H1512" s="12">
        <f t="shared" si="115"/>
        <v>0</v>
      </c>
      <c r="I1512" s="10">
        <f t="shared" si="116"/>
        <v>0</v>
      </c>
      <c r="J1512" s="10" t="str">
        <f t="shared" ca="1" si="117"/>
        <v>Paid</v>
      </c>
      <c r="K1512" s="10">
        <f t="shared" ca="1" si="118"/>
        <v>0</v>
      </c>
      <c r="L1512" s="10" t="str">
        <f t="shared" si="119"/>
        <v>Paid</v>
      </c>
      <c r="M1512" s="11">
        <v>45962</v>
      </c>
      <c r="N1512" s="11">
        <v>45992</v>
      </c>
    </row>
    <row r="1513" spans="1:14" x14ac:dyDescent="0.25">
      <c r="A1513" s="13" t="s">
        <v>1640</v>
      </c>
      <c r="B1513" s="13" t="s">
        <v>119</v>
      </c>
      <c r="C1513" s="14">
        <v>45976</v>
      </c>
      <c r="D1513" s="14">
        <v>46006</v>
      </c>
      <c r="E1513" s="14">
        <v>46021</v>
      </c>
      <c r="F1513" s="15">
        <v>37020.78</v>
      </c>
      <c r="G1513" s="15">
        <v>37020.78</v>
      </c>
      <c r="H1513" s="15">
        <f t="shared" si="115"/>
        <v>0</v>
      </c>
      <c r="I1513" s="13">
        <f t="shared" si="116"/>
        <v>15</v>
      </c>
      <c r="J1513" s="13" t="str">
        <f t="shared" ca="1" si="117"/>
        <v>Paid</v>
      </c>
      <c r="K1513" s="13">
        <f t="shared" ca="1" si="118"/>
        <v>0</v>
      </c>
      <c r="L1513" s="13" t="str">
        <f t="shared" si="119"/>
        <v>Paid</v>
      </c>
      <c r="M1513" s="14">
        <v>45962</v>
      </c>
      <c r="N1513" s="14">
        <v>45992</v>
      </c>
    </row>
    <row r="1514" spans="1:14" x14ac:dyDescent="0.25">
      <c r="A1514" s="10" t="s">
        <v>1641</v>
      </c>
      <c r="B1514" s="10" t="s">
        <v>449</v>
      </c>
      <c r="C1514" s="11">
        <v>45974</v>
      </c>
      <c r="D1514" s="11">
        <v>46004</v>
      </c>
      <c r="E1514" s="11">
        <v>46052</v>
      </c>
      <c r="F1514" s="12">
        <v>23117.77</v>
      </c>
      <c r="G1514" s="12">
        <v>23117.77</v>
      </c>
      <c r="H1514" s="12">
        <f t="shared" si="115"/>
        <v>0</v>
      </c>
      <c r="I1514" s="10">
        <f t="shared" si="116"/>
        <v>48</v>
      </c>
      <c r="J1514" s="10" t="str">
        <f t="shared" ca="1" si="117"/>
        <v>Paid</v>
      </c>
      <c r="K1514" s="10">
        <f t="shared" ca="1" si="118"/>
        <v>0</v>
      </c>
      <c r="L1514" s="10" t="str">
        <f t="shared" si="119"/>
        <v>Paid</v>
      </c>
      <c r="M1514" s="11">
        <v>45962</v>
      </c>
      <c r="N1514" s="11">
        <v>46023</v>
      </c>
    </row>
    <row r="1515" spans="1:14" x14ac:dyDescent="0.25">
      <c r="A1515" s="13" t="s">
        <v>1642</v>
      </c>
      <c r="B1515" s="13" t="s">
        <v>79</v>
      </c>
      <c r="C1515" s="14">
        <v>45981</v>
      </c>
      <c r="D1515" s="14">
        <v>46011</v>
      </c>
      <c r="E1515" s="14">
        <v>46055</v>
      </c>
      <c r="F1515" s="15">
        <v>38773.120000000003</v>
      </c>
      <c r="G1515" s="15">
        <v>38773.120000000003</v>
      </c>
      <c r="H1515" s="15">
        <f t="shared" si="115"/>
        <v>0</v>
      </c>
      <c r="I1515" s="13">
        <f t="shared" si="116"/>
        <v>44</v>
      </c>
      <c r="J1515" s="13" t="str">
        <f t="shared" ca="1" si="117"/>
        <v>Paid</v>
      </c>
      <c r="K1515" s="13">
        <f t="shared" ca="1" si="118"/>
        <v>0</v>
      </c>
      <c r="L1515" s="13" t="str">
        <f t="shared" si="119"/>
        <v>Paid</v>
      </c>
      <c r="M1515" s="14">
        <v>45962</v>
      </c>
      <c r="N1515" s="14">
        <v>46054</v>
      </c>
    </row>
    <row r="1516" spans="1:14" x14ac:dyDescent="0.25">
      <c r="A1516" s="10" t="s">
        <v>1643</v>
      </c>
      <c r="B1516" s="10" t="s">
        <v>220</v>
      </c>
      <c r="C1516" s="11">
        <v>45984</v>
      </c>
      <c r="D1516" s="11">
        <v>46014</v>
      </c>
      <c r="E1516" s="11">
        <v>46076</v>
      </c>
      <c r="F1516" s="12">
        <v>22107.45</v>
      </c>
      <c r="G1516" s="12">
        <v>22107.45</v>
      </c>
      <c r="H1516" s="12">
        <f t="shared" si="115"/>
        <v>0</v>
      </c>
      <c r="I1516" s="10">
        <f t="shared" si="116"/>
        <v>62</v>
      </c>
      <c r="J1516" s="10" t="str">
        <f t="shared" ca="1" si="117"/>
        <v>Paid</v>
      </c>
      <c r="K1516" s="10">
        <f t="shared" ca="1" si="118"/>
        <v>0</v>
      </c>
      <c r="L1516" s="10" t="str">
        <f t="shared" si="119"/>
        <v>Paid</v>
      </c>
      <c r="M1516" s="11">
        <v>45962</v>
      </c>
      <c r="N1516" s="11">
        <v>46054</v>
      </c>
    </row>
    <row r="1517" spans="1:14" x14ac:dyDescent="0.25">
      <c r="A1517" s="13" t="s">
        <v>1644</v>
      </c>
      <c r="B1517" s="13" t="s">
        <v>182</v>
      </c>
      <c r="C1517" s="14">
        <v>45968</v>
      </c>
      <c r="D1517" s="14">
        <v>45998</v>
      </c>
      <c r="E1517" s="14">
        <v>45998</v>
      </c>
      <c r="F1517" s="15">
        <v>24919.72</v>
      </c>
      <c r="G1517" s="15">
        <v>24919.72</v>
      </c>
      <c r="H1517" s="15">
        <f t="shared" si="115"/>
        <v>0</v>
      </c>
      <c r="I1517" s="13">
        <f t="shared" si="116"/>
        <v>0</v>
      </c>
      <c r="J1517" s="13" t="str">
        <f t="shared" ca="1" si="117"/>
        <v>Paid</v>
      </c>
      <c r="K1517" s="13">
        <f t="shared" ca="1" si="118"/>
        <v>0</v>
      </c>
      <c r="L1517" s="13" t="str">
        <f t="shared" si="119"/>
        <v>Paid</v>
      </c>
      <c r="M1517" s="14">
        <v>45962</v>
      </c>
      <c r="N1517" s="14">
        <v>45992</v>
      </c>
    </row>
    <row r="1518" spans="1:14" x14ac:dyDescent="0.25">
      <c r="A1518" s="10" t="s">
        <v>1645</v>
      </c>
      <c r="B1518" s="10" t="s">
        <v>119</v>
      </c>
      <c r="C1518" s="11">
        <v>45976</v>
      </c>
      <c r="D1518" s="11">
        <v>46006</v>
      </c>
      <c r="E1518" s="11">
        <v>46029</v>
      </c>
      <c r="F1518" s="12">
        <v>17733.95</v>
      </c>
      <c r="G1518" s="12">
        <v>17733.95</v>
      </c>
      <c r="H1518" s="12">
        <f t="shared" si="115"/>
        <v>0</v>
      </c>
      <c r="I1518" s="10">
        <f t="shared" si="116"/>
        <v>23</v>
      </c>
      <c r="J1518" s="10" t="str">
        <f t="shared" ca="1" si="117"/>
        <v>Paid</v>
      </c>
      <c r="K1518" s="10">
        <f t="shared" ca="1" si="118"/>
        <v>0</v>
      </c>
      <c r="L1518" s="10" t="str">
        <f t="shared" si="119"/>
        <v>Paid</v>
      </c>
      <c r="M1518" s="11">
        <v>45962</v>
      </c>
      <c r="N1518" s="11">
        <v>46023</v>
      </c>
    </row>
    <row r="1519" spans="1:14" x14ac:dyDescent="0.25">
      <c r="A1519" s="13" t="s">
        <v>1646</v>
      </c>
      <c r="B1519" s="13" t="s">
        <v>340</v>
      </c>
      <c r="C1519" s="14">
        <v>45983</v>
      </c>
      <c r="D1519" s="14">
        <v>46013</v>
      </c>
      <c r="E1519" s="14">
        <v>46038</v>
      </c>
      <c r="F1519" s="15">
        <v>31024.12</v>
      </c>
      <c r="G1519" s="15">
        <v>31024.12</v>
      </c>
      <c r="H1519" s="15">
        <f t="shared" si="115"/>
        <v>0</v>
      </c>
      <c r="I1519" s="13">
        <f t="shared" si="116"/>
        <v>25</v>
      </c>
      <c r="J1519" s="13" t="str">
        <f t="shared" ca="1" si="117"/>
        <v>Paid</v>
      </c>
      <c r="K1519" s="13">
        <f t="shared" ca="1" si="118"/>
        <v>0</v>
      </c>
      <c r="L1519" s="13" t="str">
        <f t="shared" si="119"/>
        <v>Paid</v>
      </c>
      <c r="M1519" s="14">
        <v>45962</v>
      </c>
      <c r="N1519" s="14">
        <v>46023</v>
      </c>
    </row>
    <row r="1520" spans="1:14" x14ac:dyDescent="0.25">
      <c r="A1520" s="10" t="s">
        <v>1647</v>
      </c>
      <c r="B1520" s="10" t="s">
        <v>117</v>
      </c>
      <c r="C1520" s="11">
        <v>45965</v>
      </c>
      <c r="D1520" s="11">
        <v>45995</v>
      </c>
      <c r="E1520" s="11">
        <v>46051</v>
      </c>
      <c r="F1520" s="12">
        <v>28020.66</v>
      </c>
      <c r="G1520" s="12">
        <v>28020.66</v>
      </c>
      <c r="H1520" s="12">
        <f t="shared" si="115"/>
        <v>0</v>
      </c>
      <c r="I1520" s="10">
        <f t="shared" si="116"/>
        <v>56</v>
      </c>
      <c r="J1520" s="10" t="str">
        <f t="shared" ca="1" si="117"/>
        <v>Paid</v>
      </c>
      <c r="K1520" s="10">
        <f t="shared" ca="1" si="118"/>
        <v>0</v>
      </c>
      <c r="L1520" s="10" t="str">
        <f t="shared" si="119"/>
        <v>Paid</v>
      </c>
      <c r="M1520" s="11">
        <v>45962</v>
      </c>
      <c r="N1520" s="11">
        <v>46023</v>
      </c>
    </row>
    <row r="1521" spans="1:14" x14ac:dyDescent="0.25">
      <c r="A1521" s="13" t="s">
        <v>1648</v>
      </c>
      <c r="B1521" s="13" t="s">
        <v>171</v>
      </c>
      <c r="C1521" s="14">
        <v>45982</v>
      </c>
      <c r="D1521" s="14">
        <v>46012</v>
      </c>
      <c r="E1521" s="14">
        <v>46030</v>
      </c>
      <c r="F1521" s="15">
        <v>52303.43</v>
      </c>
      <c r="G1521" s="15">
        <v>52303.43</v>
      </c>
      <c r="H1521" s="15">
        <f t="shared" si="115"/>
        <v>0</v>
      </c>
      <c r="I1521" s="13">
        <f t="shared" si="116"/>
        <v>18</v>
      </c>
      <c r="J1521" s="13" t="str">
        <f t="shared" ca="1" si="117"/>
        <v>Paid</v>
      </c>
      <c r="K1521" s="13">
        <f t="shared" ca="1" si="118"/>
        <v>0</v>
      </c>
      <c r="L1521" s="13" t="str">
        <f t="shared" si="119"/>
        <v>Paid</v>
      </c>
      <c r="M1521" s="14">
        <v>45962</v>
      </c>
      <c r="N1521" s="14">
        <v>46023</v>
      </c>
    </row>
    <row r="1522" spans="1:14" x14ac:dyDescent="0.25">
      <c r="A1522" s="10" t="s">
        <v>1649</v>
      </c>
      <c r="B1522" s="10" t="s">
        <v>331</v>
      </c>
      <c r="C1522" s="11">
        <v>45979</v>
      </c>
      <c r="D1522" s="11">
        <v>46009</v>
      </c>
      <c r="E1522" s="11">
        <v>46032</v>
      </c>
      <c r="F1522" s="12">
        <v>30417.99</v>
      </c>
      <c r="G1522" s="12">
        <v>30417.99</v>
      </c>
      <c r="H1522" s="12">
        <f t="shared" si="115"/>
        <v>0</v>
      </c>
      <c r="I1522" s="10">
        <f t="shared" si="116"/>
        <v>23</v>
      </c>
      <c r="J1522" s="10" t="str">
        <f t="shared" ca="1" si="117"/>
        <v>Paid</v>
      </c>
      <c r="K1522" s="10">
        <f t="shared" ca="1" si="118"/>
        <v>0</v>
      </c>
      <c r="L1522" s="10" t="str">
        <f t="shared" si="119"/>
        <v>Paid</v>
      </c>
      <c r="M1522" s="11">
        <v>45962</v>
      </c>
      <c r="N1522" s="11">
        <v>46023</v>
      </c>
    </row>
    <row r="1523" spans="1:14" x14ac:dyDescent="0.25">
      <c r="A1523" s="13" t="s">
        <v>1650</v>
      </c>
      <c r="B1523" s="13" t="s">
        <v>274</v>
      </c>
      <c r="C1523" s="14">
        <v>45983</v>
      </c>
      <c r="D1523" s="14">
        <v>46013</v>
      </c>
      <c r="E1523" s="14">
        <v>46021</v>
      </c>
      <c r="F1523" s="15">
        <v>46070.59</v>
      </c>
      <c r="G1523" s="15">
        <v>46070.59</v>
      </c>
      <c r="H1523" s="15">
        <f t="shared" si="115"/>
        <v>0</v>
      </c>
      <c r="I1523" s="13">
        <f t="shared" si="116"/>
        <v>8</v>
      </c>
      <c r="J1523" s="13" t="str">
        <f t="shared" ca="1" si="117"/>
        <v>Paid</v>
      </c>
      <c r="K1523" s="13">
        <f t="shared" ca="1" si="118"/>
        <v>0</v>
      </c>
      <c r="L1523" s="13" t="str">
        <f t="shared" si="119"/>
        <v>Paid</v>
      </c>
      <c r="M1523" s="14">
        <v>45962</v>
      </c>
      <c r="N1523" s="14">
        <v>45992</v>
      </c>
    </row>
    <row r="1524" spans="1:14" x14ac:dyDescent="0.25">
      <c r="A1524" s="10" t="s">
        <v>1651</v>
      </c>
      <c r="B1524" s="10" t="s">
        <v>134</v>
      </c>
      <c r="C1524" s="11">
        <v>45976</v>
      </c>
      <c r="D1524" s="11">
        <v>46006</v>
      </c>
      <c r="E1524" s="11">
        <v>46006</v>
      </c>
      <c r="F1524" s="12">
        <v>41374.93</v>
      </c>
      <c r="G1524" s="12">
        <v>41374.93</v>
      </c>
      <c r="H1524" s="12">
        <f t="shared" si="115"/>
        <v>0</v>
      </c>
      <c r="I1524" s="10">
        <f t="shared" si="116"/>
        <v>0</v>
      </c>
      <c r="J1524" s="10" t="str">
        <f t="shared" ca="1" si="117"/>
        <v>Paid</v>
      </c>
      <c r="K1524" s="10">
        <f t="shared" ca="1" si="118"/>
        <v>0</v>
      </c>
      <c r="L1524" s="10" t="str">
        <f t="shared" si="119"/>
        <v>Paid</v>
      </c>
      <c r="M1524" s="11">
        <v>45962</v>
      </c>
      <c r="N1524" s="11">
        <v>45992</v>
      </c>
    </row>
    <row r="1525" spans="1:14" x14ac:dyDescent="0.25">
      <c r="A1525" s="13" t="s">
        <v>1652</v>
      </c>
      <c r="B1525" s="13" t="s">
        <v>224</v>
      </c>
      <c r="C1525" s="14">
        <v>45966</v>
      </c>
      <c r="D1525" s="14">
        <v>45996</v>
      </c>
      <c r="E1525" s="14">
        <v>45997</v>
      </c>
      <c r="F1525" s="15">
        <v>64921.760000000002</v>
      </c>
      <c r="G1525" s="15">
        <v>64921.760000000002</v>
      </c>
      <c r="H1525" s="15">
        <f t="shared" si="115"/>
        <v>0</v>
      </c>
      <c r="I1525" s="13">
        <f t="shared" si="116"/>
        <v>1</v>
      </c>
      <c r="J1525" s="13" t="str">
        <f t="shared" ca="1" si="117"/>
        <v>Paid</v>
      </c>
      <c r="K1525" s="13">
        <f t="shared" ca="1" si="118"/>
        <v>0</v>
      </c>
      <c r="L1525" s="13" t="str">
        <f t="shared" si="119"/>
        <v>Paid</v>
      </c>
      <c r="M1525" s="14">
        <v>45962</v>
      </c>
      <c r="N1525" s="14">
        <v>45992</v>
      </c>
    </row>
    <row r="1526" spans="1:14" x14ac:dyDescent="0.25">
      <c r="A1526" s="10" t="s">
        <v>1653</v>
      </c>
      <c r="B1526" s="10" t="s">
        <v>244</v>
      </c>
      <c r="C1526" s="11">
        <v>45970</v>
      </c>
      <c r="D1526" s="11">
        <v>46000</v>
      </c>
      <c r="E1526" s="11"/>
      <c r="F1526" s="12">
        <v>28387.62</v>
      </c>
      <c r="G1526" s="12">
        <v>0</v>
      </c>
      <c r="H1526" s="12">
        <f t="shared" si="115"/>
        <v>28387.62</v>
      </c>
      <c r="I1526" s="10" t="str">
        <f t="shared" si="116"/>
        <v/>
      </c>
      <c r="J1526" s="10" t="str">
        <f t="shared" ca="1" si="117"/>
        <v>Overdue</v>
      </c>
      <c r="K1526" s="10">
        <f t="shared" ca="1" si="118"/>
        <v>256</v>
      </c>
      <c r="L1526" s="10" t="str">
        <f t="shared" ca="1" si="119"/>
        <v>120+ Days</v>
      </c>
      <c r="M1526" s="11">
        <v>45962</v>
      </c>
      <c r="N1526" s="11"/>
    </row>
    <row r="1527" spans="1:14" x14ac:dyDescent="0.25">
      <c r="A1527" s="13" t="s">
        <v>1654</v>
      </c>
      <c r="B1527" s="13" t="s">
        <v>136</v>
      </c>
      <c r="C1527" s="14">
        <v>45978</v>
      </c>
      <c r="D1527" s="14">
        <v>46008</v>
      </c>
      <c r="E1527" s="14">
        <v>46033</v>
      </c>
      <c r="F1527" s="15">
        <v>42671.01</v>
      </c>
      <c r="G1527" s="15">
        <v>42671.01</v>
      </c>
      <c r="H1527" s="15">
        <f t="shared" si="115"/>
        <v>0</v>
      </c>
      <c r="I1527" s="13">
        <f t="shared" si="116"/>
        <v>25</v>
      </c>
      <c r="J1527" s="13" t="str">
        <f t="shared" ca="1" si="117"/>
        <v>Paid</v>
      </c>
      <c r="K1527" s="13">
        <f t="shared" ca="1" si="118"/>
        <v>0</v>
      </c>
      <c r="L1527" s="13" t="str">
        <f t="shared" si="119"/>
        <v>Paid</v>
      </c>
      <c r="M1527" s="14">
        <v>45962</v>
      </c>
      <c r="N1527" s="14">
        <v>46023</v>
      </c>
    </row>
    <row r="1528" spans="1:14" x14ac:dyDescent="0.25">
      <c r="A1528" s="10" t="s">
        <v>1655</v>
      </c>
      <c r="B1528" s="10" t="s">
        <v>117</v>
      </c>
      <c r="C1528" s="11">
        <v>45983</v>
      </c>
      <c r="D1528" s="11">
        <v>46013</v>
      </c>
      <c r="E1528" s="11"/>
      <c r="F1528" s="12">
        <v>12858.16</v>
      </c>
      <c r="G1528" s="12">
        <v>0</v>
      </c>
      <c r="H1528" s="12">
        <f t="shared" si="115"/>
        <v>12858.16</v>
      </c>
      <c r="I1528" s="10" t="str">
        <f t="shared" si="116"/>
        <v/>
      </c>
      <c r="J1528" s="10" t="str">
        <f t="shared" ca="1" si="117"/>
        <v>Overdue</v>
      </c>
      <c r="K1528" s="10">
        <f t="shared" ca="1" si="118"/>
        <v>243</v>
      </c>
      <c r="L1528" s="10" t="str">
        <f t="shared" ca="1" si="119"/>
        <v>120+ Days</v>
      </c>
      <c r="M1528" s="11">
        <v>45962</v>
      </c>
      <c r="N1528" s="11"/>
    </row>
    <row r="1529" spans="1:14" x14ac:dyDescent="0.25">
      <c r="A1529" s="13" t="s">
        <v>1656</v>
      </c>
      <c r="B1529" s="13" t="s">
        <v>79</v>
      </c>
      <c r="C1529" s="14">
        <v>45980</v>
      </c>
      <c r="D1529" s="14">
        <v>46010</v>
      </c>
      <c r="E1529" s="14">
        <v>46029</v>
      </c>
      <c r="F1529" s="15">
        <v>37456.629999999997</v>
      </c>
      <c r="G1529" s="15">
        <v>37456.629999999997</v>
      </c>
      <c r="H1529" s="15">
        <f t="shared" si="115"/>
        <v>0</v>
      </c>
      <c r="I1529" s="13">
        <f t="shared" si="116"/>
        <v>19</v>
      </c>
      <c r="J1529" s="13" t="str">
        <f t="shared" ca="1" si="117"/>
        <v>Paid</v>
      </c>
      <c r="K1529" s="13">
        <f t="shared" ca="1" si="118"/>
        <v>0</v>
      </c>
      <c r="L1529" s="13" t="str">
        <f t="shared" si="119"/>
        <v>Paid</v>
      </c>
      <c r="M1529" s="14">
        <v>45962</v>
      </c>
      <c r="N1529" s="14">
        <v>46023</v>
      </c>
    </row>
    <row r="1530" spans="1:14" x14ac:dyDescent="0.25">
      <c r="A1530" s="10" t="s">
        <v>1657</v>
      </c>
      <c r="B1530" s="10" t="s">
        <v>153</v>
      </c>
      <c r="C1530" s="11">
        <v>45967</v>
      </c>
      <c r="D1530" s="11">
        <v>45997</v>
      </c>
      <c r="E1530" s="11">
        <v>46032</v>
      </c>
      <c r="F1530" s="12">
        <v>32735.81</v>
      </c>
      <c r="G1530" s="12">
        <v>32735.81</v>
      </c>
      <c r="H1530" s="12">
        <f t="shared" si="115"/>
        <v>0</v>
      </c>
      <c r="I1530" s="10">
        <f t="shared" si="116"/>
        <v>35</v>
      </c>
      <c r="J1530" s="10" t="str">
        <f t="shared" ca="1" si="117"/>
        <v>Paid</v>
      </c>
      <c r="K1530" s="10">
        <f t="shared" ca="1" si="118"/>
        <v>0</v>
      </c>
      <c r="L1530" s="10" t="str">
        <f t="shared" si="119"/>
        <v>Paid</v>
      </c>
      <c r="M1530" s="11">
        <v>45962</v>
      </c>
      <c r="N1530" s="11">
        <v>46023</v>
      </c>
    </row>
    <row r="1531" spans="1:14" x14ac:dyDescent="0.25">
      <c r="A1531" s="13" t="s">
        <v>1658</v>
      </c>
      <c r="B1531" s="13" t="s">
        <v>340</v>
      </c>
      <c r="C1531" s="14">
        <v>45968</v>
      </c>
      <c r="D1531" s="14">
        <v>45998</v>
      </c>
      <c r="E1531" s="14">
        <v>46047</v>
      </c>
      <c r="F1531" s="15">
        <v>57124.65</v>
      </c>
      <c r="G1531" s="15">
        <v>57124.65</v>
      </c>
      <c r="H1531" s="15">
        <f t="shared" si="115"/>
        <v>0</v>
      </c>
      <c r="I1531" s="13">
        <f t="shared" si="116"/>
        <v>49</v>
      </c>
      <c r="J1531" s="13" t="str">
        <f t="shared" ca="1" si="117"/>
        <v>Paid</v>
      </c>
      <c r="K1531" s="13">
        <f t="shared" ca="1" si="118"/>
        <v>0</v>
      </c>
      <c r="L1531" s="13" t="str">
        <f t="shared" si="119"/>
        <v>Paid</v>
      </c>
      <c r="M1531" s="14">
        <v>45962</v>
      </c>
      <c r="N1531" s="14">
        <v>46023</v>
      </c>
    </row>
    <row r="1532" spans="1:14" x14ac:dyDescent="0.25">
      <c r="A1532" s="10" t="s">
        <v>1659</v>
      </c>
      <c r="B1532" s="10" t="s">
        <v>134</v>
      </c>
      <c r="C1532" s="11">
        <v>45984</v>
      </c>
      <c r="D1532" s="11">
        <v>46014</v>
      </c>
      <c r="E1532" s="11">
        <v>46036</v>
      </c>
      <c r="F1532" s="12">
        <v>52226.19</v>
      </c>
      <c r="G1532" s="12">
        <v>52226.19</v>
      </c>
      <c r="H1532" s="12">
        <f t="shared" si="115"/>
        <v>0</v>
      </c>
      <c r="I1532" s="10">
        <f t="shared" si="116"/>
        <v>22</v>
      </c>
      <c r="J1532" s="10" t="str">
        <f t="shared" ca="1" si="117"/>
        <v>Paid</v>
      </c>
      <c r="K1532" s="10">
        <f t="shared" ca="1" si="118"/>
        <v>0</v>
      </c>
      <c r="L1532" s="10" t="str">
        <f t="shared" si="119"/>
        <v>Paid</v>
      </c>
      <c r="M1532" s="11">
        <v>45962</v>
      </c>
      <c r="N1532" s="11">
        <v>46023</v>
      </c>
    </row>
    <row r="1533" spans="1:14" x14ac:dyDescent="0.25">
      <c r="A1533" s="13" t="s">
        <v>1660</v>
      </c>
      <c r="B1533" s="13" t="s">
        <v>138</v>
      </c>
      <c r="C1533" s="14">
        <v>45987</v>
      </c>
      <c r="D1533" s="14">
        <v>46017</v>
      </c>
      <c r="E1533" s="14">
        <v>46017</v>
      </c>
      <c r="F1533" s="15">
        <v>54541.18</v>
      </c>
      <c r="G1533" s="15">
        <v>54541.18</v>
      </c>
      <c r="H1533" s="15">
        <f t="shared" si="115"/>
        <v>0</v>
      </c>
      <c r="I1533" s="13">
        <f t="shared" si="116"/>
        <v>0</v>
      </c>
      <c r="J1533" s="13" t="str">
        <f t="shared" ca="1" si="117"/>
        <v>Paid</v>
      </c>
      <c r="K1533" s="13">
        <f t="shared" ca="1" si="118"/>
        <v>0</v>
      </c>
      <c r="L1533" s="13" t="str">
        <f t="shared" si="119"/>
        <v>Paid</v>
      </c>
      <c r="M1533" s="14">
        <v>45962</v>
      </c>
      <c r="N1533" s="14">
        <v>45992</v>
      </c>
    </row>
    <row r="1534" spans="1:14" x14ac:dyDescent="0.25">
      <c r="A1534" s="10" t="s">
        <v>1661</v>
      </c>
      <c r="B1534" s="10" t="s">
        <v>74</v>
      </c>
      <c r="C1534" s="11">
        <v>45975</v>
      </c>
      <c r="D1534" s="11">
        <v>46005</v>
      </c>
      <c r="E1534" s="11">
        <v>46011</v>
      </c>
      <c r="F1534" s="12">
        <v>32821.21</v>
      </c>
      <c r="G1534" s="12">
        <v>32821.21</v>
      </c>
      <c r="H1534" s="12">
        <f t="shared" si="115"/>
        <v>0</v>
      </c>
      <c r="I1534" s="10">
        <f t="shared" si="116"/>
        <v>6</v>
      </c>
      <c r="J1534" s="10" t="str">
        <f t="shared" ca="1" si="117"/>
        <v>Paid</v>
      </c>
      <c r="K1534" s="10">
        <f t="shared" ca="1" si="118"/>
        <v>0</v>
      </c>
      <c r="L1534" s="10" t="str">
        <f t="shared" si="119"/>
        <v>Paid</v>
      </c>
      <c r="M1534" s="11">
        <v>45962</v>
      </c>
      <c r="N1534" s="11">
        <v>45992</v>
      </c>
    </row>
    <row r="1535" spans="1:14" x14ac:dyDescent="0.25">
      <c r="A1535" s="13" t="s">
        <v>1662</v>
      </c>
      <c r="B1535" s="13" t="s">
        <v>99</v>
      </c>
      <c r="C1535" s="14">
        <v>45982</v>
      </c>
      <c r="D1535" s="14">
        <v>46012</v>
      </c>
      <c r="E1535" s="14">
        <v>46037</v>
      </c>
      <c r="F1535" s="15">
        <v>78698.559999999998</v>
      </c>
      <c r="G1535" s="15">
        <v>78698.559999999998</v>
      </c>
      <c r="H1535" s="15">
        <f t="shared" si="115"/>
        <v>0</v>
      </c>
      <c r="I1535" s="13">
        <f t="shared" si="116"/>
        <v>25</v>
      </c>
      <c r="J1535" s="13" t="str">
        <f t="shared" ca="1" si="117"/>
        <v>Paid</v>
      </c>
      <c r="K1535" s="13">
        <f t="shared" ca="1" si="118"/>
        <v>0</v>
      </c>
      <c r="L1535" s="13" t="str">
        <f t="shared" si="119"/>
        <v>Paid</v>
      </c>
      <c r="M1535" s="14">
        <v>45962</v>
      </c>
      <c r="N1535" s="14">
        <v>46023</v>
      </c>
    </row>
    <row r="1536" spans="1:14" x14ac:dyDescent="0.25">
      <c r="A1536" s="10" t="s">
        <v>1663</v>
      </c>
      <c r="B1536" s="10" t="s">
        <v>340</v>
      </c>
      <c r="C1536" s="11">
        <v>45977</v>
      </c>
      <c r="D1536" s="11">
        <v>46007</v>
      </c>
      <c r="E1536" s="11">
        <v>46027</v>
      </c>
      <c r="F1536" s="12">
        <v>21582.83</v>
      </c>
      <c r="G1536" s="12">
        <v>21582.83</v>
      </c>
      <c r="H1536" s="12">
        <f t="shared" si="115"/>
        <v>0</v>
      </c>
      <c r="I1536" s="10">
        <f t="shared" si="116"/>
        <v>20</v>
      </c>
      <c r="J1536" s="10" t="str">
        <f t="shared" ca="1" si="117"/>
        <v>Paid</v>
      </c>
      <c r="K1536" s="10">
        <f t="shared" ca="1" si="118"/>
        <v>0</v>
      </c>
      <c r="L1536" s="10" t="str">
        <f t="shared" si="119"/>
        <v>Paid</v>
      </c>
      <c r="M1536" s="11">
        <v>45962</v>
      </c>
      <c r="N1536" s="11">
        <v>46023</v>
      </c>
    </row>
    <row r="1537" spans="1:14" x14ac:dyDescent="0.25">
      <c r="A1537" s="13" t="s">
        <v>1664</v>
      </c>
      <c r="B1537" s="13" t="s">
        <v>274</v>
      </c>
      <c r="C1537" s="14">
        <v>45976</v>
      </c>
      <c r="D1537" s="14">
        <v>46006</v>
      </c>
      <c r="E1537" s="14">
        <v>46029</v>
      </c>
      <c r="F1537" s="15">
        <v>27333.25</v>
      </c>
      <c r="G1537" s="15">
        <v>27333.25</v>
      </c>
      <c r="H1537" s="15">
        <f t="shared" si="115"/>
        <v>0</v>
      </c>
      <c r="I1537" s="13">
        <f t="shared" si="116"/>
        <v>23</v>
      </c>
      <c r="J1537" s="13" t="str">
        <f t="shared" ca="1" si="117"/>
        <v>Paid</v>
      </c>
      <c r="K1537" s="13">
        <f t="shared" ca="1" si="118"/>
        <v>0</v>
      </c>
      <c r="L1537" s="13" t="str">
        <f t="shared" si="119"/>
        <v>Paid</v>
      </c>
      <c r="M1537" s="14">
        <v>45962</v>
      </c>
      <c r="N1537" s="14">
        <v>46023</v>
      </c>
    </row>
    <row r="1538" spans="1:14" x14ac:dyDescent="0.25">
      <c r="A1538" s="10" t="s">
        <v>1665</v>
      </c>
      <c r="B1538" s="10" t="s">
        <v>89</v>
      </c>
      <c r="C1538" s="11">
        <v>45966</v>
      </c>
      <c r="D1538" s="11">
        <v>45996</v>
      </c>
      <c r="E1538" s="11"/>
      <c r="F1538" s="12">
        <v>79110.850000000006</v>
      </c>
      <c r="G1538" s="12">
        <v>0</v>
      </c>
      <c r="H1538" s="12">
        <f t="shared" ref="H1538:H1601" si="120">MAX(0,F1538-G1538)</f>
        <v>79110.850000000006</v>
      </c>
      <c r="I1538" s="10" t="str">
        <f t="shared" ref="I1538:I1601" si="121">IF(E1538="","",MAX(0,E1538-D1538))</f>
        <v/>
      </c>
      <c r="J1538" s="10" t="str">
        <f t="shared" ref="J1538:J1601" ca="1" si="122">IF(H1538=0,"Paid",IF(D1538&lt;TODAY(),"Overdue","Open"))</f>
        <v>Overdue</v>
      </c>
      <c r="K1538" s="10">
        <f t="shared" ref="K1538:K1601" ca="1" si="123">IF(H1538=0,0,MAX(0,TODAY()-D1538))</f>
        <v>260</v>
      </c>
      <c r="L1538" s="10" t="str">
        <f t="shared" ref="L1538:L1601" ca="1" si="124">IF(H1538=0,"Paid",IF(K1538&lt;=30,"0-30 Days",IF(K1538&lt;=60,"31-60 Days",IF(K1538&lt;=90,"61-90 Days",IF(K1538&lt;=120,"91-120 Days","120+ Days")))))</f>
        <v>120+ Days</v>
      </c>
      <c r="M1538" s="11">
        <v>45962</v>
      </c>
      <c r="N1538" s="11"/>
    </row>
    <row r="1539" spans="1:14" x14ac:dyDescent="0.25">
      <c r="A1539" s="13" t="s">
        <v>1666</v>
      </c>
      <c r="B1539" s="13" t="s">
        <v>159</v>
      </c>
      <c r="C1539" s="14">
        <v>45964</v>
      </c>
      <c r="D1539" s="14">
        <v>45994</v>
      </c>
      <c r="E1539" s="14"/>
      <c r="F1539" s="15">
        <v>42086.26</v>
      </c>
      <c r="G1539" s="15">
        <v>0</v>
      </c>
      <c r="H1539" s="15">
        <f t="shared" si="120"/>
        <v>42086.26</v>
      </c>
      <c r="I1539" s="13" t="str">
        <f t="shared" si="121"/>
        <v/>
      </c>
      <c r="J1539" s="13" t="str">
        <f t="shared" ca="1" si="122"/>
        <v>Overdue</v>
      </c>
      <c r="K1539" s="13">
        <f t="shared" ca="1" si="123"/>
        <v>262</v>
      </c>
      <c r="L1539" s="13" t="str">
        <f t="shared" ca="1" si="124"/>
        <v>120+ Days</v>
      </c>
      <c r="M1539" s="14">
        <v>45962</v>
      </c>
      <c r="N1539" s="14"/>
    </row>
    <row r="1540" spans="1:14" x14ac:dyDescent="0.25">
      <c r="A1540" s="10" t="s">
        <v>1667</v>
      </c>
      <c r="B1540" s="10" t="s">
        <v>119</v>
      </c>
      <c r="C1540" s="11">
        <v>45985</v>
      </c>
      <c r="D1540" s="11">
        <v>46015</v>
      </c>
      <c r="E1540" s="11">
        <v>46015</v>
      </c>
      <c r="F1540" s="12">
        <v>42093</v>
      </c>
      <c r="G1540" s="12">
        <v>42093</v>
      </c>
      <c r="H1540" s="12">
        <f t="shared" si="120"/>
        <v>0</v>
      </c>
      <c r="I1540" s="10">
        <f t="shared" si="121"/>
        <v>0</v>
      </c>
      <c r="J1540" s="10" t="str">
        <f t="shared" ca="1" si="122"/>
        <v>Paid</v>
      </c>
      <c r="K1540" s="10">
        <f t="shared" ca="1" si="123"/>
        <v>0</v>
      </c>
      <c r="L1540" s="10" t="str">
        <f t="shared" si="124"/>
        <v>Paid</v>
      </c>
      <c r="M1540" s="11">
        <v>45962</v>
      </c>
      <c r="N1540" s="11">
        <v>45992</v>
      </c>
    </row>
    <row r="1541" spans="1:14" x14ac:dyDescent="0.25">
      <c r="A1541" s="13" t="s">
        <v>1668</v>
      </c>
      <c r="B1541" s="13" t="s">
        <v>83</v>
      </c>
      <c r="C1541" s="14">
        <v>45981</v>
      </c>
      <c r="D1541" s="14">
        <v>46011</v>
      </c>
      <c r="E1541" s="14">
        <v>46037</v>
      </c>
      <c r="F1541" s="15">
        <v>28964.639999999999</v>
      </c>
      <c r="G1541" s="15">
        <v>28964.639999999999</v>
      </c>
      <c r="H1541" s="15">
        <f t="shared" si="120"/>
        <v>0</v>
      </c>
      <c r="I1541" s="13">
        <f t="shared" si="121"/>
        <v>26</v>
      </c>
      <c r="J1541" s="13" t="str">
        <f t="shared" ca="1" si="122"/>
        <v>Paid</v>
      </c>
      <c r="K1541" s="13">
        <f t="shared" ca="1" si="123"/>
        <v>0</v>
      </c>
      <c r="L1541" s="13" t="str">
        <f t="shared" si="124"/>
        <v>Paid</v>
      </c>
      <c r="M1541" s="14">
        <v>45962</v>
      </c>
      <c r="N1541" s="14">
        <v>46023</v>
      </c>
    </row>
    <row r="1542" spans="1:14" x14ac:dyDescent="0.25">
      <c r="A1542" s="10" t="s">
        <v>1669</v>
      </c>
      <c r="B1542" s="10" t="s">
        <v>198</v>
      </c>
      <c r="C1542" s="11">
        <v>45963</v>
      </c>
      <c r="D1542" s="11">
        <v>45993</v>
      </c>
      <c r="E1542" s="11"/>
      <c r="F1542" s="12">
        <v>72187.520000000004</v>
      </c>
      <c r="G1542" s="12">
        <v>0</v>
      </c>
      <c r="H1542" s="12">
        <f t="shared" si="120"/>
        <v>72187.520000000004</v>
      </c>
      <c r="I1542" s="10" t="str">
        <f t="shared" si="121"/>
        <v/>
      </c>
      <c r="J1542" s="10" t="str">
        <f t="shared" ca="1" si="122"/>
        <v>Overdue</v>
      </c>
      <c r="K1542" s="10">
        <f t="shared" ca="1" si="123"/>
        <v>263</v>
      </c>
      <c r="L1542" s="10" t="str">
        <f t="shared" ca="1" si="124"/>
        <v>120+ Days</v>
      </c>
      <c r="M1542" s="11">
        <v>45962</v>
      </c>
      <c r="N1542" s="11"/>
    </row>
    <row r="1543" spans="1:14" x14ac:dyDescent="0.25">
      <c r="A1543" s="13" t="s">
        <v>1670</v>
      </c>
      <c r="B1543" s="13" t="s">
        <v>233</v>
      </c>
      <c r="C1543" s="14">
        <v>45975</v>
      </c>
      <c r="D1543" s="14">
        <v>46005</v>
      </c>
      <c r="E1543" s="14"/>
      <c r="F1543" s="15">
        <v>37121.93</v>
      </c>
      <c r="G1543" s="15">
        <v>0</v>
      </c>
      <c r="H1543" s="15">
        <f t="shared" si="120"/>
        <v>37121.93</v>
      </c>
      <c r="I1543" s="13" t="str">
        <f t="shared" si="121"/>
        <v/>
      </c>
      <c r="J1543" s="13" t="str">
        <f t="shared" ca="1" si="122"/>
        <v>Overdue</v>
      </c>
      <c r="K1543" s="13">
        <f t="shared" ca="1" si="123"/>
        <v>251</v>
      </c>
      <c r="L1543" s="13" t="str">
        <f t="shared" ca="1" si="124"/>
        <v>120+ Days</v>
      </c>
      <c r="M1543" s="14">
        <v>45962</v>
      </c>
      <c r="N1543" s="14"/>
    </row>
    <row r="1544" spans="1:14" x14ac:dyDescent="0.25">
      <c r="A1544" s="10" t="s">
        <v>1671</v>
      </c>
      <c r="B1544" s="10" t="s">
        <v>129</v>
      </c>
      <c r="C1544" s="11">
        <v>45986</v>
      </c>
      <c r="D1544" s="11">
        <v>46016</v>
      </c>
      <c r="E1544" s="11">
        <v>46028</v>
      </c>
      <c r="F1544" s="12">
        <v>58711.15</v>
      </c>
      <c r="G1544" s="12">
        <v>58711.15</v>
      </c>
      <c r="H1544" s="12">
        <f t="shared" si="120"/>
        <v>0</v>
      </c>
      <c r="I1544" s="10">
        <f t="shared" si="121"/>
        <v>12</v>
      </c>
      <c r="J1544" s="10" t="str">
        <f t="shared" ca="1" si="122"/>
        <v>Paid</v>
      </c>
      <c r="K1544" s="10">
        <f t="shared" ca="1" si="123"/>
        <v>0</v>
      </c>
      <c r="L1544" s="10" t="str">
        <f t="shared" si="124"/>
        <v>Paid</v>
      </c>
      <c r="M1544" s="11">
        <v>45962</v>
      </c>
      <c r="N1544" s="11">
        <v>46023</v>
      </c>
    </row>
    <row r="1545" spans="1:14" x14ac:dyDescent="0.25">
      <c r="A1545" s="13" t="s">
        <v>1672</v>
      </c>
      <c r="B1545" s="13" t="s">
        <v>215</v>
      </c>
      <c r="C1545" s="14">
        <v>45981</v>
      </c>
      <c r="D1545" s="14">
        <v>46011</v>
      </c>
      <c r="E1545" s="14">
        <v>46051</v>
      </c>
      <c r="F1545" s="15">
        <v>62533.45</v>
      </c>
      <c r="G1545" s="15">
        <v>62533.45</v>
      </c>
      <c r="H1545" s="15">
        <f t="shared" si="120"/>
        <v>0</v>
      </c>
      <c r="I1545" s="13">
        <f t="shared" si="121"/>
        <v>40</v>
      </c>
      <c r="J1545" s="13" t="str">
        <f t="shared" ca="1" si="122"/>
        <v>Paid</v>
      </c>
      <c r="K1545" s="13">
        <f t="shared" ca="1" si="123"/>
        <v>0</v>
      </c>
      <c r="L1545" s="13" t="str">
        <f t="shared" si="124"/>
        <v>Paid</v>
      </c>
      <c r="M1545" s="14">
        <v>45962</v>
      </c>
      <c r="N1545" s="14">
        <v>46023</v>
      </c>
    </row>
    <row r="1546" spans="1:14" x14ac:dyDescent="0.25">
      <c r="A1546" s="10" t="s">
        <v>1673</v>
      </c>
      <c r="B1546" s="10" t="s">
        <v>117</v>
      </c>
      <c r="C1546" s="11">
        <v>45965</v>
      </c>
      <c r="D1546" s="11">
        <v>45995</v>
      </c>
      <c r="E1546" s="11">
        <v>46019</v>
      </c>
      <c r="F1546" s="12">
        <v>97564.32</v>
      </c>
      <c r="G1546" s="12">
        <v>97564.32</v>
      </c>
      <c r="H1546" s="12">
        <f t="shared" si="120"/>
        <v>0</v>
      </c>
      <c r="I1546" s="10">
        <f t="shared" si="121"/>
        <v>24</v>
      </c>
      <c r="J1546" s="10" t="str">
        <f t="shared" ca="1" si="122"/>
        <v>Paid</v>
      </c>
      <c r="K1546" s="10">
        <f t="shared" ca="1" si="123"/>
        <v>0</v>
      </c>
      <c r="L1546" s="10" t="str">
        <f t="shared" si="124"/>
        <v>Paid</v>
      </c>
      <c r="M1546" s="11">
        <v>45962</v>
      </c>
      <c r="N1546" s="11">
        <v>45992</v>
      </c>
    </row>
    <row r="1547" spans="1:14" x14ac:dyDescent="0.25">
      <c r="A1547" s="13" t="s">
        <v>1674</v>
      </c>
      <c r="B1547" s="13" t="s">
        <v>230</v>
      </c>
      <c r="C1547" s="14">
        <v>45986</v>
      </c>
      <c r="D1547" s="14">
        <v>46016</v>
      </c>
      <c r="E1547" s="14"/>
      <c r="F1547" s="15">
        <v>38720.36</v>
      </c>
      <c r="G1547" s="15">
        <v>0</v>
      </c>
      <c r="H1547" s="15">
        <f t="shared" si="120"/>
        <v>38720.36</v>
      </c>
      <c r="I1547" s="13" t="str">
        <f t="shared" si="121"/>
        <v/>
      </c>
      <c r="J1547" s="13" t="str">
        <f t="shared" ca="1" si="122"/>
        <v>Overdue</v>
      </c>
      <c r="K1547" s="13">
        <f t="shared" ca="1" si="123"/>
        <v>240</v>
      </c>
      <c r="L1547" s="13" t="str">
        <f t="shared" ca="1" si="124"/>
        <v>120+ Days</v>
      </c>
      <c r="M1547" s="14">
        <v>45962</v>
      </c>
      <c r="N1547" s="14"/>
    </row>
    <row r="1548" spans="1:14" x14ac:dyDescent="0.25">
      <c r="A1548" s="10" t="s">
        <v>1675</v>
      </c>
      <c r="B1548" s="10" t="s">
        <v>233</v>
      </c>
      <c r="C1548" s="11">
        <v>45988</v>
      </c>
      <c r="D1548" s="11">
        <v>46018</v>
      </c>
      <c r="E1548" s="11">
        <v>46052</v>
      </c>
      <c r="F1548" s="12">
        <v>52409.24</v>
      </c>
      <c r="G1548" s="12">
        <v>52409.24</v>
      </c>
      <c r="H1548" s="12">
        <f t="shared" si="120"/>
        <v>0</v>
      </c>
      <c r="I1548" s="10">
        <f t="shared" si="121"/>
        <v>34</v>
      </c>
      <c r="J1548" s="10" t="str">
        <f t="shared" ca="1" si="122"/>
        <v>Paid</v>
      </c>
      <c r="K1548" s="10">
        <f t="shared" ca="1" si="123"/>
        <v>0</v>
      </c>
      <c r="L1548" s="10" t="str">
        <f t="shared" si="124"/>
        <v>Paid</v>
      </c>
      <c r="M1548" s="11">
        <v>45962</v>
      </c>
      <c r="N1548" s="11">
        <v>46023</v>
      </c>
    </row>
    <row r="1549" spans="1:14" x14ac:dyDescent="0.25">
      <c r="A1549" s="13" t="s">
        <v>1676</v>
      </c>
      <c r="B1549" s="13" t="s">
        <v>81</v>
      </c>
      <c r="C1549" s="14">
        <v>45972</v>
      </c>
      <c r="D1549" s="14">
        <v>46002</v>
      </c>
      <c r="E1549" s="14"/>
      <c r="F1549" s="15">
        <v>39272.07</v>
      </c>
      <c r="G1549" s="15">
        <v>0</v>
      </c>
      <c r="H1549" s="15">
        <f t="shared" si="120"/>
        <v>39272.07</v>
      </c>
      <c r="I1549" s="13" t="str">
        <f t="shared" si="121"/>
        <v/>
      </c>
      <c r="J1549" s="13" t="str">
        <f t="shared" ca="1" si="122"/>
        <v>Overdue</v>
      </c>
      <c r="K1549" s="13">
        <f t="shared" ca="1" si="123"/>
        <v>254</v>
      </c>
      <c r="L1549" s="13" t="str">
        <f t="shared" ca="1" si="124"/>
        <v>120+ Days</v>
      </c>
      <c r="M1549" s="14">
        <v>45962</v>
      </c>
      <c r="N1549" s="14"/>
    </row>
    <row r="1550" spans="1:14" x14ac:dyDescent="0.25">
      <c r="A1550" s="10" t="s">
        <v>1677</v>
      </c>
      <c r="B1550" s="10" t="s">
        <v>340</v>
      </c>
      <c r="C1550" s="11">
        <v>45974</v>
      </c>
      <c r="D1550" s="11">
        <v>46004</v>
      </c>
      <c r="E1550" s="11">
        <v>46057</v>
      </c>
      <c r="F1550" s="12">
        <v>34920.379999999997</v>
      </c>
      <c r="G1550" s="12">
        <v>34920.379999999997</v>
      </c>
      <c r="H1550" s="12">
        <f t="shared" si="120"/>
        <v>0</v>
      </c>
      <c r="I1550" s="10">
        <f t="shared" si="121"/>
        <v>53</v>
      </c>
      <c r="J1550" s="10" t="str">
        <f t="shared" ca="1" si="122"/>
        <v>Paid</v>
      </c>
      <c r="K1550" s="10">
        <f t="shared" ca="1" si="123"/>
        <v>0</v>
      </c>
      <c r="L1550" s="10" t="str">
        <f t="shared" si="124"/>
        <v>Paid</v>
      </c>
      <c r="M1550" s="11">
        <v>45962</v>
      </c>
      <c r="N1550" s="11">
        <v>46054</v>
      </c>
    </row>
    <row r="1551" spans="1:14" x14ac:dyDescent="0.25">
      <c r="A1551" s="13" t="s">
        <v>1678</v>
      </c>
      <c r="B1551" s="13" t="s">
        <v>449</v>
      </c>
      <c r="C1551" s="14">
        <v>45970</v>
      </c>
      <c r="D1551" s="14">
        <v>46000</v>
      </c>
      <c r="E1551" s="14">
        <v>46038</v>
      </c>
      <c r="F1551" s="15">
        <v>39298.300000000003</v>
      </c>
      <c r="G1551" s="15">
        <v>39298.300000000003</v>
      </c>
      <c r="H1551" s="15">
        <f t="shared" si="120"/>
        <v>0</v>
      </c>
      <c r="I1551" s="13">
        <f t="shared" si="121"/>
        <v>38</v>
      </c>
      <c r="J1551" s="13" t="str">
        <f t="shared" ca="1" si="122"/>
        <v>Paid</v>
      </c>
      <c r="K1551" s="13">
        <f t="shared" ca="1" si="123"/>
        <v>0</v>
      </c>
      <c r="L1551" s="13" t="str">
        <f t="shared" si="124"/>
        <v>Paid</v>
      </c>
      <c r="M1551" s="14">
        <v>45962</v>
      </c>
      <c r="N1551" s="14">
        <v>46023</v>
      </c>
    </row>
    <row r="1552" spans="1:14" x14ac:dyDescent="0.25">
      <c r="A1552" s="10" t="s">
        <v>1679</v>
      </c>
      <c r="B1552" s="10" t="s">
        <v>233</v>
      </c>
      <c r="C1552" s="11">
        <v>45969</v>
      </c>
      <c r="D1552" s="11">
        <v>45999</v>
      </c>
      <c r="E1552" s="11">
        <v>46030</v>
      </c>
      <c r="F1552" s="12">
        <v>80957.009999999995</v>
      </c>
      <c r="G1552" s="12">
        <v>80957.009999999995</v>
      </c>
      <c r="H1552" s="12">
        <f t="shared" si="120"/>
        <v>0</v>
      </c>
      <c r="I1552" s="10">
        <f t="shared" si="121"/>
        <v>31</v>
      </c>
      <c r="J1552" s="10" t="str">
        <f t="shared" ca="1" si="122"/>
        <v>Paid</v>
      </c>
      <c r="K1552" s="10">
        <f t="shared" ca="1" si="123"/>
        <v>0</v>
      </c>
      <c r="L1552" s="10" t="str">
        <f t="shared" si="124"/>
        <v>Paid</v>
      </c>
      <c r="M1552" s="11">
        <v>45962</v>
      </c>
      <c r="N1552" s="11">
        <v>46023</v>
      </c>
    </row>
    <row r="1553" spans="1:14" x14ac:dyDescent="0.25">
      <c r="A1553" s="13" t="s">
        <v>1680</v>
      </c>
      <c r="B1553" s="13" t="s">
        <v>161</v>
      </c>
      <c r="C1553" s="14">
        <v>45971</v>
      </c>
      <c r="D1553" s="14">
        <v>46001</v>
      </c>
      <c r="E1553" s="14">
        <v>46012</v>
      </c>
      <c r="F1553" s="15">
        <v>35085.64</v>
      </c>
      <c r="G1553" s="15">
        <v>35085.64</v>
      </c>
      <c r="H1553" s="15">
        <f t="shared" si="120"/>
        <v>0</v>
      </c>
      <c r="I1553" s="13">
        <f t="shared" si="121"/>
        <v>11</v>
      </c>
      <c r="J1553" s="13" t="str">
        <f t="shared" ca="1" si="122"/>
        <v>Paid</v>
      </c>
      <c r="K1553" s="13">
        <f t="shared" ca="1" si="123"/>
        <v>0</v>
      </c>
      <c r="L1553" s="13" t="str">
        <f t="shared" si="124"/>
        <v>Paid</v>
      </c>
      <c r="M1553" s="14">
        <v>45962</v>
      </c>
      <c r="N1553" s="14">
        <v>45992</v>
      </c>
    </row>
    <row r="1554" spans="1:14" x14ac:dyDescent="0.25">
      <c r="A1554" s="10" t="s">
        <v>1681</v>
      </c>
      <c r="B1554" s="10" t="s">
        <v>131</v>
      </c>
      <c r="C1554" s="11">
        <v>45963</v>
      </c>
      <c r="D1554" s="11">
        <v>45993</v>
      </c>
      <c r="E1554" s="11">
        <v>46006</v>
      </c>
      <c r="F1554" s="12">
        <v>39420.660000000003</v>
      </c>
      <c r="G1554" s="12">
        <v>39420.660000000003</v>
      </c>
      <c r="H1554" s="12">
        <f t="shared" si="120"/>
        <v>0</v>
      </c>
      <c r="I1554" s="10">
        <f t="shared" si="121"/>
        <v>13</v>
      </c>
      <c r="J1554" s="10" t="str">
        <f t="shared" ca="1" si="122"/>
        <v>Paid</v>
      </c>
      <c r="K1554" s="10">
        <f t="shared" ca="1" si="123"/>
        <v>0</v>
      </c>
      <c r="L1554" s="10" t="str">
        <f t="shared" si="124"/>
        <v>Paid</v>
      </c>
      <c r="M1554" s="11">
        <v>45962</v>
      </c>
      <c r="N1554" s="11">
        <v>45992</v>
      </c>
    </row>
    <row r="1555" spans="1:14" x14ac:dyDescent="0.25">
      <c r="A1555" s="13" t="s">
        <v>1682</v>
      </c>
      <c r="B1555" s="13" t="s">
        <v>171</v>
      </c>
      <c r="C1555" s="14">
        <v>45969</v>
      </c>
      <c r="D1555" s="14">
        <v>45999</v>
      </c>
      <c r="E1555" s="14">
        <v>46046</v>
      </c>
      <c r="F1555" s="15">
        <v>33410.54</v>
      </c>
      <c r="G1555" s="15">
        <v>33410.54</v>
      </c>
      <c r="H1555" s="15">
        <f t="shared" si="120"/>
        <v>0</v>
      </c>
      <c r="I1555" s="13">
        <f t="shared" si="121"/>
        <v>47</v>
      </c>
      <c r="J1555" s="13" t="str">
        <f t="shared" ca="1" si="122"/>
        <v>Paid</v>
      </c>
      <c r="K1555" s="13">
        <f t="shared" ca="1" si="123"/>
        <v>0</v>
      </c>
      <c r="L1555" s="13" t="str">
        <f t="shared" si="124"/>
        <v>Paid</v>
      </c>
      <c r="M1555" s="14">
        <v>45962</v>
      </c>
      <c r="N1555" s="14">
        <v>46023</v>
      </c>
    </row>
    <row r="1556" spans="1:14" x14ac:dyDescent="0.25">
      <c r="A1556" s="10" t="s">
        <v>1683</v>
      </c>
      <c r="B1556" s="10" t="s">
        <v>101</v>
      </c>
      <c r="C1556" s="11">
        <v>45966</v>
      </c>
      <c r="D1556" s="11">
        <v>45996</v>
      </c>
      <c r="E1556" s="11">
        <v>46009</v>
      </c>
      <c r="F1556" s="12">
        <v>19684.72</v>
      </c>
      <c r="G1556" s="12">
        <v>19684.72</v>
      </c>
      <c r="H1556" s="12">
        <f t="shared" si="120"/>
        <v>0</v>
      </c>
      <c r="I1556" s="10">
        <f t="shared" si="121"/>
        <v>13</v>
      </c>
      <c r="J1556" s="10" t="str">
        <f t="shared" ca="1" si="122"/>
        <v>Paid</v>
      </c>
      <c r="K1556" s="10">
        <f t="shared" ca="1" si="123"/>
        <v>0</v>
      </c>
      <c r="L1556" s="10" t="str">
        <f t="shared" si="124"/>
        <v>Paid</v>
      </c>
      <c r="M1556" s="11">
        <v>45962</v>
      </c>
      <c r="N1556" s="11">
        <v>45992</v>
      </c>
    </row>
    <row r="1557" spans="1:14" x14ac:dyDescent="0.25">
      <c r="A1557" s="13" t="s">
        <v>1684</v>
      </c>
      <c r="B1557" s="13" t="s">
        <v>87</v>
      </c>
      <c r="C1557" s="14">
        <v>45977</v>
      </c>
      <c r="D1557" s="14">
        <v>46007</v>
      </c>
      <c r="E1557" s="14">
        <v>46016</v>
      </c>
      <c r="F1557" s="15">
        <v>62484.84</v>
      </c>
      <c r="G1557" s="15">
        <v>62484.84</v>
      </c>
      <c r="H1557" s="15">
        <f t="shared" si="120"/>
        <v>0</v>
      </c>
      <c r="I1557" s="13">
        <f t="shared" si="121"/>
        <v>9</v>
      </c>
      <c r="J1557" s="13" t="str">
        <f t="shared" ca="1" si="122"/>
        <v>Paid</v>
      </c>
      <c r="K1557" s="13">
        <f t="shared" ca="1" si="123"/>
        <v>0</v>
      </c>
      <c r="L1557" s="13" t="str">
        <f t="shared" si="124"/>
        <v>Paid</v>
      </c>
      <c r="M1557" s="14">
        <v>45962</v>
      </c>
      <c r="N1557" s="14">
        <v>45992</v>
      </c>
    </row>
    <row r="1558" spans="1:14" x14ac:dyDescent="0.25">
      <c r="A1558" s="10" t="s">
        <v>1685</v>
      </c>
      <c r="B1558" s="10" t="s">
        <v>188</v>
      </c>
      <c r="C1558" s="11">
        <v>45965</v>
      </c>
      <c r="D1558" s="11">
        <v>45995</v>
      </c>
      <c r="E1558" s="11">
        <v>45998</v>
      </c>
      <c r="F1558" s="12">
        <v>51068.06</v>
      </c>
      <c r="G1558" s="12">
        <v>51068.06</v>
      </c>
      <c r="H1558" s="12">
        <f t="shared" si="120"/>
        <v>0</v>
      </c>
      <c r="I1558" s="10">
        <f t="shared" si="121"/>
        <v>3</v>
      </c>
      <c r="J1558" s="10" t="str">
        <f t="shared" ca="1" si="122"/>
        <v>Paid</v>
      </c>
      <c r="K1558" s="10">
        <f t="shared" ca="1" si="123"/>
        <v>0</v>
      </c>
      <c r="L1558" s="10" t="str">
        <f t="shared" si="124"/>
        <v>Paid</v>
      </c>
      <c r="M1558" s="11">
        <v>45962</v>
      </c>
      <c r="N1558" s="11">
        <v>45992</v>
      </c>
    </row>
    <row r="1559" spans="1:14" x14ac:dyDescent="0.25">
      <c r="A1559" s="13" t="s">
        <v>1686</v>
      </c>
      <c r="B1559" s="13" t="s">
        <v>230</v>
      </c>
      <c r="C1559" s="14">
        <v>45981</v>
      </c>
      <c r="D1559" s="14">
        <v>46011</v>
      </c>
      <c r="E1559" s="14">
        <v>46011</v>
      </c>
      <c r="F1559" s="15">
        <v>15973.41</v>
      </c>
      <c r="G1559" s="15">
        <v>15973.41</v>
      </c>
      <c r="H1559" s="15">
        <f t="shared" si="120"/>
        <v>0</v>
      </c>
      <c r="I1559" s="13">
        <f t="shared" si="121"/>
        <v>0</v>
      </c>
      <c r="J1559" s="13" t="str">
        <f t="shared" ca="1" si="122"/>
        <v>Paid</v>
      </c>
      <c r="K1559" s="13">
        <f t="shared" ca="1" si="123"/>
        <v>0</v>
      </c>
      <c r="L1559" s="13" t="str">
        <f t="shared" si="124"/>
        <v>Paid</v>
      </c>
      <c r="M1559" s="14">
        <v>45962</v>
      </c>
      <c r="N1559" s="14">
        <v>45992</v>
      </c>
    </row>
    <row r="1560" spans="1:14" x14ac:dyDescent="0.25">
      <c r="A1560" s="10" t="s">
        <v>1687</v>
      </c>
      <c r="B1560" s="10" t="s">
        <v>89</v>
      </c>
      <c r="C1560" s="11">
        <v>45978</v>
      </c>
      <c r="D1560" s="11">
        <v>46008</v>
      </c>
      <c r="E1560" s="11">
        <v>46045</v>
      </c>
      <c r="F1560" s="12">
        <v>58119.67</v>
      </c>
      <c r="G1560" s="12">
        <v>58119.67</v>
      </c>
      <c r="H1560" s="12">
        <f t="shared" si="120"/>
        <v>0</v>
      </c>
      <c r="I1560" s="10">
        <f t="shared" si="121"/>
        <v>37</v>
      </c>
      <c r="J1560" s="10" t="str">
        <f t="shared" ca="1" si="122"/>
        <v>Paid</v>
      </c>
      <c r="K1560" s="10">
        <f t="shared" ca="1" si="123"/>
        <v>0</v>
      </c>
      <c r="L1560" s="10" t="str">
        <f t="shared" si="124"/>
        <v>Paid</v>
      </c>
      <c r="M1560" s="11">
        <v>45962</v>
      </c>
      <c r="N1560" s="11">
        <v>46023</v>
      </c>
    </row>
    <row r="1561" spans="1:14" x14ac:dyDescent="0.25">
      <c r="A1561" s="13" t="s">
        <v>1688</v>
      </c>
      <c r="B1561" s="13" t="s">
        <v>125</v>
      </c>
      <c r="C1561" s="14">
        <v>45979</v>
      </c>
      <c r="D1561" s="14">
        <v>46009</v>
      </c>
      <c r="E1561" s="14">
        <v>46009</v>
      </c>
      <c r="F1561" s="15">
        <v>16882.59</v>
      </c>
      <c r="G1561" s="15">
        <v>16882.59</v>
      </c>
      <c r="H1561" s="15">
        <f t="shared" si="120"/>
        <v>0</v>
      </c>
      <c r="I1561" s="13">
        <f t="shared" si="121"/>
        <v>0</v>
      </c>
      <c r="J1561" s="13" t="str">
        <f t="shared" ca="1" si="122"/>
        <v>Paid</v>
      </c>
      <c r="K1561" s="13">
        <f t="shared" ca="1" si="123"/>
        <v>0</v>
      </c>
      <c r="L1561" s="13" t="str">
        <f t="shared" si="124"/>
        <v>Paid</v>
      </c>
      <c r="M1561" s="14">
        <v>45962</v>
      </c>
      <c r="N1561" s="14">
        <v>45992</v>
      </c>
    </row>
    <row r="1562" spans="1:14" x14ac:dyDescent="0.25">
      <c r="A1562" s="10" t="s">
        <v>1689</v>
      </c>
      <c r="B1562" s="10" t="s">
        <v>131</v>
      </c>
      <c r="C1562" s="11">
        <v>45964</v>
      </c>
      <c r="D1562" s="11">
        <v>45994</v>
      </c>
      <c r="E1562" s="11">
        <v>46013</v>
      </c>
      <c r="F1562" s="12">
        <v>74872.81</v>
      </c>
      <c r="G1562" s="12">
        <v>74872.81</v>
      </c>
      <c r="H1562" s="12">
        <f t="shared" si="120"/>
        <v>0</v>
      </c>
      <c r="I1562" s="10">
        <f t="shared" si="121"/>
        <v>19</v>
      </c>
      <c r="J1562" s="10" t="str">
        <f t="shared" ca="1" si="122"/>
        <v>Paid</v>
      </c>
      <c r="K1562" s="10">
        <f t="shared" ca="1" si="123"/>
        <v>0</v>
      </c>
      <c r="L1562" s="10" t="str">
        <f t="shared" si="124"/>
        <v>Paid</v>
      </c>
      <c r="M1562" s="11">
        <v>45962</v>
      </c>
      <c r="N1562" s="11">
        <v>45992</v>
      </c>
    </row>
    <row r="1563" spans="1:14" x14ac:dyDescent="0.25">
      <c r="A1563" s="13" t="s">
        <v>1690</v>
      </c>
      <c r="B1563" s="13" t="s">
        <v>449</v>
      </c>
      <c r="C1563" s="14">
        <v>45980</v>
      </c>
      <c r="D1563" s="14">
        <v>46010</v>
      </c>
      <c r="E1563" s="14">
        <v>46010</v>
      </c>
      <c r="F1563" s="15">
        <v>67975.12</v>
      </c>
      <c r="G1563" s="15">
        <v>67975.12</v>
      </c>
      <c r="H1563" s="15">
        <f t="shared" si="120"/>
        <v>0</v>
      </c>
      <c r="I1563" s="13">
        <f t="shared" si="121"/>
        <v>0</v>
      </c>
      <c r="J1563" s="13" t="str">
        <f t="shared" ca="1" si="122"/>
        <v>Paid</v>
      </c>
      <c r="K1563" s="13">
        <f t="shared" ca="1" si="123"/>
        <v>0</v>
      </c>
      <c r="L1563" s="13" t="str">
        <f t="shared" si="124"/>
        <v>Paid</v>
      </c>
      <c r="M1563" s="14">
        <v>45962</v>
      </c>
      <c r="N1563" s="14">
        <v>45992</v>
      </c>
    </row>
    <row r="1564" spans="1:14" x14ac:dyDescent="0.25">
      <c r="A1564" s="10" t="s">
        <v>1691</v>
      </c>
      <c r="B1564" s="10" t="s">
        <v>171</v>
      </c>
      <c r="C1564" s="11">
        <v>45963</v>
      </c>
      <c r="D1564" s="11">
        <v>45993</v>
      </c>
      <c r="E1564" s="11">
        <v>45993</v>
      </c>
      <c r="F1564" s="12">
        <v>55963.64</v>
      </c>
      <c r="G1564" s="12">
        <v>55963.64</v>
      </c>
      <c r="H1564" s="12">
        <f t="shared" si="120"/>
        <v>0</v>
      </c>
      <c r="I1564" s="10">
        <f t="shared" si="121"/>
        <v>0</v>
      </c>
      <c r="J1564" s="10" t="str">
        <f t="shared" ca="1" si="122"/>
        <v>Paid</v>
      </c>
      <c r="K1564" s="10">
        <f t="shared" ca="1" si="123"/>
        <v>0</v>
      </c>
      <c r="L1564" s="10" t="str">
        <f t="shared" si="124"/>
        <v>Paid</v>
      </c>
      <c r="M1564" s="11">
        <v>45962</v>
      </c>
      <c r="N1564" s="11">
        <v>45992</v>
      </c>
    </row>
    <row r="1565" spans="1:14" x14ac:dyDescent="0.25">
      <c r="A1565" s="13" t="s">
        <v>1692</v>
      </c>
      <c r="B1565" s="13" t="s">
        <v>198</v>
      </c>
      <c r="C1565" s="14">
        <v>45963</v>
      </c>
      <c r="D1565" s="14">
        <v>45993</v>
      </c>
      <c r="E1565" s="14">
        <v>45993</v>
      </c>
      <c r="F1565" s="15">
        <v>34073.5</v>
      </c>
      <c r="G1565" s="15">
        <v>34073.5</v>
      </c>
      <c r="H1565" s="15">
        <f t="shared" si="120"/>
        <v>0</v>
      </c>
      <c r="I1565" s="13">
        <f t="shared" si="121"/>
        <v>0</v>
      </c>
      <c r="J1565" s="13" t="str">
        <f t="shared" ca="1" si="122"/>
        <v>Paid</v>
      </c>
      <c r="K1565" s="13">
        <f t="shared" ca="1" si="123"/>
        <v>0</v>
      </c>
      <c r="L1565" s="13" t="str">
        <f t="shared" si="124"/>
        <v>Paid</v>
      </c>
      <c r="M1565" s="14">
        <v>45962</v>
      </c>
      <c r="N1565" s="14">
        <v>45992</v>
      </c>
    </row>
    <row r="1566" spans="1:14" x14ac:dyDescent="0.25">
      <c r="A1566" s="10" t="s">
        <v>1693</v>
      </c>
      <c r="B1566" s="10" t="s">
        <v>117</v>
      </c>
      <c r="C1566" s="11">
        <v>45976</v>
      </c>
      <c r="D1566" s="11">
        <v>46006</v>
      </c>
      <c r="E1566" s="11"/>
      <c r="F1566" s="12">
        <v>58647.35</v>
      </c>
      <c r="G1566" s="12">
        <v>0</v>
      </c>
      <c r="H1566" s="12">
        <f t="shared" si="120"/>
        <v>58647.35</v>
      </c>
      <c r="I1566" s="10" t="str">
        <f t="shared" si="121"/>
        <v/>
      </c>
      <c r="J1566" s="10" t="str">
        <f t="shared" ca="1" si="122"/>
        <v>Overdue</v>
      </c>
      <c r="K1566" s="10">
        <f t="shared" ca="1" si="123"/>
        <v>250</v>
      </c>
      <c r="L1566" s="10" t="str">
        <f t="shared" ca="1" si="124"/>
        <v>120+ Days</v>
      </c>
      <c r="M1566" s="11">
        <v>45962</v>
      </c>
      <c r="N1566" s="11"/>
    </row>
    <row r="1567" spans="1:14" x14ac:dyDescent="0.25">
      <c r="A1567" s="13" t="s">
        <v>1694</v>
      </c>
      <c r="B1567" s="13" t="s">
        <v>159</v>
      </c>
      <c r="C1567" s="14">
        <v>45969</v>
      </c>
      <c r="D1567" s="14">
        <v>45999</v>
      </c>
      <c r="E1567" s="14"/>
      <c r="F1567" s="15">
        <v>30482.63</v>
      </c>
      <c r="G1567" s="15">
        <v>0</v>
      </c>
      <c r="H1567" s="15">
        <f t="shared" si="120"/>
        <v>30482.63</v>
      </c>
      <c r="I1567" s="13" t="str">
        <f t="shared" si="121"/>
        <v/>
      </c>
      <c r="J1567" s="13" t="str">
        <f t="shared" ca="1" si="122"/>
        <v>Overdue</v>
      </c>
      <c r="K1567" s="13">
        <f t="shared" ca="1" si="123"/>
        <v>257</v>
      </c>
      <c r="L1567" s="13" t="str">
        <f t="shared" ca="1" si="124"/>
        <v>120+ Days</v>
      </c>
      <c r="M1567" s="14">
        <v>45962</v>
      </c>
      <c r="N1567" s="14"/>
    </row>
    <row r="1568" spans="1:14" x14ac:dyDescent="0.25">
      <c r="A1568" s="10" t="s">
        <v>1695</v>
      </c>
      <c r="B1568" s="10" t="s">
        <v>159</v>
      </c>
      <c r="C1568" s="11">
        <v>45984</v>
      </c>
      <c r="D1568" s="11">
        <v>46014</v>
      </c>
      <c r="E1568" s="11">
        <v>46107</v>
      </c>
      <c r="F1568" s="12">
        <v>91786.02</v>
      </c>
      <c r="G1568" s="12">
        <v>91786.02</v>
      </c>
      <c r="H1568" s="12">
        <f t="shared" si="120"/>
        <v>0</v>
      </c>
      <c r="I1568" s="10">
        <f t="shared" si="121"/>
        <v>93</v>
      </c>
      <c r="J1568" s="10" t="str">
        <f t="shared" ca="1" si="122"/>
        <v>Paid</v>
      </c>
      <c r="K1568" s="10">
        <f t="shared" ca="1" si="123"/>
        <v>0</v>
      </c>
      <c r="L1568" s="10" t="str">
        <f t="shared" si="124"/>
        <v>Paid</v>
      </c>
      <c r="M1568" s="11">
        <v>45962</v>
      </c>
      <c r="N1568" s="11">
        <v>46082</v>
      </c>
    </row>
    <row r="1569" spans="1:14" x14ac:dyDescent="0.25">
      <c r="A1569" s="13" t="s">
        <v>1696</v>
      </c>
      <c r="B1569" s="13" t="s">
        <v>83</v>
      </c>
      <c r="C1569" s="14">
        <v>45987</v>
      </c>
      <c r="D1569" s="14">
        <v>46017</v>
      </c>
      <c r="E1569" s="14">
        <v>46025</v>
      </c>
      <c r="F1569" s="15">
        <v>24612.75</v>
      </c>
      <c r="G1569" s="15">
        <v>24612.75</v>
      </c>
      <c r="H1569" s="15">
        <f t="shared" si="120"/>
        <v>0</v>
      </c>
      <c r="I1569" s="13">
        <f t="shared" si="121"/>
        <v>8</v>
      </c>
      <c r="J1569" s="13" t="str">
        <f t="shared" ca="1" si="122"/>
        <v>Paid</v>
      </c>
      <c r="K1569" s="13">
        <f t="shared" ca="1" si="123"/>
        <v>0</v>
      </c>
      <c r="L1569" s="13" t="str">
        <f t="shared" si="124"/>
        <v>Paid</v>
      </c>
      <c r="M1569" s="14">
        <v>45962</v>
      </c>
      <c r="N1569" s="14">
        <v>46023</v>
      </c>
    </row>
    <row r="1570" spans="1:14" x14ac:dyDescent="0.25">
      <c r="A1570" s="10" t="s">
        <v>1697</v>
      </c>
      <c r="B1570" s="10" t="s">
        <v>215</v>
      </c>
      <c r="C1570" s="11">
        <v>46011</v>
      </c>
      <c r="D1570" s="11">
        <v>46041</v>
      </c>
      <c r="E1570" s="11"/>
      <c r="F1570" s="12">
        <v>51528.13</v>
      </c>
      <c r="G1570" s="12">
        <v>0</v>
      </c>
      <c r="H1570" s="12">
        <f t="shared" si="120"/>
        <v>51528.13</v>
      </c>
      <c r="I1570" s="10" t="str">
        <f t="shared" si="121"/>
        <v/>
      </c>
      <c r="J1570" s="10" t="str">
        <f t="shared" ca="1" si="122"/>
        <v>Overdue</v>
      </c>
      <c r="K1570" s="10">
        <f t="shared" ca="1" si="123"/>
        <v>215</v>
      </c>
      <c r="L1570" s="10" t="str">
        <f t="shared" ca="1" si="124"/>
        <v>120+ Days</v>
      </c>
      <c r="M1570" s="11">
        <v>45992</v>
      </c>
      <c r="N1570" s="11"/>
    </row>
    <row r="1571" spans="1:14" x14ac:dyDescent="0.25">
      <c r="A1571" s="13" t="s">
        <v>1698</v>
      </c>
      <c r="B1571" s="13" t="s">
        <v>127</v>
      </c>
      <c r="C1571" s="14">
        <v>45997</v>
      </c>
      <c r="D1571" s="14">
        <v>46027</v>
      </c>
      <c r="E1571" s="14">
        <v>46027</v>
      </c>
      <c r="F1571" s="15">
        <v>34418.160000000003</v>
      </c>
      <c r="G1571" s="15">
        <v>34418.160000000003</v>
      </c>
      <c r="H1571" s="15">
        <f t="shared" si="120"/>
        <v>0</v>
      </c>
      <c r="I1571" s="13">
        <f t="shared" si="121"/>
        <v>0</v>
      </c>
      <c r="J1571" s="13" t="str">
        <f t="shared" ca="1" si="122"/>
        <v>Paid</v>
      </c>
      <c r="K1571" s="13">
        <f t="shared" ca="1" si="123"/>
        <v>0</v>
      </c>
      <c r="L1571" s="13" t="str">
        <f t="shared" si="124"/>
        <v>Paid</v>
      </c>
      <c r="M1571" s="14">
        <v>45992</v>
      </c>
      <c r="N1571" s="14">
        <v>46023</v>
      </c>
    </row>
    <row r="1572" spans="1:14" x14ac:dyDescent="0.25">
      <c r="A1572" s="10" t="s">
        <v>1699</v>
      </c>
      <c r="B1572" s="10" t="s">
        <v>182</v>
      </c>
      <c r="C1572" s="11">
        <v>46001</v>
      </c>
      <c r="D1572" s="11">
        <v>46031</v>
      </c>
      <c r="E1572" s="11">
        <v>46038</v>
      </c>
      <c r="F1572" s="12">
        <v>56247.51</v>
      </c>
      <c r="G1572" s="12">
        <v>56247.51</v>
      </c>
      <c r="H1572" s="12">
        <f t="shared" si="120"/>
        <v>0</v>
      </c>
      <c r="I1572" s="10">
        <f t="shared" si="121"/>
        <v>7</v>
      </c>
      <c r="J1572" s="10" t="str">
        <f t="shared" ca="1" si="122"/>
        <v>Paid</v>
      </c>
      <c r="K1572" s="10">
        <f t="shared" ca="1" si="123"/>
        <v>0</v>
      </c>
      <c r="L1572" s="10" t="str">
        <f t="shared" si="124"/>
        <v>Paid</v>
      </c>
      <c r="M1572" s="11">
        <v>45992</v>
      </c>
      <c r="N1572" s="11">
        <v>46023</v>
      </c>
    </row>
    <row r="1573" spans="1:14" x14ac:dyDescent="0.25">
      <c r="A1573" s="13" t="s">
        <v>1700</v>
      </c>
      <c r="B1573" s="13" t="s">
        <v>81</v>
      </c>
      <c r="C1573" s="14">
        <v>46000</v>
      </c>
      <c r="D1573" s="14">
        <v>46030</v>
      </c>
      <c r="E1573" s="14">
        <v>46035</v>
      </c>
      <c r="F1573" s="15">
        <v>22277.71</v>
      </c>
      <c r="G1573" s="15">
        <v>22277.71</v>
      </c>
      <c r="H1573" s="15">
        <f t="shared" si="120"/>
        <v>0</v>
      </c>
      <c r="I1573" s="13">
        <f t="shared" si="121"/>
        <v>5</v>
      </c>
      <c r="J1573" s="13" t="str">
        <f t="shared" ca="1" si="122"/>
        <v>Paid</v>
      </c>
      <c r="K1573" s="13">
        <f t="shared" ca="1" si="123"/>
        <v>0</v>
      </c>
      <c r="L1573" s="13" t="str">
        <f t="shared" si="124"/>
        <v>Paid</v>
      </c>
      <c r="M1573" s="14">
        <v>45992</v>
      </c>
      <c r="N1573" s="14">
        <v>46023</v>
      </c>
    </row>
    <row r="1574" spans="1:14" x14ac:dyDescent="0.25">
      <c r="A1574" s="10" t="s">
        <v>1701</v>
      </c>
      <c r="B1574" s="10" t="s">
        <v>138</v>
      </c>
      <c r="C1574" s="11">
        <v>46017</v>
      </c>
      <c r="D1574" s="11">
        <v>46047</v>
      </c>
      <c r="E1574" s="11"/>
      <c r="F1574" s="12">
        <v>68559.600000000006</v>
      </c>
      <c r="G1574" s="12">
        <v>0</v>
      </c>
      <c r="H1574" s="12">
        <f t="shared" si="120"/>
        <v>68559.600000000006</v>
      </c>
      <c r="I1574" s="10" t="str">
        <f t="shared" si="121"/>
        <v/>
      </c>
      <c r="J1574" s="10" t="str">
        <f t="shared" ca="1" si="122"/>
        <v>Overdue</v>
      </c>
      <c r="K1574" s="10">
        <f t="shared" ca="1" si="123"/>
        <v>209</v>
      </c>
      <c r="L1574" s="10" t="str">
        <f t="shared" ca="1" si="124"/>
        <v>120+ Days</v>
      </c>
      <c r="M1574" s="11">
        <v>45992</v>
      </c>
      <c r="N1574" s="11"/>
    </row>
    <row r="1575" spans="1:14" x14ac:dyDescent="0.25">
      <c r="A1575" s="13" t="s">
        <v>1702</v>
      </c>
      <c r="B1575" s="13" t="s">
        <v>79</v>
      </c>
      <c r="C1575" s="14">
        <v>46014</v>
      </c>
      <c r="D1575" s="14">
        <v>46044</v>
      </c>
      <c r="E1575" s="14">
        <v>46052</v>
      </c>
      <c r="F1575" s="15">
        <v>14921.4</v>
      </c>
      <c r="G1575" s="15">
        <v>14921.4</v>
      </c>
      <c r="H1575" s="15">
        <f t="shared" si="120"/>
        <v>0</v>
      </c>
      <c r="I1575" s="13">
        <f t="shared" si="121"/>
        <v>8</v>
      </c>
      <c r="J1575" s="13" t="str">
        <f t="shared" ca="1" si="122"/>
        <v>Paid</v>
      </c>
      <c r="K1575" s="13">
        <f t="shared" ca="1" si="123"/>
        <v>0</v>
      </c>
      <c r="L1575" s="13" t="str">
        <f t="shared" si="124"/>
        <v>Paid</v>
      </c>
      <c r="M1575" s="14">
        <v>45992</v>
      </c>
      <c r="N1575" s="14">
        <v>46023</v>
      </c>
    </row>
    <row r="1576" spans="1:14" x14ac:dyDescent="0.25">
      <c r="A1576" s="10" t="s">
        <v>1703</v>
      </c>
      <c r="B1576" s="10" t="s">
        <v>131</v>
      </c>
      <c r="C1576" s="11">
        <v>46009</v>
      </c>
      <c r="D1576" s="11">
        <v>46039</v>
      </c>
      <c r="E1576" s="11"/>
      <c r="F1576" s="12">
        <v>53501.88</v>
      </c>
      <c r="G1576" s="12">
        <v>0</v>
      </c>
      <c r="H1576" s="12">
        <f t="shared" si="120"/>
        <v>53501.88</v>
      </c>
      <c r="I1576" s="10" t="str">
        <f t="shared" si="121"/>
        <v/>
      </c>
      <c r="J1576" s="10" t="str">
        <f t="shared" ca="1" si="122"/>
        <v>Overdue</v>
      </c>
      <c r="K1576" s="10">
        <f t="shared" ca="1" si="123"/>
        <v>217</v>
      </c>
      <c r="L1576" s="10" t="str">
        <f t="shared" ca="1" si="124"/>
        <v>120+ Days</v>
      </c>
      <c r="M1576" s="11">
        <v>45992</v>
      </c>
      <c r="N1576" s="11"/>
    </row>
    <row r="1577" spans="1:14" x14ac:dyDescent="0.25">
      <c r="A1577" s="13" t="s">
        <v>1704</v>
      </c>
      <c r="B1577" s="13" t="s">
        <v>278</v>
      </c>
      <c r="C1577" s="14">
        <v>46002</v>
      </c>
      <c r="D1577" s="14">
        <v>46032</v>
      </c>
      <c r="E1577" s="14">
        <v>46109</v>
      </c>
      <c r="F1577" s="15">
        <v>40092.99</v>
      </c>
      <c r="G1577" s="15">
        <v>40092.99</v>
      </c>
      <c r="H1577" s="15">
        <f t="shared" si="120"/>
        <v>0</v>
      </c>
      <c r="I1577" s="13">
        <f t="shared" si="121"/>
        <v>77</v>
      </c>
      <c r="J1577" s="13" t="str">
        <f t="shared" ca="1" si="122"/>
        <v>Paid</v>
      </c>
      <c r="K1577" s="13">
        <f t="shared" ca="1" si="123"/>
        <v>0</v>
      </c>
      <c r="L1577" s="13" t="str">
        <f t="shared" si="124"/>
        <v>Paid</v>
      </c>
      <c r="M1577" s="14">
        <v>45992</v>
      </c>
      <c r="N1577" s="14">
        <v>46082</v>
      </c>
    </row>
    <row r="1578" spans="1:14" x14ac:dyDescent="0.25">
      <c r="A1578" s="10" t="s">
        <v>1705</v>
      </c>
      <c r="B1578" s="10" t="s">
        <v>99</v>
      </c>
      <c r="C1578" s="11">
        <v>46003</v>
      </c>
      <c r="D1578" s="11">
        <v>46033</v>
      </c>
      <c r="E1578" s="11">
        <v>46064</v>
      </c>
      <c r="F1578" s="12">
        <v>11370.29</v>
      </c>
      <c r="G1578" s="12">
        <v>11370.29</v>
      </c>
      <c r="H1578" s="12">
        <f t="shared" si="120"/>
        <v>0</v>
      </c>
      <c r="I1578" s="10">
        <f t="shared" si="121"/>
        <v>31</v>
      </c>
      <c r="J1578" s="10" t="str">
        <f t="shared" ca="1" si="122"/>
        <v>Paid</v>
      </c>
      <c r="K1578" s="10">
        <f t="shared" ca="1" si="123"/>
        <v>0</v>
      </c>
      <c r="L1578" s="10" t="str">
        <f t="shared" si="124"/>
        <v>Paid</v>
      </c>
      <c r="M1578" s="11">
        <v>45992</v>
      </c>
      <c r="N1578" s="11">
        <v>46054</v>
      </c>
    </row>
    <row r="1579" spans="1:14" x14ac:dyDescent="0.25">
      <c r="A1579" s="13" t="s">
        <v>1706</v>
      </c>
      <c r="B1579" s="13" t="s">
        <v>180</v>
      </c>
      <c r="C1579" s="14">
        <v>46018</v>
      </c>
      <c r="D1579" s="14">
        <v>46048</v>
      </c>
      <c r="E1579" s="14">
        <v>46066</v>
      </c>
      <c r="F1579" s="15">
        <v>47306.06</v>
      </c>
      <c r="G1579" s="15">
        <v>47306.06</v>
      </c>
      <c r="H1579" s="15">
        <f t="shared" si="120"/>
        <v>0</v>
      </c>
      <c r="I1579" s="13">
        <f t="shared" si="121"/>
        <v>18</v>
      </c>
      <c r="J1579" s="13" t="str">
        <f t="shared" ca="1" si="122"/>
        <v>Paid</v>
      </c>
      <c r="K1579" s="13">
        <f t="shared" ca="1" si="123"/>
        <v>0</v>
      </c>
      <c r="L1579" s="13" t="str">
        <f t="shared" si="124"/>
        <v>Paid</v>
      </c>
      <c r="M1579" s="14">
        <v>45992</v>
      </c>
      <c r="N1579" s="14">
        <v>46054</v>
      </c>
    </row>
    <row r="1580" spans="1:14" x14ac:dyDescent="0.25">
      <c r="A1580" s="10" t="s">
        <v>1707</v>
      </c>
      <c r="B1580" s="10" t="s">
        <v>159</v>
      </c>
      <c r="C1580" s="11">
        <v>46002</v>
      </c>
      <c r="D1580" s="11">
        <v>46032</v>
      </c>
      <c r="E1580" s="11"/>
      <c r="F1580" s="12">
        <v>32318.36</v>
      </c>
      <c r="G1580" s="12">
        <v>0</v>
      </c>
      <c r="H1580" s="12">
        <f t="shared" si="120"/>
        <v>32318.36</v>
      </c>
      <c r="I1580" s="10" t="str">
        <f t="shared" si="121"/>
        <v/>
      </c>
      <c r="J1580" s="10" t="str">
        <f t="shared" ca="1" si="122"/>
        <v>Overdue</v>
      </c>
      <c r="K1580" s="10">
        <f t="shared" ca="1" si="123"/>
        <v>224</v>
      </c>
      <c r="L1580" s="10" t="str">
        <f t="shared" ca="1" si="124"/>
        <v>120+ Days</v>
      </c>
      <c r="M1580" s="11">
        <v>45992</v>
      </c>
      <c r="N1580" s="11"/>
    </row>
    <row r="1581" spans="1:14" x14ac:dyDescent="0.25">
      <c r="A1581" s="13" t="s">
        <v>1708</v>
      </c>
      <c r="B1581" s="13" t="s">
        <v>265</v>
      </c>
      <c r="C1581" s="14">
        <v>46010</v>
      </c>
      <c r="D1581" s="14">
        <v>46040</v>
      </c>
      <c r="E1581" s="14">
        <v>46046</v>
      </c>
      <c r="F1581" s="15">
        <v>57906.39</v>
      </c>
      <c r="G1581" s="15">
        <v>57906.39</v>
      </c>
      <c r="H1581" s="15">
        <f t="shared" si="120"/>
        <v>0</v>
      </c>
      <c r="I1581" s="13">
        <f t="shared" si="121"/>
        <v>6</v>
      </c>
      <c r="J1581" s="13" t="str">
        <f t="shared" ca="1" si="122"/>
        <v>Paid</v>
      </c>
      <c r="K1581" s="13">
        <f t="shared" ca="1" si="123"/>
        <v>0</v>
      </c>
      <c r="L1581" s="13" t="str">
        <f t="shared" si="124"/>
        <v>Paid</v>
      </c>
      <c r="M1581" s="14">
        <v>45992</v>
      </c>
      <c r="N1581" s="14">
        <v>46023</v>
      </c>
    </row>
    <row r="1582" spans="1:14" x14ac:dyDescent="0.25">
      <c r="A1582" s="10" t="s">
        <v>1709</v>
      </c>
      <c r="B1582" s="10" t="s">
        <v>188</v>
      </c>
      <c r="C1582" s="11">
        <v>45997</v>
      </c>
      <c r="D1582" s="11">
        <v>46027</v>
      </c>
      <c r="E1582" s="11">
        <v>46045</v>
      </c>
      <c r="F1582" s="12">
        <v>18225.61</v>
      </c>
      <c r="G1582" s="12">
        <v>18225.61</v>
      </c>
      <c r="H1582" s="12">
        <f t="shared" si="120"/>
        <v>0</v>
      </c>
      <c r="I1582" s="10">
        <f t="shared" si="121"/>
        <v>18</v>
      </c>
      <c r="J1582" s="10" t="str">
        <f t="shared" ca="1" si="122"/>
        <v>Paid</v>
      </c>
      <c r="K1582" s="10">
        <f t="shared" ca="1" si="123"/>
        <v>0</v>
      </c>
      <c r="L1582" s="10" t="str">
        <f t="shared" si="124"/>
        <v>Paid</v>
      </c>
      <c r="M1582" s="11">
        <v>45992</v>
      </c>
      <c r="N1582" s="11">
        <v>46023</v>
      </c>
    </row>
    <row r="1583" spans="1:14" x14ac:dyDescent="0.25">
      <c r="A1583" s="13" t="s">
        <v>1710</v>
      </c>
      <c r="B1583" s="13" t="s">
        <v>184</v>
      </c>
      <c r="C1583" s="14">
        <v>45997</v>
      </c>
      <c r="D1583" s="14">
        <v>46027</v>
      </c>
      <c r="E1583" s="14">
        <v>46067</v>
      </c>
      <c r="F1583" s="15">
        <v>61836.99</v>
      </c>
      <c r="G1583" s="15">
        <v>61836.99</v>
      </c>
      <c r="H1583" s="15">
        <f t="shared" si="120"/>
        <v>0</v>
      </c>
      <c r="I1583" s="13">
        <f t="shared" si="121"/>
        <v>40</v>
      </c>
      <c r="J1583" s="13" t="str">
        <f t="shared" ca="1" si="122"/>
        <v>Paid</v>
      </c>
      <c r="K1583" s="13">
        <f t="shared" ca="1" si="123"/>
        <v>0</v>
      </c>
      <c r="L1583" s="13" t="str">
        <f t="shared" si="124"/>
        <v>Paid</v>
      </c>
      <c r="M1583" s="14">
        <v>45992</v>
      </c>
      <c r="N1583" s="14">
        <v>46054</v>
      </c>
    </row>
    <row r="1584" spans="1:14" x14ac:dyDescent="0.25">
      <c r="A1584" s="10" t="s">
        <v>1711</v>
      </c>
      <c r="B1584" s="10" t="s">
        <v>314</v>
      </c>
      <c r="C1584" s="11">
        <v>45995</v>
      </c>
      <c r="D1584" s="11">
        <v>46025</v>
      </c>
      <c r="E1584" s="11"/>
      <c r="F1584" s="12">
        <v>34994.120000000003</v>
      </c>
      <c r="G1584" s="12">
        <v>0</v>
      </c>
      <c r="H1584" s="12">
        <f t="shared" si="120"/>
        <v>34994.120000000003</v>
      </c>
      <c r="I1584" s="10" t="str">
        <f t="shared" si="121"/>
        <v/>
      </c>
      <c r="J1584" s="10" t="str">
        <f t="shared" ca="1" si="122"/>
        <v>Overdue</v>
      </c>
      <c r="K1584" s="10">
        <f t="shared" ca="1" si="123"/>
        <v>231</v>
      </c>
      <c r="L1584" s="10" t="str">
        <f t="shared" ca="1" si="124"/>
        <v>120+ Days</v>
      </c>
      <c r="M1584" s="11">
        <v>45992</v>
      </c>
      <c r="N1584" s="11"/>
    </row>
    <row r="1585" spans="1:14" x14ac:dyDescent="0.25">
      <c r="A1585" s="13" t="s">
        <v>1712</v>
      </c>
      <c r="B1585" s="13" t="s">
        <v>136</v>
      </c>
      <c r="C1585" s="14">
        <v>46008</v>
      </c>
      <c r="D1585" s="14">
        <v>46038</v>
      </c>
      <c r="E1585" s="14"/>
      <c r="F1585" s="15">
        <v>19764.05</v>
      </c>
      <c r="G1585" s="15">
        <v>0</v>
      </c>
      <c r="H1585" s="15">
        <f t="shared" si="120"/>
        <v>19764.05</v>
      </c>
      <c r="I1585" s="13" t="str">
        <f t="shared" si="121"/>
        <v/>
      </c>
      <c r="J1585" s="13" t="str">
        <f t="shared" ca="1" si="122"/>
        <v>Overdue</v>
      </c>
      <c r="K1585" s="13">
        <f t="shared" ca="1" si="123"/>
        <v>218</v>
      </c>
      <c r="L1585" s="13" t="str">
        <f t="shared" ca="1" si="124"/>
        <v>120+ Days</v>
      </c>
      <c r="M1585" s="14">
        <v>45992</v>
      </c>
      <c r="N1585" s="14"/>
    </row>
    <row r="1586" spans="1:14" x14ac:dyDescent="0.25">
      <c r="A1586" s="10" t="s">
        <v>1713</v>
      </c>
      <c r="B1586" s="10" t="s">
        <v>340</v>
      </c>
      <c r="C1586" s="11">
        <v>45996</v>
      </c>
      <c r="D1586" s="11">
        <v>46026</v>
      </c>
      <c r="E1586" s="11">
        <v>46063</v>
      </c>
      <c r="F1586" s="12">
        <v>36206.36</v>
      </c>
      <c r="G1586" s="12">
        <v>36206.36</v>
      </c>
      <c r="H1586" s="12">
        <f t="shared" si="120"/>
        <v>0</v>
      </c>
      <c r="I1586" s="10">
        <f t="shared" si="121"/>
        <v>37</v>
      </c>
      <c r="J1586" s="10" t="str">
        <f t="shared" ca="1" si="122"/>
        <v>Paid</v>
      </c>
      <c r="K1586" s="10">
        <f t="shared" ca="1" si="123"/>
        <v>0</v>
      </c>
      <c r="L1586" s="10" t="str">
        <f t="shared" si="124"/>
        <v>Paid</v>
      </c>
      <c r="M1586" s="11">
        <v>45992</v>
      </c>
      <c r="N1586" s="11">
        <v>46054</v>
      </c>
    </row>
    <row r="1587" spans="1:14" x14ac:dyDescent="0.25">
      <c r="A1587" s="13" t="s">
        <v>1714</v>
      </c>
      <c r="B1587" s="13" t="s">
        <v>230</v>
      </c>
      <c r="C1587" s="14">
        <v>46005</v>
      </c>
      <c r="D1587" s="14">
        <v>46035</v>
      </c>
      <c r="E1587" s="14">
        <v>46038</v>
      </c>
      <c r="F1587" s="15">
        <v>28416.41</v>
      </c>
      <c r="G1587" s="15">
        <v>28416.41</v>
      </c>
      <c r="H1587" s="15">
        <f t="shared" si="120"/>
        <v>0</v>
      </c>
      <c r="I1587" s="13">
        <f t="shared" si="121"/>
        <v>3</v>
      </c>
      <c r="J1587" s="13" t="str">
        <f t="shared" ca="1" si="122"/>
        <v>Paid</v>
      </c>
      <c r="K1587" s="13">
        <f t="shared" ca="1" si="123"/>
        <v>0</v>
      </c>
      <c r="L1587" s="13" t="str">
        <f t="shared" si="124"/>
        <v>Paid</v>
      </c>
      <c r="M1587" s="14">
        <v>45992</v>
      </c>
      <c r="N1587" s="14">
        <v>46023</v>
      </c>
    </row>
    <row r="1588" spans="1:14" x14ac:dyDescent="0.25">
      <c r="A1588" s="10" t="s">
        <v>1715</v>
      </c>
      <c r="B1588" s="10" t="s">
        <v>180</v>
      </c>
      <c r="C1588" s="11">
        <v>45997</v>
      </c>
      <c r="D1588" s="11">
        <v>46027</v>
      </c>
      <c r="E1588" s="11">
        <v>46041</v>
      </c>
      <c r="F1588" s="12">
        <v>69958.39</v>
      </c>
      <c r="G1588" s="12">
        <v>69958.39</v>
      </c>
      <c r="H1588" s="12">
        <f t="shared" si="120"/>
        <v>0</v>
      </c>
      <c r="I1588" s="10">
        <f t="shared" si="121"/>
        <v>14</v>
      </c>
      <c r="J1588" s="10" t="str">
        <f t="shared" ca="1" si="122"/>
        <v>Paid</v>
      </c>
      <c r="K1588" s="10">
        <f t="shared" ca="1" si="123"/>
        <v>0</v>
      </c>
      <c r="L1588" s="10" t="str">
        <f t="shared" si="124"/>
        <v>Paid</v>
      </c>
      <c r="M1588" s="11">
        <v>45992</v>
      </c>
      <c r="N1588" s="11">
        <v>46023</v>
      </c>
    </row>
    <row r="1589" spans="1:14" x14ac:dyDescent="0.25">
      <c r="A1589" s="13" t="s">
        <v>1716</v>
      </c>
      <c r="B1589" s="13" t="s">
        <v>449</v>
      </c>
      <c r="C1589" s="14">
        <v>46006</v>
      </c>
      <c r="D1589" s="14">
        <v>46036</v>
      </c>
      <c r="E1589" s="14">
        <v>46069</v>
      </c>
      <c r="F1589" s="15">
        <v>50234.76</v>
      </c>
      <c r="G1589" s="15">
        <v>50234.76</v>
      </c>
      <c r="H1589" s="15">
        <f t="shared" si="120"/>
        <v>0</v>
      </c>
      <c r="I1589" s="13">
        <f t="shared" si="121"/>
        <v>33</v>
      </c>
      <c r="J1589" s="13" t="str">
        <f t="shared" ca="1" si="122"/>
        <v>Paid</v>
      </c>
      <c r="K1589" s="13">
        <f t="shared" ca="1" si="123"/>
        <v>0</v>
      </c>
      <c r="L1589" s="13" t="str">
        <f t="shared" si="124"/>
        <v>Paid</v>
      </c>
      <c r="M1589" s="14">
        <v>45992</v>
      </c>
      <c r="N1589" s="14">
        <v>46054</v>
      </c>
    </row>
    <row r="1590" spans="1:14" x14ac:dyDescent="0.25">
      <c r="A1590" s="10" t="s">
        <v>1717</v>
      </c>
      <c r="B1590" s="10" t="s">
        <v>87</v>
      </c>
      <c r="C1590" s="11">
        <v>45992</v>
      </c>
      <c r="D1590" s="11">
        <v>46022</v>
      </c>
      <c r="E1590" s="11">
        <v>46022</v>
      </c>
      <c r="F1590" s="12">
        <v>54404.160000000003</v>
      </c>
      <c r="G1590" s="12">
        <v>54404.160000000003</v>
      </c>
      <c r="H1590" s="12">
        <f t="shared" si="120"/>
        <v>0</v>
      </c>
      <c r="I1590" s="10">
        <f t="shared" si="121"/>
        <v>0</v>
      </c>
      <c r="J1590" s="10" t="str">
        <f t="shared" ca="1" si="122"/>
        <v>Paid</v>
      </c>
      <c r="K1590" s="10">
        <f t="shared" ca="1" si="123"/>
        <v>0</v>
      </c>
      <c r="L1590" s="10" t="str">
        <f t="shared" si="124"/>
        <v>Paid</v>
      </c>
      <c r="M1590" s="11">
        <v>45992</v>
      </c>
      <c r="N1590" s="11">
        <v>45992</v>
      </c>
    </row>
    <row r="1591" spans="1:14" x14ac:dyDescent="0.25">
      <c r="A1591" s="13" t="s">
        <v>1718</v>
      </c>
      <c r="B1591" s="13" t="s">
        <v>117</v>
      </c>
      <c r="C1591" s="14">
        <v>46006</v>
      </c>
      <c r="D1591" s="14">
        <v>46036</v>
      </c>
      <c r="E1591" s="14">
        <v>46075</v>
      </c>
      <c r="F1591" s="15">
        <v>21033.19</v>
      </c>
      <c r="G1591" s="15">
        <v>21033.19</v>
      </c>
      <c r="H1591" s="15">
        <f t="shared" si="120"/>
        <v>0</v>
      </c>
      <c r="I1591" s="13">
        <f t="shared" si="121"/>
        <v>39</v>
      </c>
      <c r="J1591" s="13" t="str">
        <f t="shared" ca="1" si="122"/>
        <v>Paid</v>
      </c>
      <c r="K1591" s="13">
        <f t="shared" ca="1" si="123"/>
        <v>0</v>
      </c>
      <c r="L1591" s="13" t="str">
        <f t="shared" si="124"/>
        <v>Paid</v>
      </c>
      <c r="M1591" s="14">
        <v>45992</v>
      </c>
      <c r="N1591" s="14">
        <v>46054</v>
      </c>
    </row>
    <row r="1592" spans="1:14" x14ac:dyDescent="0.25">
      <c r="A1592" s="10" t="s">
        <v>1719</v>
      </c>
      <c r="B1592" s="10" t="s">
        <v>111</v>
      </c>
      <c r="C1592" s="11">
        <v>46003</v>
      </c>
      <c r="D1592" s="11">
        <v>46033</v>
      </c>
      <c r="E1592" s="11">
        <v>46033</v>
      </c>
      <c r="F1592" s="12">
        <v>44780.480000000003</v>
      </c>
      <c r="G1592" s="12">
        <v>44780.480000000003</v>
      </c>
      <c r="H1592" s="12">
        <f t="shared" si="120"/>
        <v>0</v>
      </c>
      <c r="I1592" s="10">
        <f t="shared" si="121"/>
        <v>0</v>
      </c>
      <c r="J1592" s="10" t="str">
        <f t="shared" ca="1" si="122"/>
        <v>Paid</v>
      </c>
      <c r="K1592" s="10">
        <f t="shared" ca="1" si="123"/>
        <v>0</v>
      </c>
      <c r="L1592" s="10" t="str">
        <f t="shared" si="124"/>
        <v>Paid</v>
      </c>
      <c r="M1592" s="11">
        <v>45992</v>
      </c>
      <c r="N1592" s="11">
        <v>46023</v>
      </c>
    </row>
    <row r="1593" spans="1:14" x14ac:dyDescent="0.25">
      <c r="A1593" s="13" t="s">
        <v>1720</v>
      </c>
      <c r="B1593" s="13" t="s">
        <v>136</v>
      </c>
      <c r="C1593" s="14">
        <v>46015</v>
      </c>
      <c r="D1593" s="14">
        <v>46045</v>
      </c>
      <c r="E1593" s="14">
        <v>46051</v>
      </c>
      <c r="F1593" s="15">
        <v>23345.29</v>
      </c>
      <c r="G1593" s="15">
        <v>23345.29</v>
      </c>
      <c r="H1593" s="15">
        <f t="shared" si="120"/>
        <v>0</v>
      </c>
      <c r="I1593" s="13">
        <f t="shared" si="121"/>
        <v>6</v>
      </c>
      <c r="J1593" s="13" t="str">
        <f t="shared" ca="1" si="122"/>
        <v>Paid</v>
      </c>
      <c r="K1593" s="13">
        <f t="shared" ca="1" si="123"/>
        <v>0</v>
      </c>
      <c r="L1593" s="13" t="str">
        <f t="shared" si="124"/>
        <v>Paid</v>
      </c>
      <c r="M1593" s="14">
        <v>45992</v>
      </c>
      <c r="N1593" s="14">
        <v>46023</v>
      </c>
    </row>
    <row r="1594" spans="1:14" x14ac:dyDescent="0.25">
      <c r="A1594" s="10" t="s">
        <v>1721</v>
      </c>
      <c r="B1594" s="10" t="s">
        <v>198</v>
      </c>
      <c r="C1594" s="11">
        <v>46005</v>
      </c>
      <c r="D1594" s="11">
        <v>46035</v>
      </c>
      <c r="E1594" s="11">
        <v>46047</v>
      </c>
      <c r="F1594" s="12">
        <v>24420.53</v>
      </c>
      <c r="G1594" s="12">
        <v>24420.53</v>
      </c>
      <c r="H1594" s="12">
        <f t="shared" si="120"/>
        <v>0</v>
      </c>
      <c r="I1594" s="10">
        <f t="shared" si="121"/>
        <v>12</v>
      </c>
      <c r="J1594" s="10" t="str">
        <f t="shared" ca="1" si="122"/>
        <v>Paid</v>
      </c>
      <c r="K1594" s="10">
        <f t="shared" ca="1" si="123"/>
        <v>0</v>
      </c>
      <c r="L1594" s="10" t="str">
        <f t="shared" si="124"/>
        <v>Paid</v>
      </c>
      <c r="M1594" s="11">
        <v>45992</v>
      </c>
      <c r="N1594" s="11">
        <v>46023</v>
      </c>
    </row>
    <row r="1595" spans="1:14" x14ac:dyDescent="0.25">
      <c r="A1595" s="13" t="s">
        <v>1722</v>
      </c>
      <c r="B1595" s="13" t="s">
        <v>93</v>
      </c>
      <c r="C1595" s="14">
        <v>46014</v>
      </c>
      <c r="D1595" s="14">
        <v>46044</v>
      </c>
      <c r="E1595" s="14">
        <v>46083</v>
      </c>
      <c r="F1595" s="15">
        <v>21159.62</v>
      </c>
      <c r="G1595" s="15">
        <v>21159.62</v>
      </c>
      <c r="H1595" s="15">
        <f t="shared" si="120"/>
        <v>0</v>
      </c>
      <c r="I1595" s="13">
        <f t="shared" si="121"/>
        <v>39</v>
      </c>
      <c r="J1595" s="13" t="str">
        <f t="shared" ca="1" si="122"/>
        <v>Paid</v>
      </c>
      <c r="K1595" s="13">
        <f t="shared" ca="1" si="123"/>
        <v>0</v>
      </c>
      <c r="L1595" s="13" t="str">
        <f t="shared" si="124"/>
        <v>Paid</v>
      </c>
      <c r="M1595" s="14">
        <v>45992</v>
      </c>
      <c r="N1595" s="14">
        <v>46082</v>
      </c>
    </row>
    <row r="1596" spans="1:14" x14ac:dyDescent="0.25">
      <c r="A1596" s="10" t="s">
        <v>1723</v>
      </c>
      <c r="B1596" s="10" t="s">
        <v>340</v>
      </c>
      <c r="C1596" s="11">
        <v>45998</v>
      </c>
      <c r="D1596" s="11">
        <v>46028</v>
      </c>
      <c r="E1596" s="11"/>
      <c r="F1596" s="12">
        <v>56460.98</v>
      </c>
      <c r="G1596" s="12">
        <v>0</v>
      </c>
      <c r="H1596" s="12">
        <f t="shared" si="120"/>
        <v>56460.98</v>
      </c>
      <c r="I1596" s="10" t="str">
        <f t="shared" si="121"/>
        <v/>
      </c>
      <c r="J1596" s="10" t="str">
        <f t="shared" ca="1" si="122"/>
        <v>Overdue</v>
      </c>
      <c r="K1596" s="10">
        <f t="shared" ca="1" si="123"/>
        <v>228</v>
      </c>
      <c r="L1596" s="10" t="str">
        <f t="shared" ca="1" si="124"/>
        <v>120+ Days</v>
      </c>
      <c r="M1596" s="11">
        <v>45992</v>
      </c>
      <c r="N1596" s="11"/>
    </row>
    <row r="1597" spans="1:14" x14ac:dyDescent="0.25">
      <c r="A1597" s="13" t="s">
        <v>1724</v>
      </c>
      <c r="B1597" s="13" t="s">
        <v>198</v>
      </c>
      <c r="C1597" s="14">
        <v>46005</v>
      </c>
      <c r="D1597" s="14">
        <v>46035</v>
      </c>
      <c r="E1597" s="14">
        <v>46036</v>
      </c>
      <c r="F1597" s="15">
        <v>43060.04</v>
      </c>
      <c r="G1597" s="15">
        <v>43060.04</v>
      </c>
      <c r="H1597" s="15">
        <f t="shared" si="120"/>
        <v>0</v>
      </c>
      <c r="I1597" s="13">
        <f t="shared" si="121"/>
        <v>1</v>
      </c>
      <c r="J1597" s="13" t="str">
        <f t="shared" ca="1" si="122"/>
        <v>Paid</v>
      </c>
      <c r="K1597" s="13">
        <f t="shared" ca="1" si="123"/>
        <v>0</v>
      </c>
      <c r="L1597" s="13" t="str">
        <f t="shared" si="124"/>
        <v>Paid</v>
      </c>
      <c r="M1597" s="14">
        <v>45992</v>
      </c>
      <c r="N1597" s="14">
        <v>46023</v>
      </c>
    </row>
    <row r="1598" spans="1:14" x14ac:dyDescent="0.25">
      <c r="A1598" s="10" t="s">
        <v>1725</v>
      </c>
      <c r="B1598" s="10" t="s">
        <v>463</v>
      </c>
      <c r="C1598" s="11">
        <v>46007</v>
      </c>
      <c r="D1598" s="11">
        <v>46037</v>
      </c>
      <c r="E1598" s="11">
        <v>46059</v>
      </c>
      <c r="F1598" s="12">
        <v>28699.5</v>
      </c>
      <c r="G1598" s="12">
        <v>28699.5</v>
      </c>
      <c r="H1598" s="12">
        <f t="shared" si="120"/>
        <v>0</v>
      </c>
      <c r="I1598" s="10">
        <f t="shared" si="121"/>
        <v>22</v>
      </c>
      <c r="J1598" s="10" t="str">
        <f t="shared" ca="1" si="122"/>
        <v>Paid</v>
      </c>
      <c r="K1598" s="10">
        <f t="shared" ca="1" si="123"/>
        <v>0</v>
      </c>
      <c r="L1598" s="10" t="str">
        <f t="shared" si="124"/>
        <v>Paid</v>
      </c>
      <c r="M1598" s="11">
        <v>45992</v>
      </c>
      <c r="N1598" s="11">
        <v>46054</v>
      </c>
    </row>
    <row r="1599" spans="1:14" x14ac:dyDescent="0.25">
      <c r="A1599" s="13" t="s">
        <v>1726</v>
      </c>
      <c r="B1599" s="13" t="s">
        <v>184</v>
      </c>
      <c r="C1599" s="14">
        <v>45998</v>
      </c>
      <c r="D1599" s="14">
        <v>46028</v>
      </c>
      <c r="E1599" s="14">
        <v>46055</v>
      </c>
      <c r="F1599" s="15">
        <v>24015.46</v>
      </c>
      <c r="G1599" s="15">
        <v>24015.46</v>
      </c>
      <c r="H1599" s="15">
        <f t="shared" si="120"/>
        <v>0</v>
      </c>
      <c r="I1599" s="13">
        <f t="shared" si="121"/>
        <v>27</v>
      </c>
      <c r="J1599" s="13" t="str">
        <f t="shared" ca="1" si="122"/>
        <v>Paid</v>
      </c>
      <c r="K1599" s="13">
        <f t="shared" ca="1" si="123"/>
        <v>0</v>
      </c>
      <c r="L1599" s="13" t="str">
        <f t="shared" si="124"/>
        <v>Paid</v>
      </c>
      <c r="M1599" s="14">
        <v>45992</v>
      </c>
      <c r="N1599" s="14">
        <v>46054</v>
      </c>
    </row>
    <row r="1600" spans="1:14" x14ac:dyDescent="0.25">
      <c r="A1600" s="10" t="s">
        <v>1727</v>
      </c>
      <c r="B1600" s="10" t="s">
        <v>146</v>
      </c>
      <c r="C1600" s="11">
        <v>46017</v>
      </c>
      <c r="D1600" s="11">
        <v>46047</v>
      </c>
      <c r="E1600" s="11">
        <v>46047</v>
      </c>
      <c r="F1600" s="12">
        <v>31935.439999999999</v>
      </c>
      <c r="G1600" s="12">
        <v>31935.439999999999</v>
      </c>
      <c r="H1600" s="12">
        <f t="shared" si="120"/>
        <v>0</v>
      </c>
      <c r="I1600" s="10">
        <f t="shared" si="121"/>
        <v>0</v>
      </c>
      <c r="J1600" s="10" t="str">
        <f t="shared" ca="1" si="122"/>
        <v>Paid</v>
      </c>
      <c r="K1600" s="10">
        <f t="shared" ca="1" si="123"/>
        <v>0</v>
      </c>
      <c r="L1600" s="10" t="str">
        <f t="shared" si="124"/>
        <v>Paid</v>
      </c>
      <c r="M1600" s="11">
        <v>45992</v>
      </c>
      <c r="N1600" s="11">
        <v>46023</v>
      </c>
    </row>
    <row r="1601" spans="1:14" x14ac:dyDescent="0.25">
      <c r="A1601" s="13" t="s">
        <v>1728</v>
      </c>
      <c r="B1601" s="13" t="s">
        <v>150</v>
      </c>
      <c r="C1601" s="14">
        <v>46000</v>
      </c>
      <c r="D1601" s="14">
        <v>46030</v>
      </c>
      <c r="E1601" s="14"/>
      <c r="F1601" s="15">
        <v>45210.11</v>
      </c>
      <c r="G1601" s="15">
        <v>0</v>
      </c>
      <c r="H1601" s="15">
        <f t="shared" si="120"/>
        <v>45210.11</v>
      </c>
      <c r="I1601" s="13" t="str">
        <f t="shared" si="121"/>
        <v/>
      </c>
      <c r="J1601" s="13" t="str">
        <f t="shared" ca="1" si="122"/>
        <v>Overdue</v>
      </c>
      <c r="K1601" s="13">
        <f t="shared" ca="1" si="123"/>
        <v>226</v>
      </c>
      <c r="L1601" s="13" t="str">
        <f t="shared" ca="1" si="124"/>
        <v>120+ Days</v>
      </c>
      <c r="M1601" s="14">
        <v>45992</v>
      </c>
      <c r="N1601" s="14"/>
    </row>
    <row r="1602" spans="1:14" x14ac:dyDescent="0.25">
      <c r="A1602" s="10" t="s">
        <v>1729</v>
      </c>
      <c r="B1602" s="10" t="s">
        <v>85</v>
      </c>
      <c r="C1602" s="11">
        <v>46001</v>
      </c>
      <c r="D1602" s="11">
        <v>46031</v>
      </c>
      <c r="E1602" s="11">
        <v>46063</v>
      </c>
      <c r="F1602" s="12">
        <v>33049.58</v>
      </c>
      <c r="G1602" s="12">
        <v>23018.62</v>
      </c>
      <c r="H1602" s="12">
        <f t="shared" ref="H1602:H1665" si="125">MAX(0,F1602-G1602)</f>
        <v>10030.960000000003</v>
      </c>
      <c r="I1602" s="10">
        <f t="shared" ref="I1602:I1642" si="126">IF(E1602="","",MAX(0,E1602-D1602))</f>
        <v>32</v>
      </c>
      <c r="J1602" s="10" t="str">
        <f t="shared" ref="J1602:J1642" ca="1" si="127">IF(H1602=0,"Paid",IF(D1602&lt;TODAY(),"Overdue","Open"))</f>
        <v>Overdue</v>
      </c>
      <c r="K1602" s="10">
        <f t="shared" ref="K1602:K1642" ca="1" si="128">IF(H1602=0,0,MAX(0,TODAY()-D1602))</f>
        <v>225</v>
      </c>
      <c r="L1602" s="10" t="str">
        <f t="shared" ref="L1602:L1665" ca="1" si="129">IF(H1602=0,"Paid",IF(K1602&lt;=30,"0-30 Days",IF(K1602&lt;=60,"31-60 Days",IF(K1602&lt;=90,"61-90 Days",IF(K1602&lt;=120,"91-120 Days","120+ Days")))))</f>
        <v>120+ Days</v>
      </c>
      <c r="M1602" s="11">
        <v>45992</v>
      </c>
      <c r="N1602" s="11">
        <v>46054</v>
      </c>
    </row>
    <row r="1603" spans="1:14" x14ac:dyDescent="0.25">
      <c r="A1603" s="13" t="s">
        <v>1730</v>
      </c>
      <c r="B1603" s="13" t="s">
        <v>101</v>
      </c>
      <c r="C1603" s="14">
        <v>46011</v>
      </c>
      <c r="D1603" s="14">
        <v>46041</v>
      </c>
      <c r="E1603" s="14">
        <v>46071</v>
      </c>
      <c r="F1603" s="15">
        <v>32843.58</v>
      </c>
      <c r="G1603" s="15">
        <v>32843.58</v>
      </c>
      <c r="H1603" s="15">
        <f t="shared" si="125"/>
        <v>0</v>
      </c>
      <c r="I1603" s="13">
        <f t="shared" si="126"/>
        <v>30</v>
      </c>
      <c r="J1603" s="13" t="str">
        <f t="shared" ca="1" si="127"/>
        <v>Paid</v>
      </c>
      <c r="K1603" s="13">
        <f t="shared" ca="1" si="128"/>
        <v>0</v>
      </c>
      <c r="L1603" s="13" t="str">
        <f t="shared" si="129"/>
        <v>Paid</v>
      </c>
      <c r="M1603" s="14">
        <v>45992</v>
      </c>
      <c r="N1603" s="14">
        <v>46054</v>
      </c>
    </row>
    <row r="1604" spans="1:14" x14ac:dyDescent="0.25">
      <c r="A1604" s="10" t="s">
        <v>1731</v>
      </c>
      <c r="B1604" s="10" t="s">
        <v>101</v>
      </c>
      <c r="C1604" s="11">
        <v>45998</v>
      </c>
      <c r="D1604" s="11">
        <v>46028</v>
      </c>
      <c r="E1604" s="11">
        <v>46077</v>
      </c>
      <c r="F1604" s="12">
        <v>25960.35</v>
      </c>
      <c r="G1604" s="12">
        <v>25960.35</v>
      </c>
      <c r="H1604" s="12">
        <f t="shared" si="125"/>
        <v>0</v>
      </c>
      <c r="I1604" s="10">
        <f t="shared" si="126"/>
        <v>49</v>
      </c>
      <c r="J1604" s="10" t="str">
        <f t="shared" ca="1" si="127"/>
        <v>Paid</v>
      </c>
      <c r="K1604" s="10">
        <f t="shared" ca="1" si="128"/>
        <v>0</v>
      </c>
      <c r="L1604" s="10" t="str">
        <f t="shared" si="129"/>
        <v>Paid</v>
      </c>
      <c r="M1604" s="11">
        <v>45992</v>
      </c>
      <c r="N1604" s="11">
        <v>46054</v>
      </c>
    </row>
    <row r="1605" spans="1:14" x14ac:dyDescent="0.25">
      <c r="A1605" s="13" t="s">
        <v>1732</v>
      </c>
      <c r="B1605" s="13" t="s">
        <v>107</v>
      </c>
      <c r="C1605" s="14">
        <v>45996</v>
      </c>
      <c r="D1605" s="14">
        <v>46026</v>
      </c>
      <c r="E1605" s="14">
        <v>46026</v>
      </c>
      <c r="F1605" s="15">
        <v>20527.47</v>
      </c>
      <c r="G1605" s="15">
        <v>20527.47</v>
      </c>
      <c r="H1605" s="15">
        <f t="shared" si="125"/>
        <v>0</v>
      </c>
      <c r="I1605" s="13">
        <f t="shared" si="126"/>
        <v>0</v>
      </c>
      <c r="J1605" s="13" t="str">
        <f t="shared" ca="1" si="127"/>
        <v>Paid</v>
      </c>
      <c r="K1605" s="13">
        <f t="shared" ca="1" si="128"/>
        <v>0</v>
      </c>
      <c r="L1605" s="13" t="str">
        <f t="shared" si="129"/>
        <v>Paid</v>
      </c>
      <c r="M1605" s="14">
        <v>45992</v>
      </c>
      <c r="N1605" s="14">
        <v>46023</v>
      </c>
    </row>
    <row r="1606" spans="1:14" x14ac:dyDescent="0.25">
      <c r="A1606" s="10" t="s">
        <v>1733</v>
      </c>
      <c r="B1606" s="10" t="s">
        <v>93</v>
      </c>
      <c r="C1606" s="11">
        <v>45994</v>
      </c>
      <c r="D1606" s="11">
        <v>46024</v>
      </c>
      <c r="E1606" s="11">
        <v>46066</v>
      </c>
      <c r="F1606" s="12">
        <v>114594.63</v>
      </c>
      <c r="G1606" s="12">
        <v>114594.63</v>
      </c>
      <c r="H1606" s="12">
        <f t="shared" si="125"/>
        <v>0</v>
      </c>
      <c r="I1606" s="10">
        <f t="shared" si="126"/>
        <v>42</v>
      </c>
      <c r="J1606" s="10" t="str">
        <f t="shared" ca="1" si="127"/>
        <v>Paid</v>
      </c>
      <c r="K1606" s="10">
        <f t="shared" ca="1" si="128"/>
        <v>0</v>
      </c>
      <c r="L1606" s="10" t="str">
        <f t="shared" si="129"/>
        <v>Paid</v>
      </c>
      <c r="M1606" s="11">
        <v>45992</v>
      </c>
      <c r="N1606" s="11">
        <v>46054</v>
      </c>
    </row>
    <row r="1607" spans="1:14" x14ac:dyDescent="0.25">
      <c r="A1607" s="13" t="s">
        <v>1734</v>
      </c>
      <c r="B1607" s="13" t="s">
        <v>74</v>
      </c>
      <c r="C1607" s="14">
        <v>46014</v>
      </c>
      <c r="D1607" s="14">
        <v>46044</v>
      </c>
      <c r="E1607" s="14">
        <v>46062</v>
      </c>
      <c r="F1607" s="15">
        <v>32615</v>
      </c>
      <c r="G1607" s="15">
        <v>32615</v>
      </c>
      <c r="H1607" s="15">
        <f t="shared" si="125"/>
        <v>0</v>
      </c>
      <c r="I1607" s="13">
        <f t="shared" si="126"/>
        <v>18</v>
      </c>
      <c r="J1607" s="13" t="str">
        <f t="shared" ca="1" si="127"/>
        <v>Paid</v>
      </c>
      <c r="K1607" s="13">
        <f t="shared" ca="1" si="128"/>
        <v>0</v>
      </c>
      <c r="L1607" s="13" t="str">
        <f t="shared" si="129"/>
        <v>Paid</v>
      </c>
      <c r="M1607" s="14">
        <v>45992</v>
      </c>
      <c r="N1607" s="14">
        <v>46054</v>
      </c>
    </row>
    <row r="1608" spans="1:14" x14ac:dyDescent="0.25">
      <c r="A1608" s="10" t="s">
        <v>1735</v>
      </c>
      <c r="B1608" s="10" t="s">
        <v>233</v>
      </c>
      <c r="C1608" s="11">
        <v>45992</v>
      </c>
      <c r="D1608" s="11">
        <v>46022</v>
      </c>
      <c r="E1608" s="11"/>
      <c r="F1608" s="12">
        <v>50015.09</v>
      </c>
      <c r="G1608" s="12">
        <v>0</v>
      </c>
      <c r="H1608" s="12">
        <f t="shared" si="125"/>
        <v>50015.09</v>
      </c>
      <c r="I1608" s="10" t="str">
        <f t="shared" si="126"/>
        <v/>
      </c>
      <c r="J1608" s="10" t="str">
        <f t="shared" ca="1" si="127"/>
        <v>Overdue</v>
      </c>
      <c r="K1608" s="10">
        <f t="shared" ca="1" si="128"/>
        <v>234</v>
      </c>
      <c r="L1608" s="10" t="str">
        <f t="shared" ca="1" si="129"/>
        <v>120+ Days</v>
      </c>
      <c r="M1608" s="11">
        <v>45992</v>
      </c>
      <c r="N1608" s="11"/>
    </row>
    <row r="1609" spans="1:14" x14ac:dyDescent="0.25">
      <c r="A1609" s="13" t="s">
        <v>1736</v>
      </c>
      <c r="B1609" s="13" t="s">
        <v>171</v>
      </c>
      <c r="C1609" s="14">
        <v>46003</v>
      </c>
      <c r="D1609" s="14">
        <v>46033</v>
      </c>
      <c r="E1609" s="14">
        <v>46042</v>
      </c>
      <c r="F1609" s="15">
        <v>33997.550000000003</v>
      </c>
      <c r="G1609" s="15">
        <v>33997.550000000003</v>
      </c>
      <c r="H1609" s="15">
        <f t="shared" si="125"/>
        <v>0</v>
      </c>
      <c r="I1609" s="13">
        <f t="shared" si="126"/>
        <v>9</v>
      </c>
      <c r="J1609" s="13" t="str">
        <f t="shared" ca="1" si="127"/>
        <v>Paid</v>
      </c>
      <c r="K1609" s="13">
        <f t="shared" ca="1" si="128"/>
        <v>0</v>
      </c>
      <c r="L1609" s="13" t="str">
        <f t="shared" si="129"/>
        <v>Paid</v>
      </c>
      <c r="M1609" s="14">
        <v>45992</v>
      </c>
      <c r="N1609" s="14">
        <v>46023</v>
      </c>
    </row>
    <row r="1610" spans="1:14" x14ac:dyDescent="0.25">
      <c r="A1610" s="10" t="s">
        <v>1737</v>
      </c>
      <c r="B1610" s="10" t="s">
        <v>107</v>
      </c>
      <c r="C1610" s="11">
        <v>45993</v>
      </c>
      <c r="D1610" s="11">
        <v>46023</v>
      </c>
      <c r="E1610" s="11">
        <v>46041</v>
      </c>
      <c r="F1610" s="12">
        <v>62351.54</v>
      </c>
      <c r="G1610" s="12">
        <v>62351.54</v>
      </c>
      <c r="H1610" s="12">
        <f t="shared" si="125"/>
        <v>0</v>
      </c>
      <c r="I1610" s="10">
        <f t="shared" si="126"/>
        <v>18</v>
      </c>
      <c r="J1610" s="10" t="str">
        <f t="shared" ca="1" si="127"/>
        <v>Paid</v>
      </c>
      <c r="K1610" s="10">
        <f t="shared" ca="1" si="128"/>
        <v>0</v>
      </c>
      <c r="L1610" s="10" t="str">
        <f t="shared" si="129"/>
        <v>Paid</v>
      </c>
      <c r="M1610" s="11">
        <v>45992</v>
      </c>
      <c r="N1610" s="11">
        <v>46023</v>
      </c>
    </row>
    <row r="1611" spans="1:14" x14ac:dyDescent="0.25">
      <c r="A1611" s="13" t="s">
        <v>1738</v>
      </c>
      <c r="B1611" s="13" t="s">
        <v>169</v>
      </c>
      <c r="C1611" s="14">
        <v>46013</v>
      </c>
      <c r="D1611" s="14">
        <v>46043</v>
      </c>
      <c r="E1611" s="14">
        <v>46047</v>
      </c>
      <c r="F1611" s="15">
        <v>21327.43</v>
      </c>
      <c r="G1611" s="15">
        <v>21327.43</v>
      </c>
      <c r="H1611" s="15">
        <f t="shared" si="125"/>
        <v>0</v>
      </c>
      <c r="I1611" s="13">
        <f t="shared" si="126"/>
        <v>4</v>
      </c>
      <c r="J1611" s="13" t="str">
        <f t="shared" ca="1" si="127"/>
        <v>Paid</v>
      </c>
      <c r="K1611" s="13">
        <f t="shared" ca="1" si="128"/>
        <v>0</v>
      </c>
      <c r="L1611" s="13" t="str">
        <f t="shared" si="129"/>
        <v>Paid</v>
      </c>
      <c r="M1611" s="14">
        <v>45992</v>
      </c>
      <c r="N1611" s="14">
        <v>46023</v>
      </c>
    </row>
    <row r="1612" spans="1:14" x14ac:dyDescent="0.25">
      <c r="A1612" s="10" t="s">
        <v>1739</v>
      </c>
      <c r="B1612" s="10" t="s">
        <v>140</v>
      </c>
      <c r="C1612" s="11">
        <v>46005</v>
      </c>
      <c r="D1612" s="11">
        <v>46035</v>
      </c>
      <c r="E1612" s="11"/>
      <c r="F1612" s="12">
        <v>84646.76</v>
      </c>
      <c r="G1612" s="12">
        <v>0</v>
      </c>
      <c r="H1612" s="12">
        <f t="shared" si="125"/>
        <v>84646.76</v>
      </c>
      <c r="I1612" s="10" t="str">
        <f t="shared" si="126"/>
        <v/>
      </c>
      <c r="J1612" s="10" t="str">
        <f t="shared" ca="1" si="127"/>
        <v>Overdue</v>
      </c>
      <c r="K1612" s="10">
        <f t="shared" ca="1" si="128"/>
        <v>221</v>
      </c>
      <c r="L1612" s="10" t="str">
        <f t="shared" ca="1" si="129"/>
        <v>120+ Days</v>
      </c>
      <c r="M1612" s="11">
        <v>45992</v>
      </c>
      <c r="N1612" s="11"/>
    </row>
    <row r="1613" spans="1:14" x14ac:dyDescent="0.25">
      <c r="A1613" s="13" t="s">
        <v>1740</v>
      </c>
      <c r="B1613" s="13" t="s">
        <v>93</v>
      </c>
      <c r="C1613" s="14">
        <v>46015</v>
      </c>
      <c r="D1613" s="14">
        <v>46045</v>
      </c>
      <c r="E1613" s="14">
        <v>46087</v>
      </c>
      <c r="F1613" s="15">
        <v>112319.54</v>
      </c>
      <c r="G1613" s="15">
        <v>112319.54</v>
      </c>
      <c r="H1613" s="15">
        <f t="shared" si="125"/>
        <v>0</v>
      </c>
      <c r="I1613" s="13">
        <f t="shared" si="126"/>
        <v>42</v>
      </c>
      <c r="J1613" s="13" t="str">
        <f t="shared" ca="1" si="127"/>
        <v>Paid</v>
      </c>
      <c r="K1613" s="13">
        <f t="shared" ca="1" si="128"/>
        <v>0</v>
      </c>
      <c r="L1613" s="13" t="str">
        <f t="shared" si="129"/>
        <v>Paid</v>
      </c>
      <c r="M1613" s="14">
        <v>45992</v>
      </c>
      <c r="N1613" s="14">
        <v>46082</v>
      </c>
    </row>
    <row r="1614" spans="1:14" x14ac:dyDescent="0.25">
      <c r="A1614" s="10" t="s">
        <v>1741</v>
      </c>
      <c r="B1614" s="10" t="s">
        <v>161</v>
      </c>
      <c r="C1614" s="11">
        <v>46016</v>
      </c>
      <c r="D1614" s="11">
        <v>46046</v>
      </c>
      <c r="E1614" s="11">
        <v>46046</v>
      </c>
      <c r="F1614" s="12">
        <v>29786.87</v>
      </c>
      <c r="G1614" s="12">
        <v>29786.87</v>
      </c>
      <c r="H1614" s="12">
        <f t="shared" si="125"/>
        <v>0</v>
      </c>
      <c r="I1614" s="10">
        <f t="shared" si="126"/>
        <v>0</v>
      </c>
      <c r="J1614" s="10" t="str">
        <f t="shared" ca="1" si="127"/>
        <v>Paid</v>
      </c>
      <c r="K1614" s="10">
        <f t="shared" ca="1" si="128"/>
        <v>0</v>
      </c>
      <c r="L1614" s="10" t="str">
        <f t="shared" si="129"/>
        <v>Paid</v>
      </c>
      <c r="M1614" s="11">
        <v>45992</v>
      </c>
      <c r="N1614" s="11">
        <v>46023</v>
      </c>
    </row>
    <row r="1615" spans="1:14" x14ac:dyDescent="0.25">
      <c r="A1615" s="13" t="s">
        <v>1742</v>
      </c>
      <c r="B1615" s="13" t="s">
        <v>198</v>
      </c>
      <c r="C1615" s="14">
        <v>46003</v>
      </c>
      <c r="D1615" s="14">
        <v>46033</v>
      </c>
      <c r="E1615" s="14">
        <v>46035</v>
      </c>
      <c r="F1615" s="15">
        <v>77489.73</v>
      </c>
      <c r="G1615" s="15">
        <v>77489.73</v>
      </c>
      <c r="H1615" s="15">
        <f t="shared" si="125"/>
        <v>0</v>
      </c>
      <c r="I1615" s="13">
        <f t="shared" si="126"/>
        <v>2</v>
      </c>
      <c r="J1615" s="13" t="str">
        <f t="shared" ca="1" si="127"/>
        <v>Paid</v>
      </c>
      <c r="K1615" s="13">
        <f t="shared" ca="1" si="128"/>
        <v>0</v>
      </c>
      <c r="L1615" s="13" t="str">
        <f t="shared" si="129"/>
        <v>Paid</v>
      </c>
      <c r="M1615" s="14">
        <v>45992</v>
      </c>
      <c r="N1615" s="14">
        <v>46023</v>
      </c>
    </row>
    <row r="1616" spans="1:14" x14ac:dyDescent="0.25">
      <c r="A1616" s="10" t="s">
        <v>1743</v>
      </c>
      <c r="B1616" s="10" t="s">
        <v>140</v>
      </c>
      <c r="C1616" s="11">
        <v>46018</v>
      </c>
      <c r="D1616" s="11">
        <v>46048</v>
      </c>
      <c r="E1616" s="11">
        <v>46048</v>
      </c>
      <c r="F1616" s="12">
        <v>26825.34</v>
      </c>
      <c r="G1616" s="12">
        <v>26825.34</v>
      </c>
      <c r="H1616" s="12">
        <f t="shared" si="125"/>
        <v>0</v>
      </c>
      <c r="I1616" s="10">
        <f t="shared" si="126"/>
        <v>0</v>
      </c>
      <c r="J1616" s="10" t="str">
        <f t="shared" ca="1" si="127"/>
        <v>Paid</v>
      </c>
      <c r="K1616" s="10">
        <f t="shared" ca="1" si="128"/>
        <v>0</v>
      </c>
      <c r="L1616" s="10" t="str">
        <f t="shared" si="129"/>
        <v>Paid</v>
      </c>
      <c r="M1616" s="11">
        <v>45992</v>
      </c>
      <c r="N1616" s="11">
        <v>46023</v>
      </c>
    </row>
    <row r="1617" spans="1:14" x14ac:dyDescent="0.25">
      <c r="A1617" s="13" t="s">
        <v>1744</v>
      </c>
      <c r="B1617" s="13" t="s">
        <v>127</v>
      </c>
      <c r="C1617" s="14">
        <v>45994</v>
      </c>
      <c r="D1617" s="14">
        <v>46024</v>
      </c>
      <c r="E1617" s="14">
        <v>46024</v>
      </c>
      <c r="F1617" s="15">
        <v>100701.98</v>
      </c>
      <c r="G1617" s="15">
        <v>100701.98</v>
      </c>
      <c r="H1617" s="15">
        <f t="shared" si="125"/>
        <v>0</v>
      </c>
      <c r="I1617" s="13">
        <f t="shared" si="126"/>
        <v>0</v>
      </c>
      <c r="J1617" s="13" t="str">
        <f t="shared" ca="1" si="127"/>
        <v>Paid</v>
      </c>
      <c r="K1617" s="13">
        <f t="shared" ca="1" si="128"/>
        <v>0</v>
      </c>
      <c r="L1617" s="13" t="str">
        <f t="shared" si="129"/>
        <v>Paid</v>
      </c>
      <c r="M1617" s="14">
        <v>45992</v>
      </c>
      <c r="N1617" s="14">
        <v>46023</v>
      </c>
    </row>
    <row r="1618" spans="1:14" x14ac:dyDescent="0.25">
      <c r="A1618" s="10" t="s">
        <v>1745</v>
      </c>
      <c r="B1618" s="10" t="s">
        <v>95</v>
      </c>
      <c r="C1618" s="11">
        <v>46010</v>
      </c>
      <c r="D1618" s="11">
        <v>46040</v>
      </c>
      <c r="E1618" s="11"/>
      <c r="F1618" s="12">
        <v>31415.4</v>
      </c>
      <c r="G1618" s="12">
        <v>0</v>
      </c>
      <c r="H1618" s="12">
        <f t="shared" si="125"/>
        <v>31415.4</v>
      </c>
      <c r="I1618" s="10" t="str">
        <f t="shared" si="126"/>
        <v/>
      </c>
      <c r="J1618" s="10" t="str">
        <f t="shared" ca="1" si="127"/>
        <v>Overdue</v>
      </c>
      <c r="K1618" s="10">
        <f t="shared" ca="1" si="128"/>
        <v>216</v>
      </c>
      <c r="L1618" s="10" t="str">
        <f t="shared" ca="1" si="129"/>
        <v>120+ Days</v>
      </c>
      <c r="M1618" s="11">
        <v>45992</v>
      </c>
      <c r="N1618" s="11"/>
    </row>
    <row r="1619" spans="1:14" x14ac:dyDescent="0.25">
      <c r="A1619" s="13" t="s">
        <v>1746</v>
      </c>
      <c r="B1619" s="13" t="s">
        <v>91</v>
      </c>
      <c r="C1619" s="14">
        <v>45993</v>
      </c>
      <c r="D1619" s="14">
        <v>46023</v>
      </c>
      <c r="E1619" s="14"/>
      <c r="F1619" s="15">
        <v>44695.43</v>
      </c>
      <c r="G1619" s="15">
        <v>0</v>
      </c>
      <c r="H1619" s="15">
        <f t="shared" si="125"/>
        <v>44695.43</v>
      </c>
      <c r="I1619" s="13" t="str">
        <f t="shared" si="126"/>
        <v/>
      </c>
      <c r="J1619" s="13" t="str">
        <f t="shared" ca="1" si="127"/>
        <v>Overdue</v>
      </c>
      <c r="K1619" s="13">
        <f t="shared" ca="1" si="128"/>
        <v>233</v>
      </c>
      <c r="L1619" s="13" t="str">
        <f t="shared" ca="1" si="129"/>
        <v>120+ Days</v>
      </c>
      <c r="M1619" s="14">
        <v>45992</v>
      </c>
      <c r="N1619" s="14"/>
    </row>
    <row r="1620" spans="1:14" x14ac:dyDescent="0.25">
      <c r="A1620" s="10" t="s">
        <v>1747</v>
      </c>
      <c r="B1620" s="10" t="s">
        <v>331</v>
      </c>
      <c r="C1620" s="11">
        <v>46017</v>
      </c>
      <c r="D1620" s="11">
        <v>46047</v>
      </c>
      <c r="E1620" s="11">
        <v>46099</v>
      </c>
      <c r="F1620" s="12">
        <v>39732.120000000003</v>
      </c>
      <c r="G1620" s="12">
        <v>39732.120000000003</v>
      </c>
      <c r="H1620" s="12">
        <f t="shared" si="125"/>
        <v>0</v>
      </c>
      <c r="I1620" s="10">
        <f t="shared" si="126"/>
        <v>52</v>
      </c>
      <c r="J1620" s="10" t="str">
        <f t="shared" ca="1" si="127"/>
        <v>Paid</v>
      </c>
      <c r="K1620" s="10">
        <f t="shared" ca="1" si="128"/>
        <v>0</v>
      </c>
      <c r="L1620" s="10" t="str">
        <f t="shared" si="129"/>
        <v>Paid</v>
      </c>
      <c r="M1620" s="11">
        <v>45992</v>
      </c>
      <c r="N1620" s="11">
        <v>46082</v>
      </c>
    </row>
    <row r="1621" spans="1:14" x14ac:dyDescent="0.25">
      <c r="A1621" s="13" t="s">
        <v>1748</v>
      </c>
      <c r="B1621" s="13" t="s">
        <v>87</v>
      </c>
      <c r="C1621" s="14">
        <v>46015</v>
      </c>
      <c r="D1621" s="14">
        <v>46045</v>
      </c>
      <c r="E1621" s="14">
        <v>46050</v>
      </c>
      <c r="F1621" s="15">
        <v>55182.6</v>
      </c>
      <c r="G1621" s="15">
        <v>55182.6</v>
      </c>
      <c r="H1621" s="15">
        <f t="shared" si="125"/>
        <v>0</v>
      </c>
      <c r="I1621" s="13">
        <f t="shared" si="126"/>
        <v>5</v>
      </c>
      <c r="J1621" s="13" t="str">
        <f t="shared" ca="1" si="127"/>
        <v>Paid</v>
      </c>
      <c r="K1621" s="13">
        <f t="shared" ca="1" si="128"/>
        <v>0</v>
      </c>
      <c r="L1621" s="13" t="str">
        <f t="shared" si="129"/>
        <v>Paid</v>
      </c>
      <c r="M1621" s="14">
        <v>45992</v>
      </c>
      <c r="N1621" s="14">
        <v>46023</v>
      </c>
    </row>
    <row r="1622" spans="1:14" x14ac:dyDescent="0.25">
      <c r="A1622" s="10" t="s">
        <v>1749</v>
      </c>
      <c r="B1622" s="10" t="s">
        <v>125</v>
      </c>
      <c r="C1622" s="11">
        <v>46005</v>
      </c>
      <c r="D1622" s="11">
        <v>46035</v>
      </c>
      <c r="E1622" s="11">
        <v>46035</v>
      </c>
      <c r="F1622" s="12">
        <v>120062.3</v>
      </c>
      <c r="G1622" s="12">
        <v>120062.3</v>
      </c>
      <c r="H1622" s="12">
        <f t="shared" si="125"/>
        <v>0</v>
      </c>
      <c r="I1622" s="10">
        <f t="shared" si="126"/>
        <v>0</v>
      </c>
      <c r="J1622" s="10" t="str">
        <f t="shared" ca="1" si="127"/>
        <v>Paid</v>
      </c>
      <c r="K1622" s="10">
        <f t="shared" ca="1" si="128"/>
        <v>0</v>
      </c>
      <c r="L1622" s="10" t="str">
        <f t="shared" si="129"/>
        <v>Paid</v>
      </c>
      <c r="M1622" s="11">
        <v>45992</v>
      </c>
      <c r="N1622" s="11">
        <v>46023</v>
      </c>
    </row>
    <row r="1623" spans="1:14" x14ac:dyDescent="0.25">
      <c r="A1623" s="13" t="s">
        <v>1750</v>
      </c>
      <c r="B1623" s="13" t="s">
        <v>115</v>
      </c>
      <c r="C1623" s="14">
        <v>46002</v>
      </c>
      <c r="D1623" s="14">
        <v>46032</v>
      </c>
      <c r="E1623" s="14">
        <v>46042</v>
      </c>
      <c r="F1623" s="15">
        <v>19715.580000000002</v>
      </c>
      <c r="G1623" s="15">
        <v>19715.580000000002</v>
      </c>
      <c r="H1623" s="15">
        <f t="shared" si="125"/>
        <v>0</v>
      </c>
      <c r="I1623" s="13">
        <f t="shared" si="126"/>
        <v>10</v>
      </c>
      <c r="J1623" s="13" t="str">
        <f t="shared" ca="1" si="127"/>
        <v>Paid</v>
      </c>
      <c r="K1623" s="13">
        <f t="shared" ca="1" si="128"/>
        <v>0</v>
      </c>
      <c r="L1623" s="13" t="str">
        <f t="shared" si="129"/>
        <v>Paid</v>
      </c>
      <c r="M1623" s="14">
        <v>45992</v>
      </c>
      <c r="N1623" s="14">
        <v>46023</v>
      </c>
    </row>
    <row r="1624" spans="1:14" x14ac:dyDescent="0.25">
      <c r="A1624" s="10" t="s">
        <v>1751</v>
      </c>
      <c r="B1624" s="10" t="s">
        <v>449</v>
      </c>
      <c r="C1624" s="11">
        <v>45996</v>
      </c>
      <c r="D1624" s="11">
        <v>46026</v>
      </c>
      <c r="E1624" s="11">
        <v>46026</v>
      </c>
      <c r="F1624" s="12">
        <v>25027.05</v>
      </c>
      <c r="G1624" s="12">
        <v>25027.05</v>
      </c>
      <c r="H1624" s="12">
        <f t="shared" si="125"/>
        <v>0</v>
      </c>
      <c r="I1624" s="10">
        <f t="shared" si="126"/>
        <v>0</v>
      </c>
      <c r="J1624" s="10" t="str">
        <f t="shared" ca="1" si="127"/>
        <v>Paid</v>
      </c>
      <c r="K1624" s="10">
        <f t="shared" ca="1" si="128"/>
        <v>0</v>
      </c>
      <c r="L1624" s="10" t="str">
        <f t="shared" si="129"/>
        <v>Paid</v>
      </c>
      <c r="M1624" s="11">
        <v>45992</v>
      </c>
      <c r="N1624" s="11">
        <v>46023</v>
      </c>
    </row>
    <row r="1625" spans="1:14" x14ac:dyDescent="0.25">
      <c r="A1625" s="13" t="s">
        <v>1752</v>
      </c>
      <c r="B1625" s="13" t="s">
        <v>91</v>
      </c>
      <c r="C1625" s="14">
        <v>46014</v>
      </c>
      <c r="D1625" s="14">
        <v>46044</v>
      </c>
      <c r="E1625" s="14">
        <v>46079</v>
      </c>
      <c r="F1625" s="15">
        <v>38950.39</v>
      </c>
      <c r="G1625" s="15">
        <v>38950.39</v>
      </c>
      <c r="H1625" s="15">
        <f t="shared" si="125"/>
        <v>0</v>
      </c>
      <c r="I1625" s="13">
        <f t="shared" si="126"/>
        <v>35</v>
      </c>
      <c r="J1625" s="13" t="str">
        <f t="shared" ca="1" si="127"/>
        <v>Paid</v>
      </c>
      <c r="K1625" s="13">
        <f t="shared" ca="1" si="128"/>
        <v>0</v>
      </c>
      <c r="L1625" s="13" t="str">
        <f t="shared" si="129"/>
        <v>Paid</v>
      </c>
      <c r="M1625" s="14">
        <v>45992</v>
      </c>
      <c r="N1625" s="14">
        <v>46054</v>
      </c>
    </row>
    <row r="1626" spans="1:14" x14ac:dyDescent="0.25">
      <c r="A1626" s="10" t="s">
        <v>1753</v>
      </c>
      <c r="B1626" s="10" t="s">
        <v>79</v>
      </c>
      <c r="C1626" s="11">
        <v>46012</v>
      </c>
      <c r="D1626" s="11">
        <v>46042</v>
      </c>
      <c r="E1626" s="11"/>
      <c r="F1626" s="12">
        <v>30957.31</v>
      </c>
      <c r="G1626" s="12">
        <v>0</v>
      </c>
      <c r="H1626" s="12">
        <f t="shared" si="125"/>
        <v>30957.31</v>
      </c>
      <c r="I1626" s="10" t="str">
        <f t="shared" si="126"/>
        <v/>
      </c>
      <c r="J1626" s="10" t="str">
        <f t="shared" ca="1" si="127"/>
        <v>Overdue</v>
      </c>
      <c r="K1626" s="10">
        <f t="shared" ca="1" si="128"/>
        <v>214</v>
      </c>
      <c r="L1626" s="10" t="str">
        <f t="shared" ca="1" si="129"/>
        <v>120+ Days</v>
      </c>
      <c r="M1626" s="11">
        <v>45992</v>
      </c>
      <c r="N1626" s="11"/>
    </row>
    <row r="1627" spans="1:14" x14ac:dyDescent="0.25">
      <c r="A1627" s="13" t="s">
        <v>1754</v>
      </c>
      <c r="B1627" s="13" t="s">
        <v>125</v>
      </c>
      <c r="C1627" s="14">
        <v>46006</v>
      </c>
      <c r="D1627" s="14">
        <v>46036</v>
      </c>
      <c r="E1627" s="14"/>
      <c r="F1627" s="15">
        <v>43306.18</v>
      </c>
      <c r="G1627" s="15">
        <v>0</v>
      </c>
      <c r="H1627" s="15">
        <f t="shared" si="125"/>
        <v>43306.18</v>
      </c>
      <c r="I1627" s="13" t="str">
        <f t="shared" si="126"/>
        <v/>
      </c>
      <c r="J1627" s="13" t="str">
        <f t="shared" ca="1" si="127"/>
        <v>Overdue</v>
      </c>
      <c r="K1627" s="13">
        <f t="shared" ca="1" si="128"/>
        <v>220</v>
      </c>
      <c r="L1627" s="13" t="str">
        <f t="shared" ca="1" si="129"/>
        <v>120+ Days</v>
      </c>
      <c r="M1627" s="14">
        <v>45992</v>
      </c>
      <c r="N1627" s="14"/>
    </row>
    <row r="1628" spans="1:14" x14ac:dyDescent="0.25">
      <c r="A1628" s="10" t="s">
        <v>1755</v>
      </c>
      <c r="B1628" s="10" t="s">
        <v>134</v>
      </c>
      <c r="C1628" s="11">
        <v>46015</v>
      </c>
      <c r="D1628" s="11">
        <v>46045</v>
      </c>
      <c r="E1628" s="11">
        <v>46049</v>
      </c>
      <c r="F1628" s="12">
        <v>98018.27</v>
      </c>
      <c r="G1628" s="12">
        <v>36047.69</v>
      </c>
      <c r="H1628" s="12">
        <f t="shared" si="125"/>
        <v>61970.58</v>
      </c>
      <c r="I1628" s="10">
        <f t="shared" si="126"/>
        <v>4</v>
      </c>
      <c r="J1628" s="10" t="str">
        <f t="shared" ca="1" si="127"/>
        <v>Overdue</v>
      </c>
      <c r="K1628" s="10">
        <f t="shared" ca="1" si="128"/>
        <v>211</v>
      </c>
      <c r="L1628" s="10" t="str">
        <f t="shared" ca="1" si="129"/>
        <v>120+ Days</v>
      </c>
      <c r="M1628" s="11">
        <v>45992</v>
      </c>
      <c r="N1628" s="11">
        <v>46023</v>
      </c>
    </row>
    <row r="1629" spans="1:14" x14ac:dyDescent="0.25">
      <c r="A1629" s="13" t="s">
        <v>1756</v>
      </c>
      <c r="B1629" s="13" t="s">
        <v>72</v>
      </c>
      <c r="C1629" s="14">
        <v>46018</v>
      </c>
      <c r="D1629" s="14">
        <v>46048</v>
      </c>
      <c r="E1629" s="14"/>
      <c r="F1629" s="15">
        <v>18407.400000000001</v>
      </c>
      <c r="G1629" s="15">
        <v>0</v>
      </c>
      <c r="H1629" s="15">
        <f t="shared" si="125"/>
        <v>18407.400000000001</v>
      </c>
      <c r="I1629" s="13" t="str">
        <f t="shared" si="126"/>
        <v/>
      </c>
      <c r="J1629" s="13" t="str">
        <f t="shared" ca="1" si="127"/>
        <v>Overdue</v>
      </c>
      <c r="K1629" s="13">
        <f t="shared" ca="1" si="128"/>
        <v>208</v>
      </c>
      <c r="L1629" s="13" t="str">
        <f t="shared" ca="1" si="129"/>
        <v>120+ Days</v>
      </c>
      <c r="M1629" s="14">
        <v>45992</v>
      </c>
      <c r="N1629" s="14"/>
    </row>
    <row r="1630" spans="1:14" x14ac:dyDescent="0.25">
      <c r="A1630" s="10" t="s">
        <v>1757</v>
      </c>
      <c r="B1630" s="10" t="s">
        <v>188</v>
      </c>
      <c r="C1630" s="11">
        <v>46017</v>
      </c>
      <c r="D1630" s="11">
        <v>46047</v>
      </c>
      <c r="E1630" s="11">
        <v>46047</v>
      </c>
      <c r="F1630" s="12">
        <v>51163.75</v>
      </c>
      <c r="G1630" s="12">
        <v>51163.75</v>
      </c>
      <c r="H1630" s="12">
        <f t="shared" si="125"/>
        <v>0</v>
      </c>
      <c r="I1630" s="10">
        <f t="shared" si="126"/>
        <v>0</v>
      </c>
      <c r="J1630" s="10" t="str">
        <f t="shared" ca="1" si="127"/>
        <v>Paid</v>
      </c>
      <c r="K1630" s="10">
        <f t="shared" ca="1" si="128"/>
        <v>0</v>
      </c>
      <c r="L1630" s="10" t="str">
        <f t="shared" si="129"/>
        <v>Paid</v>
      </c>
      <c r="M1630" s="11">
        <v>45992</v>
      </c>
      <c r="N1630" s="11">
        <v>46023</v>
      </c>
    </row>
    <row r="1631" spans="1:14" x14ac:dyDescent="0.25">
      <c r="A1631" s="13" t="s">
        <v>1758</v>
      </c>
      <c r="B1631" s="13" t="s">
        <v>74</v>
      </c>
      <c r="C1631" s="14">
        <v>45994</v>
      </c>
      <c r="D1631" s="14">
        <v>46024</v>
      </c>
      <c r="E1631" s="14">
        <v>46024</v>
      </c>
      <c r="F1631" s="15">
        <v>60877.78</v>
      </c>
      <c r="G1631" s="15">
        <v>60877.78</v>
      </c>
      <c r="H1631" s="15">
        <f t="shared" si="125"/>
        <v>0</v>
      </c>
      <c r="I1631" s="13">
        <f t="shared" si="126"/>
        <v>0</v>
      </c>
      <c r="J1631" s="13" t="str">
        <f t="shared" ca="1" si="127"/>
        <v>Paid</v>
      </c>
      <c r="K1631" s="13">
        <f t="shared" ca="1" si="128"/>
        <v>0</v>
      </c>
      <c r="L1631" s="13" t="str">
        <f t="shared" si="129"/>
        <v>Paid</v>
      </c>
      <c r="M1631" s="14">
        <v>45992</v>
      </c>
      <c r="N1631" s="14">
        <v>46023</v>
      </c>
    </row>
    <row r="1632" spans="1:14" x14ac:dyDescent="0.25">
      <c r="A1632" s="10" t="s">
        <v>1759</v>
      </c>
      <c r="B1632" s="10" t="s">
        <v>169</v>
      </c>
      <c r="C1632" s="11">
        <v>46012</v>
      </c>
      <c r="D1632" s="11">
        <v>46042</v>
      </c>
      <c r="E1632" s="11">
        <v>46042</v>
      </c>
      <c r="F1632" s="12">
        <v>41158.449999999997</v>
      </c>
      <c r="G1632" s="12">
        <v>41158.449999999997</v>
      </c>
      <c r="H1632" s="12">
        <f t="shared" si="125"/>
        <v>0</v>
      </c>
      <c r="I1632" s="10">
        <f t="shared" si="126"/>
        <v>0</v>
      </c>
      <c r="J1632" s="10" t="str">
        <f t="shared" ca="1" si="127"/>
        <v>Paid</v>
      </c>
      <c r="K1632" s="10">
        <f t="shared" ca="1" si="128"/>
        <v>0</v>
      </c>
      <c r="L1632" s="10" t="str">
        <f t="shared" si="129"/>
        <v>Paid</v>
      </c>
      <c r="M1632" s="11">
        <v>45992</v>
      </c>
      <c r="N1632" s="11">
        <v>46023</v>
      </c>
    </row>
    <row r="1633" spans="1:14" x14ac:dyDescent="0.25">
      <c r="A1633" s="13" t="s">
        <v>1760</v>
      </c>
      <c r="B1633" s="13" t="s">
        <v>119</v>
      </c>
      <c r="C1633" s="14">
        <v>45995</v>
      </c>
      <c r="D1633" s="14">
        <v>46025</v>
      </c>
      <c r="E1633" s="14">
        <v>46025</v>
      </c>
      <c r="F1633" s="15">
        <v>34329.54</v>
      </c>
      <c r="G1633" s="15">
        <v>34329.54</v>
      </c>
      <c r="H1633" s="15">
        <f t="shared" si="125"/>
        <v>0</v>
      </c>
      <c r="I1633" s="13">
        <f t="shared" si="126"/>
        <v>0</v>
      </c>
      <c r="J1633" s="13" t="str">
        <f t="shared" ca="1" si="127"/>
        <v>Paid</v>
      </c>
      <c r="K1633" s="13">
        <f t="shared" ca="1" si="128"/>
        <v>0</v>
      </c>
      <c r="L1633" s="13" t="str">
        <f t="shared" si="129"/>
        <v>Paid</v>
      </c>
      <c r="M1633" s="14">
        <v>45992</v>
      </c>
      <c r="N1633" s="14">
        <v>46023</v>
      </c>
    </row>
    <row r="1634" spans="1:14" x14ac:dyDescent="0.25">
      <c r="A1634" s="10" t="s">
        <v>1761</v>
      </c>
      <c r="B1634" s="10" t="s">
        <v>449</v>
      </c>
      <c r="C1634" s="11">
        <v>46009</v>
      </c>
      <c r="D1634" s="11">
        <v>46039</v>
      </c>
      <c r="E1634" s="11">
        <v>46082</v>
      </c>
      <c r="F1634" s="12">
        <v>82943.88</v>
      </c>
      <c r="G1634" s="12">
        <v>82943.88</v>
      </c>
      <c r="H1634" s="12">
        <f t="shared" si="125"/>
        <v>0</v>
      </c>
      <c r="I1634" s="10">
        <f t="shared" si="126"/>
        <v>43</v>
      </c>
      <c r="J1634" s="10" t="str">
        <f t="shared" ca="1" si="127"/>
        <v>Paid</v>
      </c>
      <c r="K1634" s="10">
        <f t="shared" ca="1" si="128"/>
        <v>0</v>
      </c>
      <c r="L1634" s="10" t="str">
        <f t="shared" si="129"/>
        <v>Paid</v>
      </c>
      <c r="M1634" s="11">
        <v>45992</v>
      </c>
      <c r="N1634" s="11">
        <v>46082</v>
      </c>
    </row>
    <row r="1635" spans="1:14" x14ac:dyDescent="0.25">
      <c r="A1635" s="13" t="s">
        <v>1762</v>
      </c>
      <c r="B1635" s="13" t="s">
        <v>95</v>
      </c>
      <c r="C1635" s="14">
        <v>46002</v>
      </c>
      <c r="D1635" s="14">
        <v>46032</v>
      </c>
      <c r="E1635" s="14"/>
      <c r="F1635" s="15">
        <v>27064.34</v>
      </c>
      <c r="G1635" s="15">
        <v>0</v>
      </c>
      <c r="H1635" s="15">
        <f t="shared" si="125"/>
        <v>27064.34</v>
      </c>
      <c r="I1635" s="13" t="str">
        <f t="shared" si="126"/>
        <v/>
      </c>
      <c r="J1635" s="13" t="str">
        <f t="shared" ca="1" si="127"/>
        <v>Overdue</v>
      </c>
      <c r="K1635" s="13">
        <f t="shared" ca="1" si="128"/>
        <v>224</v>
      </c>
      <c r="L1635" s="13" t="str">
        <f t="shared" ca="1" si="129"/>
        <v>120+ Days</v>
      </c>
      <c r="M1635" s="14">
        <v>45992</v>
      </c>
      <c r="N1635" s="14"/>
    </row>
    <row r="1636" spans="1:14" x14ac:dyDescent="0.25">
      <c r="A1636" s="10" t="s">
        <v>1763</v>
      </c>
      <c r="B1636" s="10" t="s">
        <v>278</v>
      </c>
      <c r="C1636" s="11">
        <v>46006</v>
      </c>
      <c r="D1636" s="11">
        <v>46036</v>
      </c>
      <c r="E1636" s="11">
        <v>46112</v>
      </c>
      <c r="F1636" s="12">
        <v>65948.97</v>
      </c>
      <c r="G1636" s="12">
        <v>65948.97</v>
      </c>
      <c r="H1636" s="12">
        <f t="shared" si="125"/>
        <v>0</v>
      </c>
      <c r="I1636" s="10">
        <f t="shared" si="126"/>
        <v>76</v>
      </c>
      <c r="J1636" s="10" t="str">
        <f t="shared" ca="1" si="127"/>
        <v>Paid</v>
      </c>
      <c r="K1636" s="10">
        <f t="shared" ca="1" si="128"/>
        <v>0</v>
      </c>
      <c r="L1636" s="10" t="str">
        <f t="shared" si="129"/>
        <v>Paid</v>
      </c>
      <c r="M1636" s="11">
        <v>45992</v>
      </c>
      <c r="N1636" s="11">
        <v>46082</v>
      </c>
    </row>
    <row r="1637" spans="1:14" x14ac:dyDescent="0.25">
      <c r="A1637" s="13" t="s">
        <v>1764</v>
      </c>
      <c r="B1637" s="13" t="s">
        <v>134</v>
      </c>
      <c r="C1637" s="14">
        <v>46001</v>
      </c>
      <c r="D1637" s="14">
        <v>46031</v>
      </c>
      <c r="E1637" s="14">
        <v>46051</v>
      </c>
      <c r="F1637" s="15">
        <v>38002.14</v>
      </c>
      <c r="G1637" s="15">
        <v>38002.14</v>
      </c>
      <c r="H1637" s="15">
        <f t="shared" si="125"/>
        <v>0</v>
      </c>
      <c r="I1637" s="13">
        <f t="shared" si="126"/>
        <v>20</v>
      </c>
      <c r="J1637" s="13" t="str">
        <f t="shared" ca="1" si="127"/>
        <v>Paid</v>
      </c>
      <c r="K1637" s="13">
        <f t="shared" ca="1" si="128"/>
        <v>0</v>
      </c>
      <c r="L1637" s="13" t="str">
        <f t="shared" si="129"/>
        <v>Paid</v>
      </c>
      <c r="M1637" s="14">
        <v>45992</v>
      </c>
      <c r="N1637" s="14">
        <v>46023</v>
      </c>
    </row>
    <row r="1638" spans="1:14" x14ac:dyDescent="0.25">
      <c r="A1638" s="10" t="s">
        <v>1765</v>
      </c>
      <c r="B1638" s="10" t="s">
        <v>171</v>
      </c>
      <c r="C1638" s="11">
        <v>45999</v>
      </c>
      <c r="D1638" s="11">
        <v>46029</v>
      </c>
      <c r="E1638" s="11">
        <v>46031</v>
      </c>
      <c r="F1638" s="12">
        <v>26072.14</v>
      </c>
      <c r="G1638" s="12">
        <v>26072.14</v>
      </c>
      <c r="H1638" s="12">
        <f t="shared" si="125"/>
        <v>0</v>
      </c>
      <c r="I1638" s="10">
        <f t="shared" si="126"/>
        <v>2</v>
      </c>
      <c r="J1638" s="10" t="str">
        <f t="shared" ca="1" si="127"/>
        <v>Paid</v>
      </c>
      <c r="K1638" s="10">
        <f t="shared" ca="1" si="128"/>
        <v>0</v>
      </c>
      <c r="L1638" s="10" t="str">
        <f t="shared" si="129"/>
        <v>Paid</v>
      </c>
      <c r="M1638" s="11">
        <v>45992</v>
      </c>
      <c r="N1638" s="11">
        <v>46023</v>
      </c>
    </row>
    <row r="1639" spans="1:14" x14ac:dyDescent="0.25">
      <c r="A1639" s="13" t="s">
        <v>1766</v>
      </c>
      <c r="B1639" s="13" t="s">
        <v>93</v>
      </c>
      <c r="C1639" s="14">
        <v>46003</v>
      </c>
      <c r="D1639" s="14">
        <v>46033</v>
      </c>
      <c r="E1639" s="14"/>
      <c r="F1639" s="15">
        <v>57947.95</v>
      </c>
      <c r="G1639" s="15">
        <v>0</v>
      </c>
      <c r="H1639" s="15">
        <f t="shared" si="125"/>
        <v>57947.95</v>
      </c>
      <c r="I1639" s="13" t="str">
        <f t="shared" si="126"/>
        <v/>
      </c>
      <c r="J1639" s="13" t="str">
        <f t="shared" ca="1" si="127"/>
        <v>Overdue</v>
      </c>
      <c r="K1639" s="13">
        <f t="shared" ca="1" si="128"/>
        <v>223</v>
      </c>
      <c r="L1639" s="13" t="str">
        <f t="shared" ca="1" si="129"/>
        <v>120+ Days</v>
      </c>
      <c r="M1639" s="14">
        <v>45992</v>
      </c>
      <c r="N1639" s="14"/>
    </row>
    <row r="1640" spans="1:14" x14ac:dyDescent="0.25">
      <c r="A1640" s="10" t="s">
        <v>1767</v>
      </c>
      <c r="B1640" s="10" t="s">
        <v>220</v>
      </c>
      <c r="C1640" s="11">
        <v>46012</v>
      </c>
      <c r="D1640" s="11">
        <v>46042</v>
      </c>
      <c r="E1640" s="11">
        <v>46083</v>
      </c>
      <c r="F1640" s="12">
        <v>32407.67</v>
      </c>
      <c r="G1640" s="12">
        <v>32407.67</v>
      </c>
      <c r="H1640" s="12">
        <f t="shared" si="125"/>
        <v>0</v>
      </c>
      <c r="I1640" s="10">
        <f t="shared" si="126"/>
        <v>41</v>
      </c>
      <c r="J1640" s="10" t="str">
        <f t="shared" ca="1" si="127"/>
        <v>Paid</v>
      </c>
      <c r="K1640" s="10">
        <f t="shared" ca="1" si="128"/>
        <v>0</v>
      </c>
      <c r="L1640" s="10" t="str">
        <f t="shared" si="129"/>
        <v>Paid</v>
      </c>
      <c r="M1640" s="11">
        <v>45992</v>
      </c>
      <c r="N1640" s="11">
        <v>46082</v>
      </c>
    </row>
    <row r="1641" spans="1:14" x14ac:dyDescent="0.25">
      <c r="A1641" s="13" t="s">
        <v>1768</v>
      </c>
      <c r="B1641" s="13" t="s">
        <v>109</v>
      </c>
      <c r="C1641" s="14">
        <v>46002</v>
      </c>
      <c r="D1641" s="14">
        <v>46032</v>
      </c>
      <c r="E1641" s="14">
        <v>46072</v>
      </c>
      <c r="F1641" s="15">
        <v>35616.69</v>
      </c>
      <c r="G1641" s="15">
        <v>35616.69</v>
      </c>
      <c r="H1641" s="15">
        <f t="shared" si="125"/>
        <v>0</v>
      </c>
      <c r="I1641" s="13">
        <f t="shared" si="126"/>
        <v>40</v>
      </c>
      <c r="J1641" s="13" t="str">
        <f t="shared" ca="1" si="127"/>
        <v>Paid</v>
      </c>
      <c r="K1641" s="13">
        <f t="shared" ca="1" si="128"/>
        <v>0</v>
      </c>
      <c r="L1641" s="13" t="str">
        <f t="shared" si="129"/>
        <v>Paid</v>
      </c>
      <c r="M1641" s="14">
        <v>45992</v>
      </c>
      <c r="N1641" s="14">
        <v>46054</v>
      </c>
    </row>
    <row r="1642" spans="1:14" x14ac:dyDescent="0.25">
      <c r="A1642" s="10" t="s">
        <v>1769</v>
      </c>
      <c r="B1642" s="10" t="s">
        <v>224</v>
      </c>
      <c r="C1642" s="11">
        <v>45997</v>
      </c>
      <c r="D1642" s="11">
        <v>46027</v>
      </c>
      <c r="E1642" s="11">
        <v>46031</v>
      </c>
      <c r="F1642" s="12">
        <v>36137.449999999997</v>
      </c>
      <c r="G1642" s="12">
        <v>36137.449999999997</v>
      </c>
      <c r="H1642" s="12">
        <f t="shared" si="125"/>
        <v>0</v>
      </c>
      <c r="I1642" s="10">
        <f t="shared" si="126"/>
        <v>4</v>
      </c>
      <c r="J1642" s="10" t="str">
        <f t="shared" ca="1" si="127"/>
        <v>Paid</v>
      </c>
      <c r="K1642" s="10">
        <f t="shared" ca="1" si="128"/>
        <v>0</v>
      </c>
      <c r="L1642" s="10" t="str">
        <f t="shared" si="129"/>
        <v>Paid</v>
      </c>
      <c r="M1642" s="11">
        <v>45992</v>
      </c>
      <c r="N1642" s="11">
        <v>46023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79998168889431442"/>
  </sheetPr>
  <dimension ref="A1:F15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1" customWidth="1"/>
    <col min="3" max="3" width="16" customWidth="1"/>
    <col min="4" max="4" width="12" customWidth="1"/>
    <col min="5" max="5" width="16" customWidth="1"/>
    <col min="6" max="6" width="11" customWidth="1"/>
  </cols>
  <sheetData>
    <row r="1" spans="1:6" ht="30" customHeight="1" x14ac:dyDescent="0.25">
      <c r="A1" s="16" t="s">
        <v>1770</v>
      </c>
      <c r="B1" s="16" t="s">
        <v>1771</v>
      </c>
      <c r="C1" s="16" t="s">
        <v>4</v>
      </c>
      <c r="D1" s="16" t="s">
        <v>6</v>
      </c>
      <c r="E1" s="16" t="s">
        <v>54</v>
      </c>
      <c r="F1" s="16" t="s">
        <v>1772</v>
      </c>
    </row>
    <row r="2" spans="1:6" x14ac:dyDescent="0.25">
      <c r="A2" s="10" t="s">
        <v>1773</v>
      </c>
      <c r="B2" s="11">
        <v>45292</v>
      </c>
      <c r="C2" s="10" t="s">
        <v>1774</v>
      </c>
      <c r="D2" s="10" t="s">
        <v>1775</v>
      </c>
      <c r="E2" s="12">
        <v>95356.73</v>
      </c>
      <c r="F2" s="10" t="s">
        <v>1776</v>
      </c>
    </row>
    <row r="3" spans="1:6" x14ac:dyDescent="0.25">
      <c r="A3" s="13" t="s">
        <v>1777</v>
      </c>
      <c r="B3" s="14">
        <v>45301</v>
      </c>
      <c r="C3" s="13" t="s">
        <v>1774</v>
      </c>
      <c r="D3" s="13" t="s">
        <v>1778</v>
      </c>
      <c r="E3" s="15">
        <v>23332.26</v>
      </c>
      <c r="F3" s="13" t="s">
        <v>1776</v>
      </c>
    </row>
    <row r="4" spans="1:6" x14ac:dyDescent="0.25">
      <c r="A4" s="10" t="s">
        <v>1779</v>
      </c>
      <c r="B4" s="11">
        <v>45292</v>
      </c>
      <c r="C4" s="10" t="s">
        <v>1774</v>
      </c>
      <c r="D4" s="10" t="s">
        <v>1780</v>
      </c>
      <c r="E4" s="12">
        <v>8620.85</v>
      </c>
      <c r="F4" s="10" t="s">
        <v>1781</v>
      </c>
    </row>
    <row r="5" spans="1:6" x14ac:dyDescent="0.25">
      <c r="A5" s="13" t="s">
        <v>1782</v>
      </c>
      <c r="B5" s="14">
        <v>45297</v>
      </c>
      <c r="C5" s="13" t="s">
        <v>1774</v>
      </c>
      <c r="D5" s="13" t="s">
        <v>1783</v>
      </c>
      <c r="E5" s="15">
        <v>13851.81</v>
      </c>
      <c r="F5" s="13" t="s">
        <v>1784</v>
      </c>
    </row>
    <row r="6" spans="1:6" x14ac:dyDescent="0.25">
      <c r="A6" s="10" t="s">
        <v>1785</v>
      </c>
      <c r="B6" s="11">
        <v>45306</v>
      </c>
      <c r="C6" s="10" t="s">
        <v>1774</v>
      </c>
      <c r="D6" s="10" t="s">
        <v>1786</v>
      </c>
      <c r="E6" s="12">
        <v>17657.689999999999</v>
      </c>
      <c r="F6" s="10" t="s">
        <v>1787</v>
      </c>
    </row>
    <row r="7" spans="1:6" x14ac:dyDescent="0.25">
      <c r="A7" s="13" t="s">
        <v>1788</v>
      </c>
      <c r="B7" s="14">
        <v>45302</v>
      </c>
      <c r="C7" s="13" t="s">
        <v>1774</v>
      </c>
      <c r="D7" s="13" t="s">
        <v>1789</v>
      </c>
      <c r="E7" s="15">
        <v>9372.01</v>
      </c>
      <c r="F7" s="13" t="s">
        <v>1790</v>
      </c>
    </row>
    <row r="8" spans="1:6" x14ac:dyDescent="0.25">
      <c r="A8" s="10" t="s">
        <v>1791</v>
      </c>
      <c r="B8" s="11">
        <v>45308</v>
      </c>
      <c r="C8" s="10" t="s">
        <v>1774</v>
      </c>
      <c r="D8" s="10" t="s">
        <v>1792</v>
      </c>
      <c r="E8" s="12">
        <v>17872.04</v>
      </c>
      <c r="F8" s="10" t="s">
        <v>1793</v>
      </c>
    </row>
    <row r="9" spans="1:6" x14ac:dyDescent="0.25">
      <c r="A9" s="13" t="s">
        <v>1794</v>
      </c>
      <c r="B9" s="14">
        <v>45309</v>
      </c>
      <c r="C9" s="13" t="s">
        <v>1774</v>
      </c>
      <c r="D9" s="13" t="s">
        <v>1795</v>
      </c>
      <c r="E9" s="15">
        <v>7163.76</v>
      </c>
      <c r="F9" s="13" t="s">
        <v>1787</v>
      </c>
    </row>
    <row r="10" spans="1:6" x14ac:dyDescent="0.25">
      <c r="A10" s="10" t="s">
        <v>1796</v>
      </c>
      <c r="B10" s="11">
        <v>45304</v>
      </c>
      <c r="C10" s="10" t="s">
        <v>1774</v>
      </c>
      <c r="D10" s="10" t="s">
        <v>1797</v>
      </c>
      <c r="E10" s="12">
        <v>6963.31</v>
      </c>
      <c r="F10" s="10" t="s">
        <v>1776</v>
      </c>
    </row>
    <row r="11" spans="1:6" x14ac:dyDescent="0.25">
      <c r="A11" s="13" t="s">
        <v>1798</v>
      </c>
      <c r="B11" s="14">
        <v>45317</v>
      </c>
      <c r="C11" s="13" t="s">
        <v>1799</v>
      </c>
      <c r="D11" s="13" t="s">
        <v>1775</v>
      </c>
      <c r="E11" s="15">
        <v>38877.17</v>
      </c>
      <c r="F11" s="13" t="s">
        <v>1800</v>
      </c>
    </row>
    <row r="12" spans="1:6" x14ac:dyDescent="0.25">
      <c r="A12" s="10" t="s">
        <v>1801</v>
      </c>
      <c r="B12" s="11">
        <v>45293</v>
      </c>
      <c r="C12" s="10" t="s">
        <v>1799</v>
      </c>
      <c r="D12" s="10" t="s">
        <v>1778</v>
      </c>
      <c r="E12" s="12">
        <v>9952.18</v>
      </c>
      <c r="F12" s="10" t="s">
        <v>1802</v>
      </c>
    </row>
    <row r="13" spans="1:6" x14ac:dyDescent="0.25">
      <c r="A13" s="13" t="s">
        <v>1803</v>
      </c>
      <c r="B13" s="14">
        <v>45311</v>
      </c>
      <c r="C13" s="13" t="s">
        <v>1799</v>
      </c>
      <c r="D13" s="13" t="s">
        <v>1780</v>
      </c>
      <c r="E13" s="15">
        <v>3728.38</v>
      </c>
      <c r="F13" s="13" t="s">
        <v>1804</v>
      </c>
    </row>
    <row r="14" spans="1:6" x14ac:dyDescent="0.25">
      <c r="A14" s="10" t="s">
        <v>1805</v>
      </c>
      <c r="B14" s="11">
        <v>45312</v>
      </c>
      <c r="C14" s="10" t="s">
        <v>1799</v>
      </c>
      <c r="D14" s="10" t="s">
        <v>1783</v>
      </c>
      <c r="E14" s="12">
        <v>6438.2</v>
      </c>
      <c r="F14" s="10" t="s">
        <v>1806</v>
      </c>
    </row>
    <row r="15" spans="1:6" x14ac:dyDescent="0.25">
      <c r="A15" s="13" t="s">
        <v>1807</v>
      </c>
      <c r="B15" s="14">
        <v>45294</v>
      </c>
      <c r="C15" s="13" t="s">
        <v>1799</v>
      </c>
      <c r="D15" s="13" t="s">
        <v>1786</v>
      </c>
      <c r="E15" s="15">
        <v>7532.37</v>
      </c>
      <c r="F15" s="13" t="s">
        <v>1808</v>
      </c>
    </row>
    <row r="16" spans="1:6" x14ac:dyDescent="0.25">
      <c r="A16" s="10" t="s">
        <v>1809</v>
      </c>
      <c r="B16" s="11">
        <v>45300</v>
      </c>
      <c r="C16" s="10" t="s">
        <v>1799</v>
      </c>
      <c r="D16" s="10" t="s">
        <v>1789</v>
      </c>
      <c r="E16" s="12">
        <v>3806.63</v>
      </c>
      <c r="F16" s="10" t="s">
        <v>1810</v>
      </c>
    </row>
    <row r="17" spans="1:6" x14ac:dyDescent="0.25">
      <c r="A17" s="13" t="s">
        <v>1811</v>
      </c>
      <c r="B17" s="14">
        <v>45296</v>
      </c>
      <c r="C17" s="13" t="s">
        <v>1799</v>
      </c>
      <c r="D17" s="13" t="s">
        <v>1792</v>
      </c>
      <c r="E17" s="15">
        <v>8279.93</v>
      </c>
      <c r="F17" s="13" t="s">
        <v>1812</v>
      </c>
    </row>
    <row r="18" spans="1:6" x14ac:dyDescent="0.25">
      <c r="A18" s="10" t="s">
        <v>1813</v>
      </c>
      <c r="B18" s="11">
        <v>45307</v>
      </c>
      <c r="C18" s="10" t="s">
        <v>1799</v>
      </c>
      <c r="D18" s="10" t="s">
        <v>1795</v>
      </c>
      <c r="E18" s="12">
        <v>2856.16</v>
      </c>
      <c r="F18" s="10" t="s">
        <v>1814</v>
      </c>
    </row>
    <row r="19" spans="1:6" x14ac:dyDescent="0.25">
      <c r="A19" s="13" t="s">
        <v>1815</v>
      </c>
      <c r="B19" s="14">
        <v>45305</v>
      </c>
      <c r="C19" s="13" t="s">
        <v>1799</v>
      </c>
      <c r="D19" s="13" t="s">
        <v>1797</v>
      </c>
      <c r="E19" s="15">
        <v>2864.71</v>
      </c>
      <c r="F19" s="13" t="s">
        <v>1816</v>
      </c>
    </row>
    <row r="20" spans="1:6" x14ac:dyDescent="0.25">
      <c r="A20" s="10" t="s">
        <v>1817</v>
      </c>
      <c r="B20" s="11">
        <v>45316</v>
      </c>
      <c r="C20" s="10" t="s">
        <v>1818</v>
      </c>
      <c r="D20" s="10" t="s">
        <v>1775</v>
      </c>
      <c r="E20" s="12">
        <v>37782.42</v>
      </c>
      <c r="F20" s="10" t="s">
        <v>1802</v>
      </c>
    </row>
    <row r="21" spans="1:6" x14ac:dyDescent="0.25">
      <c r="A21" s="13" t="s">
        <v>1819</v>
      </c>
      <c r="B21" s="14">
        <v>45313</v>
      </c>
      <c r="C21" s="13" t="s">
        <v>1818</v>
      </c>
      <c r="D21" s="13" t="s">
        <v>1778</v>
      </c>
      <c r="E21" s="15">
        <v>7769.41</v>
      </c>
      <c r="F21" s="13" t="s">
        <v>1820</v>
      </c>
    </row>
    <row r="22" spans="1:6" x14ac:dyDescent="0.25">
      <c r="A22" s="10" t="s">
        <v>1821</v>
      </c>
      <c r="B22" s="11">
        <v>45298</v>
      </c>
      <c r="C22" s="10" t="s">
        <v>1818</v>
      </c>
      <c r="D22" s="10" t="s">
        <v>1780</v>
      </c>
      <c r="E22" s="12">
        <v>4138.8599999999997</v>
      </c>
      <c r="F22" s="10" t="s">
        <v>1822</v>
      </c>
    </row>
    <row r="23" spans="1:6" x14ac:dyDescent="0.25">
      <c r="A23" s="13" t="s">
        <v>1823</v>
      </c>
      <c r="B23" s="14">
        <v>45311</v>
      </c>
      <c r="C23" s="13" t="s">
        <v>1818</v>
      </c>
      <c r="D23" s="13" t="s">
        <v>1783</v>
      </c>
      <c r="E23" s="15">
        <v>5638.08</v>
      </c>
      <c r="F23" s="13" t="s">
        <v>1824</v>
      </c>
    </row>
    <row r="24" spans="1:6" x14ac:dyDescent="0.25">
      <c r="A24" s="10" t="s">
        <v>1825</v>
      </c>
      <c r="B24" s="11">
        <v>45314</v>
      </c>
      <c r="C24" s="10" t="s">
        <v>1818</v>
      </c>
      <c r="D24" s="10" t="s">
        <v>1786</v>
      </c>
      <c r="E24" s="12">
        <v>5213.3</v>
      </c>
      <c r="F24" s="10" t="s">
        <v>1826</v>
      </c>
    </row>
    <row r="25" spans="1:6" x14ac:dyDescent="0.25">
      <c r="A25" s="13" t="s">
        <v>1827</v>
      </c>
      <c r="B25" s="14">
        <v>45311</v>
      </c>
      <c r="C25" s="13" t="s">
        <v>1818</v>
      </c>
      <c r="D25" s="13" t="s">
        <v>1789</v>
      </c>
      <c r="E25" s="15">
        <v>3419.35</v>
      </c>
      <c r="F25" s="13" t="s">
        <v>1828</v>
      </c>
    </row>
    <row r="26" spans="1:6" x14ac:dyDescent="0.25">
      <c r="A26" s="10" t="s">
        <v>1829</v>
      </c>
      <c r="B26" s="11">
        <v>45317</v>
      </c>
      <c r="C26" s="10" t="s">
        <v>1818</v>
      </c>
      <c r="D26" s="10" t="s">
        <v>1792</v>
      </c>
      <c r="E26" s="12">
        <v>6661.44</v>
      </c>
      <c r="F26" s="10" t="s">
        <v>1830</v>
      </c>
    </row>
    <row r="27" spans="1:6" x14ac:dyDescent="0.25">
      <c r="A27" s="13" t="s">
        <v>1831</v>
      </c>
      <c r="B27" s="14">
        <v>45315</v>
      </c>
      <c r="C27" s="13" t="s">
        <v>1818</v>
      </c>
      <c r="D27" s="13" t="s">
        <v>1795</v>
      </c>
      <c r="E27" s="15">
        <v>2000.75</v>
      </c>
      <c r="F27" s="13" t="s">
        <v>1826</v>
      </c>
    </row>
    <row r="28" spans="1:6" x14ac:dyDescent="0.25">
      <c r="A28" s="10" t="s">
        <v>1832</v>
      </c>
      <c r="B28" s="11">
        <v>45298</v>
      </c>
      <c r="C28" s="10" t="s">
        <v>1818</v>
      </c>
      <c r="D28" s="10" t="s">
        <v>1797</v>
      </c>
      <c r="E28" s="12">
        <v>2142.6799999999998</v>
      </c>
      <c r="F28" s="10" t="s">
        <v>1833</v>
      </c>
    </row>
    <row r="29" spans="1:6" x14ac:dyDescent="0.25">
      <c r="A29" s="13" t="s">
        <v>1834</v>
      </c>
      <c r="B29" s="14">
        <v>45304</v>
      </c>
      <c r="C29" s="13" t="s">
        <v>1786</v>
      </c>
      <c r="D29" s="13" t="s">
        <v>1775</v>
      </c>
      <c r="E29" s="15">
        <v>72761.42</v>
      </c>
      <c r="F29" s="13" t="s">
        <v>1781</v>
      </c>
    </row>
    <row r="30" spans="1:6" x14ac:dyDescent="0.25">
      <c r="A30" s="10" t="s">
        <v>1835</v>
      </c>
      <c r="B30" s="11">
        <v>45293</v>
      </c>
      <c r="C30" s="10" t="s">
        <v>1786</v>
      </c>
      <c r="D30" s="10" t="s">
        <v>1778</v>
      </c>
      <c r="E30" s="12">
        <v>15455.53</v>
      </c>
      <c r="F30" s="10" t="s">
        <v>1836</v>
      </c>
    </row>
    <row r="31" spans="1:6" x14ac:dyDescent="0.25">
      <c r="A31" s="13" t="s">
        <v>1837</v>
      </c>
      <c r="B31" s="14">
        <v>45318</v>
      </c>
      <c r="C31" s="13" t="s">
        <v>1786</v>
      </c>
      <c r="D31" s="13" t="s">
        <v>1780</v>
      </c>
      <c r="E31" s="15">
        <v>7082.15</v>
      </c>
      <c r="F31" s="13" t="s">
        <v>1838</v>
      </c>
    </row>
    <row r="32" spans="1:6" x14ac:dyDescent="0.25">
      <c r="A32" s="10" t="s">
        <v>1839</v>
      </c>
      <c r="B32" s="11">
        <v>45294</v>
      </c>
      <c r="C32" s="10" t="s">
        <v>1786</v>
      </c>
      <c r="D32" s="10" t="s">
        <v>1783</v>
      </c>
      <c r="E32" s="12">
        <v>9662.6</v>
      </c>
      <c r="F32" s="10" t="s">
        <v>1840</v>
      </c>
    </row>
    <row r="33" spans="1:6" x14ac:dyDescent="0.25">
      <c r="A33" s="13" t="s">
        <v>1841</v>
      </c>
      <c r="B33" s="14">
        <v>45295</v>
      </c>
      <c r="C33" s="13" t="s">
        <v>1786</v>
      </c>
      <c r="D33" s="13" t="s">
        <v>1786</v>
      </c>
      <c r="E33" s="15">
        <v>12270.38</v>
      </c>
      <c r="F33" s="13" t="s">
        <v>1838</v>
      </c>
    </row>
    <row r="34" spans="1:6" x14ac:dyDescent="0.25">
      <c r="A34" s="10" t="s">
        <v>1842</v>
      </c>
      <c r="B34" s="11">
        <v>45293</v>
      </c>
      <c r="C34" s="10" t="s">
        <v>1786</v>
      </c>
      <c r="D34" s="10" t="s">
        <v>1789</v>
      </c>
      <c r="E34" s="12">
        <v>7494.78</v>
      </c>
      <c r="F34" s="10" t="s">
        <v>1804</v>
      </c>
    </row>
    <row r="35" spans="1:6" x14ac:dyDescent="0.25">
      <c r="A35" s="13" t="s">
        <v>1843</v>
      </c>
      <c r="B35" s="14">
        <v>45300</v>
      </c>
      <c r="C35" s="13" t="s">
        <v>1786</v>
      </c>
      <c r="D35" s="13" t="s">
        <v>1792</v>
      </c>
      <c r="E35" s="15">
        <v>10441.959999999999</v>
      </c>
      <c r="F35" s="13" t="s">
        <v>1844</v>
      </c>
    </row>
    <row r="36" spans="1:6" x14ac:dyDescent="0.25">
      <c r="A36" s="10" t="s">
        <v>1845</v>
      </c>
      <c r="B36" s="11">
        <v>45313</v>
      </c>
      <c r="C36" s="10" t="s">
        <v>1786</v>
      </c>
      <c r="D36" s="10" t="s">
        <v>1795</v>
      </c>
      <c r="E36" s="12">
        <v>5042.38</v>
      </c>
      <c r="F36" s="10" t="s">
        <v>1824</v>
      </c>
    </row>
    <row r="37" spans="1:6" x14ac:dyDescent="0.25">
      <c r="A37" s="13" t="s">
        <v>1846</v>
      </c>
      <c r="B37" s="14">
        <v>45304</v>
      </c>
      <c r="C37" s="13" t="s">
        <v>1786</v>
      </c>
      <c r="D37" s="13" t="s">
        <v>1797</v>
      </c>
      <c r="E37" s="15">
        <v>4440.75</v>
      </c>
      <c r="F37" s="13" t="s">
        <v>1830</v>
      </c>
    </row>
    <row r="38" spans="1:6" x14ac:dyDescent="0.25">
      <c r="A38" s="10" t="s">
        <v>1847</v>
      </c>
      <c r="B38" s="11">
        <v>45312</v>
      </c>
      <c r="C38" s="10" t="s">
        <v>1792</v>
      </c>
      <c r="D38" s="10" t="s">
        <v>1775</v>
      </c>
      <c r="E38" s="12">
        <v>88414.58</v>
      </c>
      <c r="F38" s="10" t="s">
        <v>1793</v>
      </c>
    </row>
    <row r="39" spans="1:6" x14ac:dyDescent="0.25">
      <c r="A39" s="13" t="s">
        <v>1848</v>
      </c>
      <c r="B39" s="14">
        <v>45315</v>
      </c>
      <c r="C39" s="13" t="s">
        <v>1792</v>
      </c>
      <c r="D39" s="13" t="s">
        <v>1778</v>
      </c>
      <c r="E39" s="15">
        <v>20542.599999999999</v>
      </c>
      <c r="F39" s="13" t="s">
        <v>1804</v>
      </c>
    </row>
    <row r="40" spans="1:6" x14ac:dyDescent="0.25">
      <c r="A40" s="10" t="s">
        <v>1849</v>
      </c>
      <c r="B40" s="11">
        <v>45292</v>
      </c>
      <c r="C40" s="10" t="s">
        <v>1792</v>
      </c>
      <c r="D40" s="10" t="s">
        <v>1780</v>
      </c>
      <c r="E40" s="12">
        <v>8858.25</v>
      </c>
      <c r="F40" s="10" t="s">
        <v>1850</v>
      </c>
    </row>
    <row r="41" spans="1:6" x14ac:dyDescent="0.25">
      <c r="A41" s="13" t="s">
        <v>1851</v>
      </c>
      <c r="B41" s="14">
        <v>45304</v>
      </c>
      <c r="C41" s="13" t="s">
        <v>1792</v>
      </c>
      <c r="D41" s="13" t="s">
        <v>1783</v>
      </c>
      <c r="E41" s="15">
        <v>13585.7</v>
      </c>
      <c r="F41" s="13" t="s">
        <v>1852</v>
      </c>
    </row>
    <row r="42" spans="1:6" x14ac:dyDescent="0.25">
      <c r="A42" s="10" t="s">
        <v>1853</v>
      </c>
      <c r="B42" s="11">
        <v>45307</v>
      </c>
      <c r="C42" s="10" t="s">
        <v>1792</v>
      </c>
      <c r="D42" s="10" t="s">
        <v>1786</v>
      </c>
      <c r="E42" s="12">
        <v>15549.76</v>
      </c>
      <c r="F42" s="10" t="s">
        <v>1854</v>
      </c>
    </row>
    <row r="43" spans="1:6" x14ac:dyDescent="0.25">
      <c r="A43" s="13" t="s">
        <v>1855</v>
      </c>
      <c r="B43" s="14">
        <v>45300</v>
      </c>
      <c r="C43" s="13" t="s">
        <v>1792</v>
      </c>
      <c r="D43" s="13" t="s">
        <v>1789</v>
      </c>
      <c r="E43" s="15">
        <v>8138.5</v>
      </c>
      <c r="F43" s="13" t="s">
        <v>1856</v>
      </c>
    </row>
    <row r="44" spans="1:6" x14ac:dyDescent="0.25">
      <c r="A44" s="10" t="s">
        <v>1857</v>
      </c>
      <c r="B44" s="11">
        <v>45293</v>
      </c>
      <c r="C44" s="10" t="s">
        <v>1792</v>
      </c>
      <c r="D44" s="10" t="s">
        <v>1792</v>
      </c>
      <c r="E44" s="12">
        <v>16884.330000000002</v>
      </c>
      <c r="F44" s="10" t="s">
        <v>1852</v>
      </c>
    </row>
    <row r="45" spans="1:6" x14ac:dyDescent="0.25">
      <c r="A45" s="13" t="s">
        <v>1858</v>
      </c>
      <c r="B45" s="14">
        <v>45316</v>
      </c>
      <c r="C45" s="13" t="s">
        <v>1792</v>
      </c>
      <c r="D45" s="13" t="s">
        <v>1795</v>
      </c>
      <c r="E45" s="15">
        <v>5319.29</v>
      </c>
      <c r="F45" s="13" t="s">
        <v>1859</v>
      </c>
    </row>
    <row r="46" spans="1:6" x14ac:dyDescent="0.25">
      <c r="A46" s="10" t="s">
        <v>1860</v>
      </c>
      <c r="B46" s="11">
        <v>45303</v>
      </c>
      <c r="C46" s="10" t="s">
        <v>1792</v>
      </c>
      <c r="D46" s="10" t="s">
        <v>1797</v>
      </c>
      <c r="E46" s="12">
        <v>4752.25</v>
      </c>
      <c r="F46" s="10" t="s">
        <v>1816</v>
      </c>
    </row>
    <row r="47" spans="1:6" x14ac:dyDescent="0.25">
      <c r="A47" s="13" t="s">
        <v>1861</v>
      </c>
      <c r="B47" s="14">
        <v>45303</v>
      </c>
      <c r="C47" s="13" t="s">
        <v>1862</v>
      </c>
      <c r="D47" s="13" t="s">
        <v>1775</v>
      </c>
      <c r="E47" s="15">
        <v>44121.45</v>
      </c>
      <c r="F47" s="13" t="s">
        <v>1863</v>
      </c>
    </row>
    <row r="48" spans="1:6" x14ac:dyDescent="0.25">
      <c r="A48" s="10" t="s">
        <v>1864</v>
      </c>
      <c r="B48" s="11">
        <v>45308</v>
      </c>
      <c r="C48" s="10" t="s">
        <v>1862</v>
      </c>
      <c r="D48" s="10" t="s">
        <v>1778</v>
      </c>
      <c r="E48" s="12">
        <v>7443.46</v>
      </c>
      <c r="F48" s="10" t="s">
        <v>1865</v>
      </c>
    </row>
    <row r="49" spans="1:6" x14ac:dyDescent="0.25">
      <c r="A49" s="13" t="s">
        <v>1866</v>
      </c>
      <c r="B49" s="14">
        <v>45294</v>
      </c>
      <c r="C49" s="13" t="s">
        <v>1862</v>
      </c>
      <c r="D49" s="13" t="s">
        <v>1780</v>
      </c>
      <c r="E49" s="15">
        <v>3961.42</v>
      </c>
      <c r="F49" s="13" t="s">
        <v>1867</v>
      </c>
    </row>
    <row r="50" spans="1:6" x14ac:dyDescent="0.25">
      <c r="A50" s="10" t="s">
        <v>1868</v>
      </c>
      <c r="B50" s="11">
        <v>45302</v>
      </c>
      <c r="C50" s="10" t="s">
        <v>1862</v>
      </c>
      <c r="D50" s="10" t="s">
        <v>1783</v>
      </c>
      <c r="E50" s="12">
        <v>7110.34</v>
      </c>
      <c r="F50" s="10" t="s">
        <v>1826</v>
      </c>
    </row>
    <row r="51" spans="1:6" x14ac:dyDescent="0.25">
      <c r="A51" s="13" t="s">
        <v>1869</v>
      </c>
      <c r="B51" s="14">
        <v>45302</v>
      </c>
      <c r="C51" s="13" t="s">
        <v>1862</v>
      </c>
      <c r="D51" s="13" t="s">
        <v>1786</v>
      </c>
      <c r="E51" s="15">
        <v>7387.26</v>
      </c>
      <c r="F51" s="13" t="s">
        <v>1826</v>
      </c>
    </row>
    <row r="52" spans="1:6" x14ac:dyDescent="0.25">
      <c r="A52" s="10" t="s">
        <v>1870</v>
      </c>
      <c r="B52" s="11">
        <v>45301</v>
      </c>
      <c r="C52" s="10" t="s">
        <v>1862</v>
      </c>
      <c r="D52" s="10" t="s">
        <v>1789</v>
      </c>
      <c r="E52" s="12">
        <v>4441.58</v>
      </c>
      <c r="F52" s="10" t="s">
        <v>1871</v>
      </c>
    </row>
    <row r="53" spans="1:6" x14ac:dyDescent="0.25">
      <c r="A53" s="13" t="s">
        <v>1872</v>
      </c>
      <c r="B53" s="14">
        <v>45292</v>
      </c>
      <c r="C53" s="13" t="s">
        <v>1862</v>
      </c>
      <c r="D53" s="13" t="s">
        <v>1792</v>
      </c>
      <c r="E53" s="15">
        <v>6539.45</v>
      </c>
      <c r="F53" s="13" t="s">
        <v>1802</v>
      </c>
    </row>
    <row r="54" spans="1:6" x14ac:dyDescent="0.25">
      <c r="A54" s="10" t="s">
        <v>1873</v>
      </c>
      <c r="B54" s="11">
        <v>45293</v>
      </c>
      <c r="C54" s="10" t="s">
        <v>1862</v>
      </c>
      <c r="D54" s="10" t="s">
        <v>1795</v>
      </c>
      <c r="E54" s="12">
        <v>2475.08</v>
      </c>
      <c r="F54" s="10" t="s">
        <v>1836</v>
      </c>
    </row>
    <row r="55" spans="1:6" x14ac:dyDescent="0.25">
      <c r="A55" s="13" t="s">
        <v>1874</v>
      </c>
      <c r="B55" s="14">
        <v>45292</v>
      </c>
      <c r="C55" s="13" t="s">
        <v>1862</v>
      </c>
      <c r="D55" s="13" t="s">
        <v>1797</v>
      </c>
      <c r="E55" s="15">
        <v>2480.19</v>
      </c>
      <c r="F55" s="13" t="s">
        <v>1875</v>
      </c>
    </row>
    <row r="56" spans="1:6" x14ac:dyDescent="0.25">
      <c r="A56" s="10" t="s">
        <v>1876</v>
      </c>
      <c r="B56" s="11">
        <v>45298</v>
      </c>
      <c r="C56" s="10" t="s">
        <v>1877</v>
      </c>
      <c r="D56" s="10" t="s">
        <v>1775</v>
      </c>
      <c r="E56" s="12">
        <v>54108.98</v>
      </c>
      <c r="F56" s="10" t="s">
        <v>1850</v>
      </c>
    </row>
    <row r="57" spans="1:6" x14ac:dyDescent="0.25">
      <c r="A57" s="13" t="s">
        <v>1878</v>
      </c>
      <c r="B57" s="14">
        <v>45293</v>
      </c>
      <c r="C57" s="13" t="s">
        <v>1877</v>
      </c>
      <c r="D57" s="13" t="s">
        <v>1778</v>
      </c>
      <c r="E57" s="15">
        <v>14178.92</v>
      </c>
      <c r="F57" s="13" t="s">
        <v>1787</v>
      </c>
    </row>
    <row r="58" spans="1:6" x14ac:dyDescent="0.25">
      <c r="A58" s="10" t="s">
        <v>1879</v>
      </c>
      <c r="B58" s="11">
        <v>45306</v>
      </c>
      <c r="C58" s="10" t="s">
        <v>1877</v>
      </c>
      <c r="D58" s="10" t="s">
        <v>1780</v>
      </c>
      <c r="E58" s="12">
        <v>7216.43</v>
      </c>
      <c r="F58" s="10" t="s">
        <v>1880</v>
      </c>
    </row>
    <row r="59" spans="1:6" x14ac:dyDescent="0.25">
      <c r="A59" s="13" t="s">
        <v>1881</v>
      </c>
      <c r="B59" s="14">
        <v>45297</v>
      </c>
      <c r="C59" s="13" t="s">
        <v>1877</v>
      </c>
      <c r="D59" s="13" t="s">
        <v>1783</v>
      </c>
      <c r="E59" s="15">
        <v>11725.69</v>
      </c>
      <c r="F59" s="13" t="s">
        <v>1882</v>
      </c>
    </row>
    <row r="60" spans="1:6" x14ac:dyDescent="0.25">
      <c r="A60" s="10" t="s">
        <v>1883</v>
      </c>
      <c r="B60" s="11">
        <v>45308</v>
      </c>
      <c r="C60" s="10" t="s">
        <v>1877</v>
      </c>
      <c r="D60" s="10" t="s">
        <v>1786</v>
      </c>
      <c r="E60" s="12">
        <v>8895.98</v>
      </c>
      <c r="F60" s="10" t="s">
        <v>1884</v>
      </c>
    </row>
    <row r="61" spans="1:6" x14ac:dyDescent="0.25">
      <c r="A61" s="13" t="s">
        <v>1885</v>
      </c>
      <c r="B61" s="14">
        <v>45316</v>
      </c>
      <c r="C61" s="13" t="s">
        <v>1877</v>
      </c>
      <c r="D61" s="13" t="s">
        <v>1789</v>
      </c>
      <c r="E61" s="15">
        <v>5364.51</v>
      </c>
      <c r="F61" s="13" t="s">
        <v>1886</v>
      </c>
    </row>
    <row r="62" spans="1:6" x14ac:dyDescent="0.25">
      <c r="A62" s="10" t="s">
        <v>1887</v>
      </c>
      <c r="B62" s="11">
        <v>45302</v>
      </c>
      <c r="C62" s="10" t="s">
        <v>1877</v>
      </c>
      <c r="D62" s="10" t="s">
        <v>1792</v>
      </c>
      <c r="E62" s="12">
        <v>11495.16</v>
      </c>
      <c r="F62" s="10" t="s">
        <v>1888</v>
      </c>
    </row>
    <row r="63" spans="1:6" x14ac:dyDescent="0.25">
      <c r="A63" s="13" t="s">
        <v>1889</v>
      </c>
      <c r="B63" s="14">
        <v>45295</v>
      </c>
      <c r="C63" s="13" t="s">
        <v>1877</v>
      </c>
      <c r="D63" s="13" t="s">
        <v>1795</v>
      </c>
      <c r="E63" s="15">
        <v>4038.39</v>
      </c>
      <c r="F63" s="13" t="s">
        <v>1844</v>
      </c>
    </row>
    <row r="64" spans="1:6" x14ac:dyDescent="0.25">
      <c r="A64" s="10" t="s">
        <v>1890</v>
      </c>
      <c r="B64" s="11">
        <v>45312</v>
      </c>
      <c r="C64" s="10" t="s">
        <v>1877</v>
      </c>
      <c r="D64" s="10" t="s">
        <v>1797</v>
      </c>
      <c r="E64" s="12">
        <v>3283.1</v>
      </c>
      <c r="F64" s="10" t="s">
        <v>1891</v>
      </c>
    </row>
    <row r="65" spans="1:6" x14ac:dyDescent="0.25">
      <c r="A65" s="13" t="s">
        <v>1892</v>
      </c>
      <c r="B65" s="14">
        <v>45332</v>
      </c>
      <c r="C65" s="13" t="s">
        <v>1774</v>
      </c>
      <c r="D65" s="13" t="s">
        <v>1775</v>
      </c>
      <c r="E65" s="15">
        <v>94170.07</v>
      </c>
      <c r="F65" s="13" t="s">
        <v>1808</v>
      </c>
    </row>
    <row r="66" spans="1:6" x14ac:dyDescent="0.25">
      <c r="A66" s="10" t="s">
        <v>1893</v>
      </c>
      <c r="B66" s="11">
        <v>45325</v>
      </c>
      <c r="C66" s="10" t="s">
        <v>1774</v>
      </c>
      <c r="D66" s="10" t="s">
        <v>1778</v>
      </c>
      <c r="E66" s="12">
        <v>22930.240000000002</v>
      </c>
      <c r="F66" s="10" t="s">
        <v>1816</v>
      </c>
    </row>
    <row r="67" spans="1:6" x14ac:dyDescent="0.25">
      <c r="A67" s="13" t="s">
        <v>1894</v>
      </c>
      <c r="B67" s="14">
        <v>45326</v>
      </c>
      <c r="C67" s="13" t="s">
        <v>1774</v>
      </c>
      <c r="D67" s="13" t="s">
        <v>1780</v>
      </c>
      <c r="E67" s="15">
        <v>10848.23</v>
      </c>
      <c r="F67" s="13" t="s">
        <v>1790</v>
      </c>
    </row>
    <row r="68" spans="1:6" x14ac:dyDescent="0.25">
      <c r="A68" s="10" t="s">
        <v>1895</v>
      </c>
      <c r="B68" s="11">
        <v>45334</v>
      </c>
      <c r="C68" s="10" t="s">
        <v>1774</v>
      </c>
      <c r="D68" s="10" t="s">
        <v>1783</v>
      </c>
      <c r="E68" s="12">
        <v>14571.65</v>
      </c>
      <c r="F68" s="10" t="s">
        <v>1776</v>
      </c>
    </row>
    <row r="69" spans="1:6" x14ac:dyDescent="0.25">
      <c r="A69" s="13" t="s">
        <v>1896</v>
      </c>
      <c r="B69" s="14">
        <v>45339</v>
      </c>
      <c r="C69" s="13" t="s">
        <v>1774</v>
      </c>
      <c r="D69" s="13" t="s">
        <v>1786</v>
      </c>
      <c r="E69" s="15">
        <v>19401.55</v>
      </c>
      <c r="F69" s="13" t="s">
        <v>1784</v>
      </c>
    </row>
    <row r="70" spans="1:6" x14ac:dyDescent="0.25">
      <c r="A70" s="10" t="s">
        <v>1897</v>
      </c>
      <c r="B70" s="11">
        <v>45345</v>
      </c>
      <c r="C70" s="10" t="s">
        <v>1774</v>
      </c>
      <c r="D70" s="10" t="s">
        <v>1789</v>
      </c>
      <c r="E70" s="12">
        <v>10780.26</v>
      </c>
      <c r="F70" s="10" t="s">
        <v>1898</v>
      </c>
    </row>
    <row r="71" spans="1:6" x14ac:dyDescent="0.25">
      <c r="A71" s="13" t="s">
        <v>1899</v>
      </c>
      <c r="B71" s="14">
        <v>45330</v>
      </c>
      <c r="C71" s="13" t="s">
        <v>1774</v>
      </c>
      <c r="D71" s="13" t="s">
        <v>1792</v>
      </c>
      <c r="E71" s="15">
        <v>19537.05</v>
      </c>
      <c r="F71" s="13" t="s">
        <v>1824</v>
      </c>
    </row>
    <row r="72" spans="1:6" x14ac:dyDescent="0.25">
      <c r="A72" s="10" t="s">
        <v>1900</v>
      </c>
      <c r="B72" s="11">
        <v>45347</v>
      </c>
      <c r="C72" s="10" t="s">
        <v>1774</v>
      </c>
      <c r="D72" s="10" t="s">
        <v>1795</v>
      </c>
      <c r="E72" s="12">
        <v>6409.39</v>
      </c>
      <c r="F72" s="10" t="s">
        <v>1901</v>
      </c>
    </row>
    <row r="73" spans="1:6" x14ac:dyDescent="0.25">
      <c r="A73" s="13" t="s">
        <v>1902</v>
      </c>
      <c r="B73" s="14">
        <v>45330</v>
      </c>
      <c r="C73" s="13" t="s">
        <v>1774</v>
      </c>
      <c r="D73" s="13" t="s">
        <v>1797</v>
      </c>
      <c r="E73" s="15">
        <v>5529.01</v>
      </c>
      <c r="F73" s="13" t="s">
        <v>1886</v>
      </c>
    </row>
    <row r="74" spans="1:6" x14ac:dyDescent="0.25">
      <c r="A74" s="10" t="s">
        <v>1903</v>
      </c>
      <c r="B74" s="11">
        <v>45348</v>
      </c>
      <c r="C74" s="10" t="s">
        <v>1799</v>
      </c>
      <c r="D74" s="10" t="s">
        <v>1775</v>
      </c>
      <c r="E74" s="12">
        <v>54221.88</v>
      </c>
      <c r="F74" s="10" t="s">
        <v>1904</v>
      </c>
    </row>
    <row r="75" spans="1:6" x14ac:dyDescent="0.25">
      <c r="A75" s="13" t="s">
        <v>1905</v>
      </c>
      <c r="B75" s="14">
        <v>45344</v>
      </c>
      <c r="C75" s="13" t="s">
        <v>1799</v>
      </c>
      <c r="D75" s="13" t="s">
        <v>1778</v>
      </c>
      <c r="E75" s="15">
        <v>8828.2800000000007</v>
      </c>
      <c r="F75" s="13" t="s">
        <v>1906</v>
      </c>
    </row>
    <row r="76" spans="1:6" x14ac:dyDescent="0.25">
      <c r="A76" s="10" t="s">
        <v>1907</v>
      </c>
      <c r="B76" s="11">
        <v>45332</v>
      </c>
      <c r="C76" s="10" t="s">
        <v>1799</v>
      </c>
      <c r="D76" s="10" t="s">
        <v>1780</v>
      </c>
      <c r="E76" s="12">
        <v>5289.85</v>
      </c>
      <c r="F76" s="10" t="s">
        <v>1830</v>
      </c>
    </row>
    <row r="77" spans="1:6" x14ac:dyDescent="0.25">
      <c r="A77" s="13" t="s">
        <v>1908</v>
      </c>
      <c r="B77" s="14">
        <v>45330</v>
      </c>
      <c r="C77" s="13" t="s">
        <v>1799</v>
      </c>
      <c r="D77" s="13" t="s">
        <v>1783</v>
      </c>
      <c r="E77" s="15">
        <v>8430.23</v>
      </c>
      <c r="F77" s="13" t="s">
        <v>1875</v>
      </c>
    </row>
    <row r="78" spans="1:6" x14ac:dyDescent="0.25">
      <c r="A78" s="10" t="s">
        <v>1909</v>
      </c>
      <c r="B78" s="11">
        <v>45325</v>
      </c>
      <c r="C78" s="10" t="s">
        <v>1799</v>
      </c>
      <c r="D78" s="10" t="s">
        <v>1786</v>
      </c>
      <c r="E78" s="12">
        <v>7147.69</v>
      </c>
      <c r="F78" s="10" t="s">
        <v>1787</v>
      </c>
    </row>
    <row r="79" spans="1:6" x14ac:dyDescent="0.25">
      <c r="A79" s="13" t="s">
        <v>1910</v>
      </c>
      <c r="B79" s="14">
        <v>45347</v>
      </c>
      <c r="C79" s="13" t="s">
        <v>1799</v>
      </c>
      <c r="D79" s="13" t="s">
        <v>1789</v>
      </c>
      <c r="E79" s="15">
        <v>4664.93</v>
      </c>
      <c r="F79" s="13" t="s">
        <v>1884</v>
      </c>
    </row>
    <row r="80" spans="1:6" x14ac:dyDescent="0.25">
      <c r="A80" s="10" t="s">
        <v>1911</v>
      </c>
      <c r="B80" s="11">
        <v>45337</v>
      </c>
      <c r="C80" s="10" t="s">
        <v>1799</v>
      </c>
      <c r="D80" s="10" t="s">
        <v>1792</v>
      </c>
      <c r="E80" s="12">
        <v>7604.61</v>
      </c>
      <c r="F80" s="10" t="s">
        <v>1802</v>
      </c>
    </row>
    <row r="81" spans="1:6" x14ac:dyDescent="0.25">
      <c r="A81" s="13" t="s">
        <v>1912</v>
      </c>
      <c r="B81" s="14">
        <v>45324</v>
      </c>
      <c r="C81" s="13" t="s">
        <v>1799</v>
      </c>
      <c r="D81" s="13" t="s">
        <v>1795</v>
      </c>
      <c r="E81" s="15">
        <v>2727.77</v>
      </c>
      <c r="F81" s="13" t="s">
        <v>1880</v>
      </c>
    </row>
    <row r="82" spans="1:6" x14ac:dyDescent="0.25">
      <c r="A82" s="10" t="s">
        <v>1913</v>
      </c>
      <c r="B82" s="11">
        <v>45336</v>
      </c>
      <c r="C82" s="10" t="s">
        <v>1799</v>
      </c>
      <c r="D82" s="10" t="s">
        <v>1797</v>
      </c>
      <c r="E82" s="12">
        <v>2686.92</v>
      </c>
      <c r="F82" s="10" t="s">
        <v>1828</v>
      </c>
    </row>
    <row r="83" spans="1:6" x14ac:dyDescent="0.25">
      <c r="A83" s="13" t="s">
        <v>1914</v>
      </c>
      <c r="B83" s="14">
        <v>45324</v>
      </c>
      <c r="C83" s="13" t="s">
        <v>1818</v>
      </c>
      <c r="D83" s="13" t="s">
        <v>1775</v>
      </c>
      <c r="E83" s="15">
        <v>37683.4</v>
      </c>
      <c r="F83" s="13" t="s">
        <v>1802</v>
      </c>
    </row>
    <row r="84" spans="1:6" x14ac:dyDescent="0.25">
      <c r="A84" s="10" t="s">
        <v>1915</v>
      </c>
      <c r="B84" s="11">
        <v>45330</v>
      </c>
      <c r="C84" s="10" t="s">
        <v>1818</v>
      </c>
      <c r="D84" s="10" t="s">
        <v>1778</v>
      </c>
      <c r="E84" s="12">
        <v>8206.6200000000008</v>
      </c>
      <c r="F84" s="10" t="s">
        <v>1793</v>
      </c>
    </row>
    <row r="85" spans="1:6" x14ac:dyDescent="0.25">
      <c r="A85" s="13" t="s">
        <v>1916</v>
      </c>
      <c r="B85" s="14">
        <v>45325</v>
      </c>
      <c r="C85" s="13" t="s">
        <v>1818</v>
      </c>
      <c r="D85" s="13" t="s">
        <v>1780</v>
      </c>
      <c r="E85" s="15">
        <v>4157.72</v>
      </c>
      <c r="F85" s="13" t="s">
        <v>1917</v>
      </c>
    </row>
    <row r="86" spans="1:6" x14ac:dyDescent="0.25">
      <c r="A86" s="10" t="s">
        <v>1918</v>
      </c>
      <c r="B86" s="11">
        <v>45340</v>
      </c>
      <c r="C86" s="10" t="s">
        <v>1818</v>
      </c>
      <c r="D86" s="10" t="s">
        <v>1783</v>
      </c>
      <c r="E86" s="12">
        <v>6193.46</v>
      </c>
      <c r="F86" s="10" t="s">
        <v>1828</v>
      </c>
    </row>
    <row r="87" spans="1:6" x14ac:dyDescent="0.25">
      <c r="A87" s="13" t="s">
        <v>1919</v>
      </c>
      <c r="B87" s="14">
        <v>45329</v>
      </c>
      <c r="C87" s="13" t="s">
        <v>1818</v>
      </c>
      <c r="D87" s="13" t="s">
        <v>1786</v>
      </c>
      <c r="E87" s="15">
        <v>6885.72</v>
      </c>
      <c r="F87" s="13" t="s">
        <v>1826</v>
      </c>
    </row>
    <row r="88" spans="1:6" x14ac:dyDescent="0.25">
      <c r="A88" s="10" t="s">
        <v>1920</v>
      </c>
      <c r="B88" s="11">
        <v>45344</v>
      </c>
      <c r="C88" s="10" t="s">
        <v>1818</v>
      </c>
      <c r="D88" s="10" t="s">
        <v>1789</v>
      </c>
      <c r="E88" s="12">
        <v>3760.03</v>
      </c>
      <c r="F88" s="10" t="s">
        <v>1888</v>
      </c>
    </row>
    <row r="89" spans="1:6" x14ac:dyDescent="0.25">
      <c r="A89" s="13" t="s">
        <v>1921</v>
      </c>
      <c r="B89" s="14">
        <v>45340</v>
      </c>
      <c r="C89" s="13" t="s">
        <v>1818</v>
      </c>
      <c r="D89" s="13" t="s">
        <v>1792</v>
      </c>
      <c r="E89" s="15">
        <v>6786.13</v>
      </c>
      <c r="F89" s="13" t="s">
        <v>1787</v>
      </c>
    </row>
    <row r="90" spans="1:6" x14ac:dyDescent="0.25">
      <c r="A90" s="10" t="s">
        <v>1922</v>
      </c>
      <c r="B90" s="11">
        <v>45328</v>
      </c>
      <c r="C90" s="10" t="s">
        <v>1818</v>
      </c>
      <c r="D90" s="10" t="s">
        <v>1795</v>
      </c>
      <c r="E90" s="12">
        <v>2474.6</v>
      </c>
      <c r="F90" s="10" t="s">
        <v>1854</v>
      </c>
    </row>
    <row r="91" spans="1:6" x14ac:dyDescent="0.25">
      <c r="A91" s="13" t="s">
        <v>1923</v>
      </c>
      <c r="B91" s="14">
        <v>45349</v>
      </c>
      <c r="C91" s="13" t="s">
        <v>1818</v>
      </c>
      <c r="D91" s="13" t="s">
        <v>1797</v>
      </c>
      <c r="E91" s="15">
        <v>2594.4299999999998</v>
      </c>
      <c r="F91" s="13" t="s">
        <v>1924</v>
      </c>
    </row>
    <row r="92" spans="1:6" x14ac:dyDescent="0.25">
      <c r="A92" s="10" t="s">
        <v>1925</v>
      </c>
      <c r="B92" s="11">
        <v>45348</v>
      </c>
      <c r="C92" s="10" t="s">
        <v>1786</v>
      </c>
      <c r="D92" s="10" t="s">
        <v>1775</v>
      </c>
      <c r="E92" s="12">
        <v>77651.789999999994</v>
      </c>
      <c r="F92" s="10" t="s">
        <v>1863</v>
      </c>
    </row>
    <row r="93" spans="1:6" x14ac:dyDescent="0.25">
      <c r="A93" s="13" t="s">
        <v>1926</v>
      </c>
      <c r="B93" s="14">
        <v>45331</v>
      </c>
      <c r="C93" s="13" t="s">
        <v>1786</v>
      </c>
      <c r="D93" s="13" t="s">
        <v>1778</v>
      </c>
      <c r="E93" s="15">
        <v>14716.65</v>
      </c>
      <c r="F93" s="13" t="s">
        <v>1927</v>
      </c>
    </row>
    <row r="94" spans="1:6" x14ac:dyDescent="0.25">
      <c r="A94" s="10" t="s">
        <v>1928</v>
      </c>
      <c r="B94" s="11">
        <v>45345</v>
      </c>
      <c r="C94" s="10" t="s">
        <v>1786</v>
      </c>
      <c r="D94" s="10" t="s">
        <v>1780</v>
      </c>
      <c r="E94" s="12">
        <v>7593.51</v>
      </c>
      <c r="F94" s="10" t="s">
        <v>1802</v>
      </c>
    </row>
    <row r="95" spans="1:6" x14ac:dyDescent="0.25">
      <c r="A95" s="13" t="s">
        <v>1929</v>
      </c>
      <c r="B95" s="14">
        <v>45330</v>
      </c>
      <c r="C95" s="13" t="s">
        <v>1786</v>
      </c>
      <c r="D95" s="13" t="s">
        <v>1783</v>
      </c>
      <c r="E95" s="15">
        <v>13868.02</v>
      </c>
      <c r="F95" s="13" t="s">
        <v>1930</v>
      </c>
    </row>
    <row r="96" spans="1:6" x14ac:dyDescent="0.25">
      <c r="A96" s="10" t="s">
        <v>1931</v>
      </c>
      <c r="B96" s="11">
        <v>45325</v>
      </c>
      <c r="C96" s="10" t="s">
        <v>1786</v>
      </c>
      <c r="D96" s="10" t="s">
        <v>1786</v>
      </c>
      <c r="E96" s="12">
        <v>12295.28</v>
      </c>
      <c r="F96" s="10" t="s">
        <v>1820</v>
      </c>
    </row>
    <row r="97" spans="1:6" x14ac:dyDescent="0.25">
      <c r="A97" s="13" t="s">
        <v>1932</v>
      </c>
      <c r="B97" s="14">
        <v>45346</v>
      </c>
      <c r="C97" s="13" t="s">
        <v>1786</v>
      </c>
      <c r="D97" s="13" t="s">
        <v>1789</v>
      </c>
      <c r="E97" s="15">
        <v>7405.22</v>
      </c>
      <c r="F97" s="13" t="s">
        <v>1882</v>
      </c>
    </row>
    <row r="98" spans="1:6" x14ac:dyDescent="0.25">
      <c r="A98" s="10" t="s">
        <v>1933</v>
      </c>
      <c r="B98" s="11">
        <v>45340</v>
      </c>
      <c r="C98" s="10" t="s">
        <v>1786</v>
      </c>
      <c r="D98" s="10" t="s">
        <v>1792</v>
      </c>
      <c r="E98" s="12">
        <v>10723.97</v>
      </c>
      <c r="F98" s="10" t="s">
        <v>1850</v>
      </c>
    </row>
    <row r="99" spans="1:6" x14ac:dyDescent="0.25">
      <c r="A99" s="13" t="s">
        <v>1934</v>
      </c>
      <c r="B99" s="14">
        <v>45325</v>
      </c>
      <c r="C99" s="13" t="s">
        <v>1786</v>
      </c>
      <c r="D99" s="13" t="s">
        <v>1795</v>
      </c>
      <c r="E99" s="15">
        <v>4301.26</v>
      </c>
      <c r="F99" s="13" t="s">
        <v>1935</v>
      </c>
    </row>
    <row r="100" spans="1:6" x14ac:dyDescent="0.25">
      <c r="A100" s="10" t="s">
        <v>1936</v>
      </c>
      <c r="B100" s="11">
        <v>45333</v>
      </c>
      <c r="C100" s="10" t="s">
        <v>1786</v>
      </c>
      <c r="D100" s="10" t="s">
        <v>1797</v>
      </c>
      <c r="E100" s="12">
        <v>4570.47</v>
      </c>
      <c r="F100" s="10" t="s">
        <v>1924</v>
      </c>
    </row>
    <row r="101" spans="1:6" x14ac:dyDescent="0.25">
      <c r="A101" s="13" t="s">
        <v>1937</v>
      </c>
      <c r="B101" s="14">
        <v>45338</v>
      </c>
      <c r="C101" s="13" t="s">
        <v>1792</v>
      </c>
      <c r="D101" s="13" t="s">
        <v>1775</v>
      </c>
      <c r="E101" s="15">
        <v>99065</v>
      </c>
      <c r="F101" s="13" t="s">
        <v>1924</v>
      </c>
    </row>
    <row r="102" spans="1:6" x14ac:dyDescent="0.25">
      <c r="A102" s="10" t="s">
        <v>1938</v>
      </c>
      <c r="B102" s="11">
        <v>45323</v>
      </c>
      <c r="C102" s="10" t="s">
        <v>1792</v>
      </c>
      <c r="D102" s="10" t="s">
        <v>1778</v>
      </c>
      <c r="E102" s="12">
        <v>16338.34</v>
      </c>
      <c r="F102" s="10" t="s">
        <v>1939</v>
      </c>
    </row>
    <row r="103" spans="1:6" x14ac:dyDescent="0.25">
      <c r="A103" s="13" t="s">
        <v>1940</v>
      </c>
      <c r="B103" s="14">
        <v>45349</v>
      </c>
      <c r="C103" s="13" t="s">
        <v>1792</v>
      </c>
      <c r="D103" s="13" t="s">
        <v>1780</v>
      </c>
      <c r="E103" s="15">
        <v>9988.33</v>
      </c>
      <c r="F103" s="13" t="s">
        <v>1941</v>
      </c>
    </row>
    <row r="104" spans="1:6" x14ac:dyDescent="0.25">
      <c r="A104" s="10" t="s">
        <v>1942</v>
      </c>
      <c r="B104" s="11">
        <v>45335</v>
      </c>
      <c r="C104" s="10" t="s">
        <v>1792</v>
      </c>
      <c r="D104" s="10" t="s">
        <v>1783</v>
      </c>
      <c r="E104" s="12">
        <v>15064.96</v>
      </c>
      <c r="F104" s="10" t="s">
        <v>1810</v>
      </c>
    </row>
    <row r="105" spans="1:6" x14ac:dyDescent="0.25">
      <c r="A105" s="13" t="s">
        <v>1943</v>
      </c>
      <c r="B105" s="14">
        <v>45333</v>
      </c>
      <c r="C105" s="13" t="s">
        <v>1792</v>
      </c>
      <c r="D105" s="13" t="s">
        <v>1786</v>
      </c>
      <c r="E105" s="15">
        <v>15524.82</v>
      </c>
      <c r="F105" s="13" t="s">
        <v>1854</v>
      </c>
    </row>
    <row r="106" spans="1:6" x14ac:dyDescent="0.25">
      <c r="A106" s="10" t="s">
        <v>1944</v>
      </c>
      <c r="B106" s="11">
        <v>45340</v>
      </c>
      <c r="C106" s="10" t="s">
        <v>1792</v>
      </c>
      <c r="D106" s="10" t="s">
        <v>1789</v>
      </c>
      <c r="E106" s="12">
        <v>7799.95</v>
      </c>
      <c r="F106" s="10" t="s">
        <v>1865</v>
      </c>
    </row>
    <row r="107" spans="1:6" x14ac:dyDescent="0.25">
      <c r="A107" s="13" t="s">
        <v>1945</v>
      </c>
      <c r="B107" s="14">
        <v>45325</v>
      </c>
      <c r="C107" s="13" t="s">
        <v>1792</v>
      </c>
      <c r="D107" s="13" t="s">
        <v>1792</v>
      </c>
      <c r="E107" s="15">
        <v>15773.02</v>
      </c>
      <c r="F107" s="13" t="s">
        <v>1946</v>
      </c>
    </row>
    <row r="108" spans="1:6" x14ac:dyDescent="0.25">
      <c r="A108" s="10" t="s">
        <v>1947</v>
      </c>
      <c r="B108" s="11">
        <v>45338</v>
      </c>
      <c r="C108" s="10" t="s">
        <v>1792</v>
      </c>
      <c r="D108" s="10" t="s">
        <v>1795</v>
      </c>
      <c r="E108" s="12">
        <v>5657.59</v>
      </c>
      <c r="F108" s="10" t="s">
        <v>1856</v>
      </c>
    </row>
    <row r="109" spans="1:6" x14ac:dyDescent="0.25">
      <c r="A109" s="13" t="s">
        <v>1948</v>
      </c>
      <c r="B109" s="14">
        <v>45344</v>
      </c>
      <c r="C109" s="13" t="s">
        <v>1792</v>
      </c>
      <c r="D109" s="13" t="s">
        <v>1797</v>
      </c>
      <c r="E109" s="15">
        <v>5174.95</v>
      </c>
      <c r="F109" s="13" t="s">
        <v>1939</v>
      </c>
    </row>
    <row r="110" spans="1:6" x14ac:dyDescent="0.25">
      <c r="A110" s="10" t="s">
        <v>1949</v>
      </c>
      <c r="B110" s="11">
        <v>45347</v>
      </c>
      <c r="C110" s="10" t="s">
        <v>1862</v>
      </c>
      <c r="D110" s="10" t="s">
        <v>1775</v>
      </c>
      <c r="E110" s="12">
        <v>43030.07</v>
      </c>
      <c r="F110" s="10" t="s">
        <v>1863</v>
      </c>
    </row>
    <row r="111" spans="1:6" x14ac:dyDescent="0.25">
      <c r="A111" s="13" t="s">
        <v>1950</v>
      </c>
      <c r="B111" s="14">
        <v>45329</v>
      </c>
      <c r="C111" s="13" t="s">
        <v>1862</v>
      </c>
      <c r="D111" s="13" t="s">
        <v>1778</v>
      </c>
      <c r="E111" s="15">
        <v>7498.16</v>
      </c>
      <c r="F111" s="13" t="s">
        <v>1867</v>
      </c>
    </row>
    <row r="112" spans="1:6" x14ac:dyDescent="0.25">
      <c r="A112" s="10" t="s">
        <v>1951</v>
      </c>
      <c r="B112" s="11">
        <v>45347</v>
      </c>
      <c r="C112" s="10" t="s">
        <v>1862</v>
      </c>
      <c r="D112" s="10" t="s">
        <v>1780</v>
      </c>
      <c r="E112" s="12">
        <v>5239.05</v>
      </c>
      <c r="F112" s="10" t="s">
        <v>1838</v>
      </c>
    </row>
    <row r="113" spans="1:6" x14ac:dyDescent="0.25">
      <c r="A113" s="13" t="s">
        <v>1952</v>
      </c>
      <c r="B113" s="14">
        <v>45336</v>
      </c>
      <c r="C113" s="13" t="s">
        <v>1862</v>
      </c>
      <c r="D113" s="13" t="s">
        <v>1783</v>
      </c>
      <c r="E113" s="15">
        <v>7659.49</v>
      </c>
      <c r="F113" s="13" t="s">
        <v>1814</v>
      </c>
    </row>
    <row r="114" spans="1:6" x14ac:dyDescent="0.25">
      <c r="A114" s="10" t="s">
        <v>1953</v>
      </c>
      <c r="B114" s="11">
        <v>45326</v>
      </c>
      <c r="C114" s="10" t="s">
        <v>1862</v>
      </c>
      <c r="D114" s="10" t="s">
        <v>1786</v>
      </c>
      <c r="E114" s="12">
        <v>7712.76</v>
      </c>
      <c r="F114" s="10" t="s">
        <v>1806</v>
      </c>
    </row>
    <row r="115" spans="1:6" x14ac:dyDescent="0.25">
      <c r="A115" s="13" t="s">
        <v>1954</v>
      </c>
      <c r="B115" s="14">
        <v>45344</v>
      </c>
      <c r="C115" s="13" t="s">
        <v>1862</v>
      </c>
      <c r="D115" s="13" t="s">
        <v>1789</v>
      </c>
      <c r="E115" s="15">
        <v>4625.1099999999997</v>
      </c>
      <c r="F115" s="13" t="s">
        <v>1898</v>
      </c>
    </row>
    <row r="116" spans="1:6" x14ac:dyDescent="0.25">
      <c r="A116" s="10" t="s">
        <v>1955</v>
      </c>
      <c r="B116" s="11">
        <v>45325</v>
      </c>
      <c r="C116" s="10" t="s">
        <v>1862</v>
      </c>
      <c r="D116" s="10" t="s">
        <v>1792</v>
      </c>
      <c r="E116" s="12">
        <v>6424.61</v>
      </c>
      <c r="F116" s="10" t="s">
        <v>1822</v>
      </c>
    </row>
    <row r="117" spans="1:6" x14ac:dyDescent="0.25">
      <c r="A117" s="13" t="s">
        <v>1956</v>
      </c>
      <c r="B117" s="14">
        <v>45333</v>
      </c>
      <c r="C117" s="13" t="s">
        <v>1862</v>
      </c>
      <c r="D117" s="13" t="s">
        <v>1795</v>
      </c>
      <c r="E117" s="15">
        <v>2390.08</v>
      </c>
      <c r="F117" s="13" t="s">
        <v>1820</v>
      </c>
    </row>
    <row r="118" spans="1:6" x14ac:dyDescent="0.25">
      <c r="A118" s="10" t="s">
        <v>1957</v>
      </c>
      <c r="B118" s="11">
        <v>45345</v>
      </c>
      <c r="C118" s="10" t="s">
        <v>1862</v>
      </c>
      <c r="D118" s="10" t="s">
        <v>1797</v>
      </c>
      <c r="E118" s="12">
        <v>3155.21</v>
      </c>
      <c r="F118" s="10" t="s">
        <v>1958</v>
      </c>
    </row>
    <row r="119" spans="1:6" x14ac:dyDescent="0.25">
      <c r="A119" s="13" t="s">
        <v>1959</v>
      </c>
      <c r="B119" s="14">
        <v>45335</v>
      </c>
      <c r="C119" s="13" t="s">
        <v>1877</v>
      </c>
      <c r="D119" s="13" t="s">
        <v>1775</v>
      </c>
      <c r="E119" s="15">
        <v>73390.759999999995</v>
      </c>
      <c r="F119" s="13" t="s">
        <v>1960</v>
      </c>
    </row>
    <row r="120" spans="1:6" x14ac:dyDescent="0.25">
      <c r="A120" s="10" t="s">
        <v>1961</v>
      </c>
      <c r="B120" s="11">
        <v>45323</v>
      </c>
      <c r="C120" s="10" t="s">
        <v>1877</v>
      </c>
      <c r="D120" s="10" t="s">
        <v>1778</v>
      </c>
      <c r="E120" s="12">
        <v>11878.55</v>
      </c>
      <c r="F120" s="10" t="s">
        <v>1888</v>
      </c>
    </row>
    <row r="121" spans="1:6" x14ac:dyDescent="0.25">
      <c r="A121" s="13" t="s">
        <v>1962</v>
      </c>
      <c r="B121" s="14">
        <v>45327</v>
      </c>
      <c r="C121" s="13" t="s">
        <v>1877</v>
      </c>
      <c r="D121" s="13" t="s">
        <v>1780</v>
      </c>
      <c r="E121" s="15">
        <v>6169.89</v>
      </c>
      <c r="F121" s="13" t="s">
        <v>1888</v>
      </c>
    </row>
    <row r="122" spans="1:6" x14ac:dyDescent="0.25">
      <c r="A122" s="10" t="s">
        <v>1963</v>
      </c>
      <c r="B122" s="11">
        <v>45328</v>
      </c>
      <c r="C122" s="10" t="s">
        <v>1877</v>
      </c>
      <c r="D122" s="10" t="s">
        <v>1783</v>
      </c>
      <c r="E122" s="12">
        <v>9799.69</v>
      </c>
      <c r="F122" s="10" t="s">
        <v>1935</v>
      </c>
    </row>
    <row r="123" spans="1:6" x14ac:dyDescent="0.25">
      <c r="A123" s="13" t="s">
        <v>1964</v>
      </c>
      <c r="B123" s="14">
        <v>45345</v>
      </c>
      <c r="C123" s="13" t="s">
        <v>1877</v>
      </c>
      <c r="D123" s="13" t="s">
        <v>1786</v>
      </c>
      <c r="E123" s="15">
        <v>9809.15</v>
      </c>
      <c r="F123" s="13" t="s">
        <v>1784</v>
      </c>
    </row>
    <row r="124" spans="1:6" x14ac:dyDescent="0.25">
      <c r="A124" s="10" t="s">
        <v>1965</v>
      </c>
      <c r="B124" s="11">
        <v>45325</v>
      </c>
      <c r="C124" s="10" t="s">
        <v>1877</v>
      </c>
      <c r="D124" s="10" t="s">
        <v>1789</v>
      </c>
      <c r="E124" s="12">
        <v>5805.89</v>
      </c>
      <c r="F124" s="10" t="s">
        <v>1833</v>
      </c>
    </row>
    <row r="125" spans="1:6" x14ac:dyDescent="0.25">
      <c r="A125" s="13" t="s">
        <v>1966</v>
      </c>
      <c r="B125" s="14">
        <v>45331</v>
      </c>
      <c r="C125" s="13" t="s">
        <v>1877</v>
      </c>
      <c r="D125" s="13" t="s">
        <v>1792</v>
      </c>
      <c r="E125" s="15">
        <v>11031.84</v>
      </c>
      <c r="F125" s="13" t="s">
        <v>1844</v>
      </c>
    </row>
    <row r="126" spans="1:6" x14ac:dyDescent="0.25">
      <c r="A126" s="10" t="s">
        <v>1967</v>
      </c>
      <c r="B126" s="11">
        <v>45341</v>
      </c>
      <c r="C126" s="10" t="s">
        <v>1877</v>
      </c>
      <c r="D126" s="10" t="s">
        <v>1795</v>
      </c>
      <c r="E126" s="12">
        <v>4120.96</v>
      </c>
      <c r="F126" s="10" t="s">
        <v>1968</v>
      </c>
    </row>
    <row r="127" spans="1:6" x14ac:dyDescent="0.25">
      <c r="A127" s="13" t="s">
        <v>1969</v>
      </c>
      <c r="B127" s="14">
        <v>45341</v>
      </c>
      <c r="C127" s="13" t="s">
        <v>1877</v>
      </c>
      <c r="D127" s="13" t="s">
        <v>1797</v>
      </c>
      <c r="E127" s="15">
        <v>4314.0200000000004</v>
      </c>
      <c r="F127" s="13" t="s">
        <v>1970</v>
      </c>
    </row>
    <row r="128" spans="1:6" x14ac:dyDescent="0.25">
      <c r="A128" s="10" t="s">
        <v>1971</v>
      </c>
      <c r="B128" s="11">
        <v>45362</v>
      </c>
      <c r="C128" s="10" t="s">
        <v>1774</v>
      </c>
      <c r="D128" s="10" t="s">
        <v>1775</v>
      </c>
      <c r="E128" s="12">
        <v>121526.2</v>
      </c>
      <c r="F128" s="10" t="s">
        <v>1970</v>
      </c>
    </row>
    <row r="129" spans="1:6" x14ac:dyDescent="0.25">
      <c r="A129" s="13" t="s">
        <v>1972</v>
      </c>
      <c r="B129" s="14">
        <v>45355</v>
      </c>
      <c r="C129" s="13" t="s">
        <v>1774</v>
      </c>
      <c r="D129" s="13" t="s">
        <v>1778</v>
      </c>
      <c r="E129" s="15">
        <v>22308.55</v>
      </c>
      <c r="F129" s="13" t="s">
        <v>1844</v>
      </c>
    </row>
    <row r="130" spans="1:6" x14ac:dyDescent="0.25">
      <c r="A130" s="10" t="s">
        <v>1973</v>
      </c>
      <c r="B130" s="11">
        <v>45363</v>
      </c>
      <c r="C130" s="10" t="s">
        <v>1774</v>
      </c>
      <c r="D130" s="10" t="s">
        <v>1780</v>
      </c>
      <c r="E130" s="12">
        <v>10285.700000000001</v>
      </c>
      <c r="F130" s="10" t="s">
        <v>1917</v>
      </c>
    </row>
    <row r="131" spans="1:6" x14ac:dyDescent="0.25">
      <c r="A131" s="13" t="s">
        <v>1974</v>
      </c>
      <c r="B131" s="14">
        <v>45376</v>
      </c>
      <c r="C131" s="13" t="s">
        <v>1774</v>
      </c>
      <c r="D131" s="13" t="s">
        <v>1783</v>
      </c>
      <c r="E131" s="15">
        <v>15140.25</v>
      </c>
      <c r="F131" s="13" t="s">
        <v>1888</v>
      </c>
    </row>
    <row r="132" spans="1:6" x14ac:dyDescent="0.25">
      <c r="A132" s="10" t="s">
        <v>1975</v>
      </c>
      <c r="B132" s="11">
        <v>45378</v>
      </c>
      <c r="C132" s="10" t="s">
        <v>1774</v>
      </c>
      <c r="D132" s="10" t="s">
        <v>1786</v>
      </c>
      <c r="E132" s="12">
        <v>19423.86</v>
      </c>
      <c r="F132" s="10" t="s">
        <v>1935</v>
      </c>
    </row>
    <row r="133" spans="1:6" x14ac:dyDescent="0.25">
      <c r="A133" s="13" t="s">
        <v>1976</v>
      </c>
      <c r="B133" s="14">
        <v>45375</v>
      </c>
      <c r="C133" s="13" t="s">
        <v>1774</v>
      </c>
      <c r="D133" s="13" t="s">
        <v>1789</v>
      </c>
      <c r="E133" s="15">
        <v>9613.9599999999991</v>
      </c>
      <c r="F133" s="13" t="s">
        <v>1977</v>
      </c>
    </row>
    <row r="134" spans="1:6" x14ac:dyDescent="0.25">
      <c r="A134" s="10" t="s">
        <v>1978</v>
      </c>
      <c r="B134" s="11">
        <v>45354</v>
      </c>
      <c r="C134" s="10" t="s">
        <v>1774</v>
      </c>
      <c r="D134" s="10" t="s">
        <v>1792</v>
      </c>
      <c r="E134" s="12">
        <v>17583.12</v>
      </c>
      <c r="F134" s="10" t="s">
        <v>1979</v>
      </c>
    </row>
    <row r="135" spans="1:6" x14ac:dyDescent="0.25">
      <c r="A135" s="13" t="s">
        <v>1980</v>
      </c>
      <c r="B135" s="14">
        <v>45371</v>
      </c>
      <c r="C135" s="13" t="s">
        <v>1774</v>
      </c>
      <c r="D135" s="13" t="s">
        <v>1795</v>
      </c>
      <c r="E135" s="15">
        <v>7923.31</v>
      </c>
      <c r="F135" s="13" t="s">
        <v>1820</v>
      </c>
    </row>
    <row r="136" spans="1:6" x14ac:dyDescent="0.25">
      <c r="A136" s="10" t="s">
        <v>1981</v>
      </c>
      <c r="B136" s="11">
        <v>45371</v>
      </c>
      <c r="C136" s="10" t="s">
        <v>1774</v>
      </c>
      <c r="D136" s="10" t="s">
        <v>1797</v>
      </c>
      <c r="E136" s="12">
        <v>6662.23</v>
      </c>
      <c r="F136" s="10" t="s">
        <v>1776</v>
      </c>
    </row>
    <row r="137" spans="1:6" x14ac:dyDescent="0.25">
      <c r="A137" s="13" t="s">
        <v>1982</v>
      </c>
      <c r="B137" s="14">
        <v>45363</v>
      </c>
      <c r="C137" s="13" t="s">
        <v>1799</v>
      </c>
      <c r="D137" s="13" t="s">
        <v>1775</v>
      </c>
      <c r="E137" s="15">
        <v>50809.04</v>
      </c>
      <c r="F137" s="13" t="s">
        <v>1867</v>
      </c>
    </row>
    <row r="138" spans="1:6" x14ac:dyDescent="0.25">
      <c r="A138" s="10" t="s">
        <v>1983</v>
      </c>
      <c r="B138" s="11">
        <v>45364</v>
      </c>
      <c r="C138" s="10" t="s">
        <v>1799</v>
      </c>
      <c r="D138" s="10" t="s">
        <v>1778</v>
      </c>
      <c r="E138" s="12">
        <v>10210.15</v>
      </c>
      <c r="F138" s="10" t="s">
        <v>1833</v>
      </c>
    </row>
    <row r="139" spans="1:6" x14ac:dyDescent="0.25">
      <c r="A139" s="13" t="s">
        <v>1984</v>
      </c>
      <c r="B139" s="14">
        <v>45372</v>
      </c>
      <c r="C139" s="13" t="s">
        <v>1799</v>
      </c>
      <c r="D139" s="13" t="s">
        <v>1780</v>
      </c>
      <c r="E139" s="15">
        <v>4121.79</v>
      </c>
      <c r="F139" s="13" t="s">
        <v>1985</v>
      </c>
    </row>
    <row r="140" spans="1:6" x14ac:dyDescent="0.25">
      <c r="A140" s="10" t="s">
        <v>1986</v>
      </c>
      <c r="B140" s="11">
        <v>45354</v>
      </c>
      <c r="C140" s="10" t="s">
        <v>1799</v>
      </c>
      <c r="D140" s="10" t="s">
        <v>1783</v>
      </c>
      <c r="E140" s="12">
        <v>6850.22</v>
      </c>
      <c r="F140" s="10" t="s">
        <v>1852</v>
      </c>
    </row>
    <row r="141" spans="1:6" x14ac:dyDescent="0.25">
      <c r="A141" s="13" t="s">
        <v>1987</v>
      </c>
      <c r="B141" s="14">
        <v>45367</v>
      </c>
      <c r="C141" s="13" t="s">
        <v>1799</v>
      </c>
      <c r="D141" s="13" t="s">
        <v>1786</v>
      </c>
      <c r="E141" s="15">
        <v>9024.15</v>
      </c>
      <c r="F141" s="13" t="s">
        <v>1988</v>
      </c>
    </row>
    <row r="142" spans="1:6" x14ac:dyDescent="0.25">
      <c r="A142" s="10" t="s">
        <v>1989</v>
      </c>
      <c r="B142" s="11">
        <v>45366</v>
      </c>
      <c r="C142" s="10" t="s">
        <v>1799</v>
      </c>
      <c r="D142" s="10" t="s">
        <v>1789</v>
      </c>
      <c r="E142" s="12">
        <v>5069.01</v>
      </c>
      <c r="F142" s="10" t="s">
        <v>1990</v>
      </c>
    </row>
    <row r="143" spans="1:6" x14ac:dyDescent="0.25">
      <c r="A143" s="13" t="s">
        <v>1991</v>
      </c>
      <c r="B143" s="14">
        <v>45373</v>
      </c>
      <c r="C143" s="13" t="s">
        <v>1799</v>
      </c>
      <c r="D143" s="13" t="s">
        <v>1792</v>
      </c>
      <c r="E143" s="15">
        <v>7429.38</v>
      </c>
      <c r="F143" s="13" t="s">
        <v>1816</v>
      </c>
    </row>
    <row r="144" spans="1:6" x14ac:dyDescent="0.25">
      <c r="A144" s="10" t="s">
        <v>1992</v>
      </c>
      <c r="B144" s="11">
        <v>45374</v>
      </c>
      <c r="C144" s="10" t="s">
        <v>1799</v>
      </c>
      <c r="D144" s="10" t="s">
        <v>1795</v>
      </c>
      <c r="E144" s="12">
        <v>3140.61</v>
      </c>
      <c r="F144" s="10" t="s">
        <v>1833</v>
      </c>
    </row>
    <row r="145" spans="1:6" x14ac:dyDescent="0.25">
      <c r="A145" s="13" t="s">
        <v>1993</v>
      </c>
      <c r="B145" s="14">
        <v>45369</v>
      </c>
      <c r="C145" s="13" t="s">
        <v>1799</v>
      </c>
      <c r="D145" s="13" t="s">
        <v>1797</v>
      </c>
      <c r="E145" s="15">
        <v>2910.22</v>
      </c>
      <c r="F145" s="13" t="s">
        <v>1804</v>
      </c>
    </row>
    <row r="146" spans="1:6" x14ac:dyDescent="0.25">
      <c r="A146" s="10" t="s">
        <v>1994</v>
      </c>
      <c r="B146" s="11">
        <v>45374</v>
      </c>
      <c r="C146" s="10" t="s">
        <v>1818</v>
      </c>
      <c r="D146" s="10" t="s">
        <v>1775</v>
      </c>
      <c r="E146" s="12">
        <v>44346.75</v>
      </c>
      <c r="F146" s="10" t="s">
        <v>1979</v>
      </c>
    </row>
    <row r="147" spans="1:6" x14ac:dyDescent="0.25">
      <c r="A147" s="13" t="s">
        <v>1995</v>
      </c>
      <c r="B147" s="14">
        <v>45369</v>
      </c>
      <c r="C147" s="13" t="s">
        <v>1818</v>
      </c>
      <c r="D147" s="13" t="s">
        <v>1778</v>
      </c>
      <c r="E147" s="15">
        <v>9579.2900000000009</v>
      </c>
      <c r="F147" s="13" t="s">
        <v>1958</v>
      </c>
    </row>
    <row r="148" spans="1:6" x14ac:dyDescent="0.25">
      <c r="A148" s="10" t="s">
        <v>1996</v>
      </c>
      <c r="B148" s="11">
        <v>45358</v>
      </c>
      <c r="C148" s="10" t="s">
        <v>1818</v>
      </c>
      <c r="D148" s="10" t="s">
        <v>1780</v>
      </c>
      <c r="E148" s="12">
        <v>4437.22</v>
      </c>
      <c r="F148" s="10" t="s">
        <v>1997</v>
      </c>
    </row>
    <row r="149" spans="1:6" x14ac:dyDescent="0.25">
      <c r="A149" s="13" t="s">
        <v>1998</v>
      </c>
      <c r="B149" s="14">
        <v>45363</v>
      </c>
      <c r="C149" s="13" t="s">
        <v>1818</v>
      </c>
      <c r="D149" s="13" t="s">
        <v>1783</v>
      </c>
      <c r="E149" s="15">
        <v>6910.65</v>
      </c>
      <c r="F149" s="13" t="s">
        <v>1946</v>
      </c>
    </row>
    <row r="150" spans="1:6" x14ac:dyDescent="0.25">
      <c r="A150" s="10" t="s">
        <v>1999</v>
      </c>
      <c r="B150" s="11">
        <v>45373</v>
      </c>
      <c r="C150" s="10" t="s">
        <v>1818</v>
      </c>
      <c r="D150" s="10" t="s">
        <v>1786</v>
      </c>
      <c r="E150" s="12">
        <v>7105.75</v>
      </c>
      <c r="F150" s="10" t="s">
        <v>1824</v>
      </c>
    </row>
    <row r="151" spans="1:6" x14ac:dyDescent="0.25">
      <c r="A151" s="13" t="s">
        <v>2000</v>
      </c>
      <c r="B151" s="14">
        <v>45353</v>
      </c>
      <c r="C151" s="13" t="s">
        <v>1818</v>
      </c>
      <c r="D151" s="13" t="s">
        <v>1789</v>
      </c>
      <c r="E151" s="15">
        <v>3853.73</v>
      </c>
      <c r="F151" s="13" t="s">
        <v>1977</v>
      </c>
    </row>
    <row r="152" spans="1:6" x14ac:dyDescent="0.25">
      <c r="A152" s="10" t="s">
        <v>2001</v>
      </c>
      <c r="B152" s="11">
        <v>45370</v>
      </c>
      <c r="C152" s="10" t="s">
        <v>1818</v>
      </c>
      <c r="D152" s="10" t="s">
        <v>1792</v>
      </c>
      <c r="E152" s="12">
        <v>6003.94</v>
      </c>
      <c r="F152" s="10" t="s">
        <v>1886</v>
      </c>
    </row>
    <row r="153" spans="1:6" x14ac:dyDescent="0.25">
      <c r="A153" s="13" t="s">
        <v>2002</v>
      </c>
      <c r="B153" s="14">
        <v>45356</v>
      </c>
      <c r="C153" s="13" t="s">
        <v>1818</v>
      </c>
      <c r="D153" s="13" t="s">
        <v>1795</v>
      </c>
      <c r="E153" s="15">
        <v>2665.93</v>
      </c>
      <c r="F153" s="13" t="s">
        <v>1882</v>
      </c>
    </row>
    <row r="154" spans="1:6" x14ac:dyDescent="0.25">
      <c r="A154" s="10" t="s">
        <v>2003</v>
      </c>
      <c r="B154" s="11">
        <v>45364</v>
      </c>
      <c r="C154" s="10" t="s">
        <v>1818</v>
      </c>
      <c r="D154" s="10" t="s">
        <v>1797</v>
      </c>
      <c r="E154" s="12">
        <v>2374.5500000000002</v>
      </c>
      <c r="F154" s="10" t="s">
        <v>1917</v>
      </c>
    </row>
    <row r="155" spans="1:6" x14ac:dyDescent="0.25">
      <c r="A155" s="13" t="s">
        <v>2004</v>
      </c>
      <c r="B155" s="14">
        <v>45358</v>
      </c>
      <c r="C155" s="13" t="s">
        <v>1786</v>
      </c>
      <c r="D155" s="13" t="s">
        <v>1775</v>
      </c>
      <c r="E155" s="15">
        <v>74066.61</v>
      </c>
      <c r="F155" s="13" t="s">
        <v>2005</v>
      </c>
    </row>
    <row r="156" spans="1:6" x14ac:dyDescent="0.25">
      <c r="A156" s="10" t="s">
        <v>2006</v>
      </c>
      <c r="B156" s="11">
        <v>45365</v>
      </c>
      <c r="C156" s="10" t="s">
        <v>1786</v>
      </c>
      <c r="D156" s="10" t="s">
        <v>1778</v>
      </c>
      <c r="E156" s="12">
        <v>14397.38</v>
      </c>
      <c r="F156" s="10" t="s">
        <v>1784</v>
      </c>
    </row>
    <row r="157" spans="1:6" x14ac:dyDescent="0.25">
      <c r="A157" s="13" t="s">
        <v>2007</v>
      </c>
      <c r="B157" s="14">
        <v>45353</v>
      </c>
      <c r="C157" s="13" t="s">
        <v>1786</v>
      </c>
      <c r="D157" s="13" t="s">
        <v>1780</v>
      </c>
      <c r="E157" s="15">
        <v>7336.1</v>
      </c>
      <c r="F157" s="13" t="s">
        <v>1939</v>
      </c>
    </row>
    <row r="158" spans="1:6" x14ac:dyDescent="0.25">
      <c r="A158" s="10" t="s">
        <v>2008</v>
      </c>
      <c r="B158" s="11">
        <v>45363</v>
      </c>
      <c r="C158" s="10" t="s">
        <v>1786</v>
      </c>
      <c r="D158" s="10" t="s">
        <v>1783</v>
      </c>
      <c r="E158" s="12">
        <v>11431.51</v>
      </c>
      <c r="F158" s="10" t="s">
        <v>1828</v>
      </c>
    </row>
    <row r="159" spans="1:6" x14ac:dyDescent="0.25">
      <c r="A159" s="13" t="s">
        <v>2009</v>
      </c>
      <c r="B159" s="14">
        <v>45359</v>
      </c>
      <c r="C159" s="13" t="s">
        <v>1786</v>
      </c>
      <c r="D159" s="13" t="s">
        <v>1786</v>
      </c>
      <c r="E159" s="15">
        <v>12939.94</v>
      </c>
      <c r="F159" s="13" t="s">
        <v>1790</v>
      </c>
    </row>
    <row r="160" spans="1:6" x14ac:dyDescent="0.25">
      <c r="A160" s="10" t="s">
        <v>2010</v>
      </c>
      <c r="B160" s="11">
        <v>45353</v>
      </c>
      <c r="C160" s="10" t="s">
        <v>1786</v>
      </c>
      <c r="D160" s="10" t="s">
        <v>1789</v>
      </c>
      <c r="E160" s="12">
        <v>8286.14</v>
      </c>
      <c r="F160" s="10" t="s">
        <v>1800</v>
      </c>
    </row>
    <row r="161" spans="1:6" x14ac:dyDescent="0.25">
      <c r="A161" s="13" t="s">
        <v>2011</v>
      </c>
      <c r="B161" s="14">
        <v>45375</v>
      </c>
      <c r="C161" s="13" t="s">
        <v>1786</v>
      </c>
      <c r="D161" s="13" t="s">
        <v>1792</v>
      </c>
      <c r="E161" s="15">
        <v>14444.82</v>
      </c>
      <c r="F161" s="13" t="s">
        <v>1970</v>
      </c>
    </row>
    <row r="162" spans="1:6" x14ac:dyDescent="0.25">
      <c r="A162" s="10" t="s">
        <v>2012</v>
      </c>
      <c r="B162" s="11">
        <v>45375</v>
      </c>
      <c r="C162" s="10" t="s">
        <v>1786</v>
      </c>
      <c r="D162" s="10" t="s">
        <v>1795</v>
      </c>
      <c r="E162" s="12">
        <v>3991.36</v>
      </c>
      <c r="F162" s="10" t="s">
        <v>1776</v>
      </c>
    </row>
    <row r="163" spans="1:6" x14ac:dyDescent="0.25">
      <c r="A163" s="13" t="s">
        <v>2013</v>
      </c>
      <c r="B163" s="14">
        <v>45377</v>
      </c>
      <c r="C163" s="13" t="s">
        <v>1786</v>
      </c>
      <c r="D163" s="13" t="s">
        <v>1797</v>
      </c>
      <c r="E163" s="15">
        <v>5081.03</v>
      </c>
      <c r="F163" s="13" t="s">
        <v>1859</v>
      </c>
    </row>
    <row r="164" spans="1:6" x14ac:dyDescent="0.25">
      <c r="A164" s="10" t="s">
        <v>2014</v>
      </c>
      <c r="B164" s="11">
        <v>45359</v>
      </c>
      <c r="C164" s="10" t="s">
        <v>1792</v>
      </c>
      <c r="D164" s="10" t="s">
        <v>1775</v>
      </c>
      <c r="E164" s="12">
        <v>99503.55</v>
      </c>
      <c r="F164" s="10" t="s">
        <v>1886</v>
      </c>
    </row>
    <row r="165" spans="1:6" x14ac:dyDescent="0.25">
      <c r="A165" s="13" t="s">
        <v>2015</v>
      </c>
      <c r="B165" s="14">
        <v>45372</v>
      </c>
      <c r="C165" s="13" t="s">
        <v>1792</v>
      </c>
      <c r="D165" s="13" t="s">
        <v>1778</v>
      </c>
      <c r="E165" s="15">
        <v>18732.419999999998</v>
      </c>
      <c r="F165" s="13" t="s">
        <v>1930</v>
      </c>
    </row>
    <row r="166" spans="1:6" x14ac:dyDescent="0.25">
      <c r="A166" s="10" t="s">
        <v>2016</v>
      </c>
      <c r="B166" s="11">
        <v>45376</v>
      </c>
      <c r="C166" s="10" t="s">
        <v>1792</v>
      </c>
      <c r="D166" s="10" t="s">
        <v>1780</v>
      </c>
      <c r="E166" s="12">
        <v>10566.4</v>
      </c>
      <c r="F166" s="10" t="s">
        <v>1828</v>
      </c>
    </row>
    <row r="167" spans="1:6" x14ac:dyDescent="0.25">
      <c r="A167" s="13" t="s">
        <v>2017</v>
      </c>
      <c r="B167" s="14">
        <v>45374</v>
      </c>
      <c r="C167" s="13" t="s">
        <v>1792</v>
      </c>
      <c r="D167" s="13" t="s">
        <v>1783</v>
      </c>
      <c r="E167" s="15">
        <v>16859.91</v>
      </c>
      <c r="F167" s="13" t="s">
        <v>1838</v>
      </c>
    </row>
    <row r="168" spans="1:6" x14ac:dyDescent="0.25">
      <c r="A168" s="10" t="s">
        <v>2018</v>
      </c>
      <c r="B168" s="11">
        <v>45371</v>
      </c>
      <c r="C168" s="10" t="s">
        <v>1792</v>
      </c>
      <c r="D168" s="10" t="s">
        <v>1786</v>
      </c>
      <c r="E168" s="12">
        <v>16184.42</v>
      </c>
      <c r="F168" s="10" t="s">
        <v>1939</v>
      </c>
    </row>
    <row r="169" spans="1:6" x14ac:dyDescent="0.25">
      <c r="A169" s="13" t="s">
        <v>2019</v>
      </c>
      <c r="B169" s="14">
        <v>45375</v>
      </c>
      <c r="C169" s="13" t="s">
        <v>1792</v>
      </c>
      <c r="D169" s="13" t="s">
        <v>1789</v>
      </c>
      <c r="E169" s="15">
        <v>8438.76</v>
      </c>
      <c r="F169" s="13" t="s">
        <v>1867</v>
      </c>
    </row>
    <row r="170" spans="1:6" x14ac:dyDescent="0.25">
      <c r="A170" s="10" t="s">
        <v>2020</v>
      </c>
      <c r="B170" s="11">
        <v>45352</v>
      </c>
      <c r="C170" s="10" t="s">
        <v>1792</v>
      </c>
      <c r="D170" s="10" t="s">
        <v>1792</v>
      </c>
      <c r="E170" s="12">
        <v>16869.009999999998</v>
      </c>
      <c r="F170" s="10" t="s">
        <v>1830</v>
      </c>
    </row>
    <row r="171" spans="1:6" x14ac:dyDescent="0.25">
      <c r="A171" s="13" t="s">
        <v>2021</v>
      </c>
      <c r="B171" s="14">
        <v>45378</v>
      </c>
      <c r="C171" s="13" t="s">
        <v>1792</v>
      </c>
      <c r="D171" s="13" t="s">
        <v>1795</v>
      </c>
      <c r="E171" s="15">
        <v>5420.27</v>
      </c>
      <c r="F171" s="13" t="s">
        <v>1854</v>
      </c>
    </row>
    <row r="172" spans="1:6" x14ac:dyDescent="0.25">
      <c r="A172" s="10" t="s">
        <v>2022</v>
      </c>
      <c r="B172" s="11">
        <v>45358</v>
      </c>
      <c r="C172" s="10" t="s">
        <v>1792</v>
      </c>
      <c r="D172" s="10" t="s">
        <v>1797</v>
      </c>
      <c r="E172" s="12">
        <v>5581.95</v>
      </c>
      <c r="F172" s="10" t="s">
        <v>1784</v>
      </c>
    </row>
    <row r="173" spans="1:6" x14ac:dyDescent="0.25">
      <c r="A173" s="13" t="s">
        <v>2023</v>
      </c>
      <c r="B173" s="14">
        <v>45361</v>
      </c>
      <c r="C173" s="13" t="s">
        <v>1862</v>
      </c>
      <c r="D173" s="13" t="s">
        <v>1775</v>
      </c>
      <c r="E173" s="15">
        <v>43799.78</v>
      </c>
      <c r="F173" s="13" t="s">
        <v>2024</v>
      </c>
    </row>
    <row r="174" spans="1:6" x14ac:dyDescent="0.25">
      <c r="A174" s="10" t="s">
        <v>2025</v>
      </c>
      <c r="B174" s="11">
        <v>45363</v>
      </c>
      <c r="C174" s="10" t="s">
        <v>1862</v>
      </c>
      <c r="D174" s="10" t="s">
        <v>1778</v>
      </c>
      <c r="E174" s="12">
        <v>9490.1200000000008</v>
      </c>
      <c r="F174" s="10" t="s">
        <v>1875</v>
      </c>
    </row>
    <row r="175" spans="1:6" x14ac:dyDescent="0.25">
      <c r="A175" s="13" t="s">
        <v>2026</v>
      </c>
      <c r="B175" s="14">
        <v>45377</v>
      </c>
      <c r="C175" s="13" t="s">
        <v>1862</v>
      </c>
      <c r="D175" s="13" t="s">
        <v>1780</v>
      </c>
      <c r="E175" s="15">
        <v>3946.24</v>
      </c>
      <c r="F175" s="13" t="s">
        <v>1970</v>
      </c>
    </row>
    <row r="176" spans="1:6" x14ac:dyDescent="0.25">
      <c r="A176" s="10" t="s">
        <v>2027</v>
      </c>
      <c r="B176" s="11">
        <v>45375</v>
      </c>
      <c r="C176" s="10" t="s">
        <v>1862</v>
      </c>
      <c r="D176" s="10" t="s">
        <v>1783</v>
      </c>
      <c r="E176" s="12">
        <v>7489.57</v>
      </c>
      <c r="F176" s="10" t="s">
        <v>2005</v>
      </c>
    </row>
    <row r="177" spans="1:6" x14ac:dyDescent="0.25">
      <c r="A177" s="13" t="s">
        <v>2028</v>
      </c>
      <c r="B177" s="14">
        <v>45373</v>
      </c>
      <c r="C177" s="13" t="s">
        <v>1862</v>
      </c>
      <c r="D177" s="13" t="s">
        <v>1786</v>
      </c>
      <c r="E177" s="15">
        <v>7648.62</v>
      </c>
      <c r="F177" s="13" t="s">
        <v>1970</v>
      </c>
    </row>
    <row r="178" spans="1:6" x14ac:dyDescent="0.25">
      <c r="A178" s="10" t="s">
        <v>2029</v>
      </c>
      <c r="B178" s="11">
        <v>45376</v>
      </c>
      <c r="C178" s="10" t="s">
        <v>1862</v>
      </c>
      <c r="D178" s="10" t="s">
        <v>1789</v>
      </c>
      <c r="E178" s="12">
        <v>5072.9399999999996</v>
      </c>
      <c r="F178" s="10" t="s">
        <v>1844</v>
      </c>
    </row>
    <row r="179" spans="1:6" x14ac:dyDescent="0.25">
      <c r="A179" s="13" t="s">
        <v>2030</v>
      </c>
      <c r="B179" s="14">
        <v>45374</v>
      </c>
      <c r="C179" s="13" t="s">
        <v>1862</v>
      </c>
      <c r="D179" s="13" t="s">
        <v>1792</v>
      </c>
      <c r="E179" s="15">
        <v>6720.6</v>
      </c>
      <c r="F179" s="13" t="s">
        <v>1820</v>
      </c>
    </row>
    <row r="180" spans="1:6" x14ac:dyDescent="0.25">
      <c r="A180" s="10" t="s">
        <v>2031</v>
      </c>
      <c r="B180" s="11">
        <v>45374</v>
      </c>
      <c r="C180" s="10" t="s">
        <v>1862</v>
      </c>
      <c r="D180" s="10" t="s">
        <v>1795</v>
      </c>
      <c r="E180" s="12">
        <v>2831.9</v>
      </c>
      <c r="F180" s="10" t="s">
        <v>1810</v>
      </c>
    </row>
    <row r="181" spans="1:6" x14ac:dyDescent="0.25">
      <c r="A181" s="13" t="s">
        <v>2032</v>
      </c>
      <c r="B181" s="14">
        <v>45375</v>
      </c>
      <c r="C181" s="13" t="s">
        <v>1862</v>
      </c>
      <c r="D181" s="13" t="s">
        <v>1797</v>
      </c>
      <c r="E181" s="15">
        <v>3090.75</v>
      </c>
      <c r="F181" s="13" t="s">
        <v>1924</v>
      </c>
    </row>
    <row r="182" spans="1:6" x14ac:dyDescent="0.25">
      <c r="A182" s="10" t="s">
        <v>2033</v>
      </c>
      <c r="B182" s="11">
        <v>45352</v>
      </c>
      <c r="C182" s="10" t="s">
        <v>1877</v>
      </c>
      <c r="D182" s="10" t="s">
        <v>1775</v>
      </c>
      <c r="E182" s="12">
        <v>77902.070000000007</v>
      </c>
      <c r="F182" s="10" t="s">
        <v>1800</v>
      </c>
    </row>
    <row r="183" spans="1:6" x14ac:dyDescent="0.25">
      <c r="A183" s="13" t="s">
        <v>2034</v>
      </c>
      <c r="B183" s="14">
        <v>45353</v>
      </c>
      <c r="C183" s="13" t="s">
        <v>1877</v>
      </c>
      <c r="D183" s="13" t="s">
        <v>1778</v>
      </c>
      <c r="E183" s="15">
        <v>16509.89</v>
      </c>
      <c r="F183" s="13" t="s">
        <v>1939</v>
      </c>
    </row>
    <row r="184" spans="1:6" x14ac:dyDescent="0.25">
      <c r="A184" s="10" t="s">
        <v>2035</v>
      </c>
      <c r="B184" s="11">
        <v>45362</v>
      </c>
      <c r="C184" s="10" t="s">
        <v>1877</v>
      </c>
      <c r="D184" s="10" t="s">
        <v>1780</v>
      </c>
      <c r="E184" s="12">
        <v>6489.32</v>
      </c>
      <c r="F184" s="10" t="s">
        <v>1930</v>
      </c>
    </row>
    <row r="185" spans="1:6" x14ac:dyDescent="0.25">
      <c r="A185" s="13" t="s">
        <v>2036</v>
      </c>
      <c r="B185" s="14">
        <v>45378</v>
      </c>
      <c r="C185" s="13" t="s">
        <v>1877</v>
      </c>
      <c r="D185" s="13" t="s">
        <v>1783</v>
      </c>
      <c r="E185" s="15">
        <v>10555.59</v>
      </c>
      <c r="F185" s="13" t="s">
        <v>1867</v>
      </c>
    </row>
    <row r="186" spans="1:6" x14ac:dyDescent="0.25">
      <c r="A186" s="10" t="s">
        <v>2037</v>
      </c>
      <c r="B186" s="11">
        <v>45373</v>
      </c>
      <c r="C186" s="10" t="s">
        <v>1877</v>
      </c>
      <c r="D186" s="10" t="s">
        <v>1786</v>
      </c>
      <c r="E186" s="12">
        <v>11698.32</v>
      </c>
      <c r="F186" s="10" t="s">
        <v>1793</v>
      </c>
    </row>
    <row r="187" spans="1:6" x14ac:dyDescent="0.25">
      <c r="A187" s="13" t="s">
        <v>2038</v>
      </c>
      <c r="B187" s="14">
        <v>45367</v>
      </c>
      <c r="C187" s="13" t="s">
        <v>1877</v>
      </c>
      <c r="D187" s="13" t="s">
        <v>1789</v>
      </c>
      <c r="E187" s="15">
        <v>5804.77</v>
      </c>
      <c r="F187" s="13" t="s">
        <v>1793</v>
      </c>
    </row>
    <row r="188" spans="1:6" x14ac:dyDescent="0.25">
      <c r="A188" s="10" t="s">
        <v>2039</v>
      </c>
      <c r="B188" s="11">
        <v>45353</v>
      </c>
      <c r="C188" s="10" t="s">
        <v>1877</v>
      </c>
      <c r="D188" s="10" t="s">
        <v>1792</v>
      </c>
      <c r="E188" s="12">
        <v>9787.0499999999993</v>
      </c>
      <c r="F188" s="10" t="s">
        <v>2040</v>
      </c>
    </row>
    <row r="189" spans="1:6" x14ac:dyDescent="0.25">
      <c r="A189" s="13" t="s">
        <v>2041</v>
      </c>
      <c r="B189" s="14">
        <v>45358</v>
      </c>
      <c r="C189" s="13" t="s">
        <v>1877</v>
      </c>
      <c r="D189" s="13" t="s">
        <v>1795</v>
      </c>
      <c r="E189" s="15">
        <v>4858.6000000000004</v>
      </c>
      <c r="F189" s="13" t="s">
        <v>2042</v>
      </c>
    </row>
    <row r="190" spans="1:6" x14ac:dyDescent="0.25">
      <c r="A190" s="10" t="s">
        <v>2043</v>
      </c>
      <c r="B190" s="11">
        <v>45356</v>
      </c>
      <c r="C190" s="10" t="s">
        <v>1877</v>
      </c>
      <c r="D190" s="10" t="s">
        <v>1797</v>
      </c>
      <c r="E190" s="12">
        <v>4690.68</v>
      </c>
      <c r="F190" s="10" t="s">
        <v>1826</v>
      </c>
    </row>
    <row r="191" spans="1:6" x14ac:dyDescent="0.25">
      <c r="A191" s="13" t="s">
        <v>2044</v>
      </c>
      <c r="B191" s="14">
        <v>45397</v>
      </c>
      <c r="C191" s="13" t="s">
        <v>1774</v>
      </c>
      <c r="D191" s="13" t="s">
        <v>1775</v>
      </c>
      <c r="E191" s="15">
        <v>125268.93</v>
      </c>
      <c r="F191" s="13" t="s">
        <v>1875</v>
      </c>
    </row>
    <row r="192" spans="1:6" x14ac:dyDescent="0.25">
      <c r="A192" s="10" t="s">
        <v>2045</v>
      </c>
      <c r="B192" s="11">
        <v>45396</v>
      </c>
      <c r="C192" s="10" t="s">
        <v>1774</v>
      </c>
      <c r="D192" s="10" t="s">
        <v>1778</v>
      </c>
      <c r="E192" s="12">
        <v>26125.85</v>
      </c>
      <c r="F192" s="10" t="s">
        <v>1946</v>
      </c>
    </row>
    <row r="193" spans="1:6" x14ac:dyDescent="0.25">
      <c r="A193" s="13" t="s">
        <v>2046</v>
      </c>
      <c r="B193" s="14">
        <v>45385</v>
      </c>
      <c r="C193" s="13" t="s">
        <v>1774</v>
      </c>
      <c r="D193" s="13" t="s">
        <v>1780</v>
      </c>
      <c r="E193" s="15">
        <v>12561.02</v>
      </c>
      <c r="F193" s="13" t="s">
        <v>1784</v>
      </c>
    </row>
    <row r="194" spans="1:6" x14ac:dyDescent="0.25">
      <c r="A194" s="10" t="s">
        <v>2047</v>
      </c>
      <c r="B194" s="11">
        <v>45388</v>
      </c>
      <c r="C194" s="10" t="s">
        <v>1774</v>
      </c>
      <c r="D194" s="10" t="s">
        <v>1783</v>
      </c>
      <c r="E194" s="12">
        <v>19136.39</v>
      </c>
      <c r="F194" s="10" t="s">
        <v>1816</v>
      </c>
    </row>
    <row r="195" spans="1:6" x14ac:dyDescent="0.25">
      <c r="A195" s="13" t="s">
        <v>2048</v>
      </c>
      <c r="B195" s="14">
        <v>45403</v>
      </c>
      <c r="C195" s="13" t="s">
        <v>1774</v>
      </c>
      <c r="D195" s="13" t="s">
        <v>1786</v>
      </c>
      <c r="E195" s="15">
        <v>21075.67</v>
      </c>
      <c r="F195" s="13" t="s">
        <v>1840</v>
      </c>
    </row>
    <row r="196" spans="1:6" x14ac:dyDescent="0.25">
      <c r="A196" s="10" t="s">
        <v>2049</v>
      </c>
      <c r="B196" s="11">
        <v>45386</v>
      </c>
      <c r="C196" s="10" t="s">
        <v>1774</v>
      </c>
      <c r="D196" s="10" t="s">
        <v>1789</v>
      </c>
      <c r="E196" s="12">
        <v>12845.51</v>
      </c>
      <c r="F196" s="10" t="s">
        <v>1793</v>
      </c>
    </row>
    <row r="197" spans="1:6" x14ac:dyDescent="0.25">
      <c r="A197" s="13" t="s">
        <v>2050</v>
      </c>
      <c r="B197" s="14">
        <v>45398</v>
      </c>
      <c r="C197" s="13" t="s">
        <v>1774</v>
      </c>
      <c r="D197" s="13" t="s">
        <v>1792</v>
      </c>
      <c r="E197" s="15">
        <v>15162.18</v>
      </c>
      <c r="F197" s="13" t="s">
        <v>1816</v>
      </c>
    </row>
    <row r="198" spans="1:6" x14ac:dyDescent="0.25">
      <c r="A198" s="10" t="s">
        <v>2051</v>
      </c>
      <c r="B198" s="11">
        <v>45407</v>
      </c>
      <c r="C198" s="10" t="s">
        <v>1774</v>
      </c>
      <c r="D198" s="10" t="s">
        <v>1795</v>
      </c>
      <c r="E198" s="12">
        <v>5866.25</v>
      </c>
      <c r="F198" s="10" t="s">
        <v>1884</v>
      </c>
    </row>
    <row r="199" spans="1:6" x14ac:dyDescent="0.25">
      <c r="A199" s="13" t="s">
        <v>2052</v>
      </c>
      <c r="B199" s="14">
        <v>45393</v>
      </c>
      <c r="C199" s="13" t="s">
        <v>1774</v>
      </c>
      <c r="D199" s="13" t="s">
        <v>1797</v>
      </c>
      <c r="E199" s="15">
        <v>5696.32</v>
      </c>
      <c r="F199" s="13" t="s">
        <v>1828</v>
      </c>
    </row>
    <row r="200" spans="1:6" x14ac:dyDescent="0.25">
      <c r="A200" s="10" t="s">
        <v>2053</v>
      </c>
      <c r="B200" s="11">
        <v>45405</v>
      </c>
      <c r="C200" s="10" t="s">
        <v>1799</v>
      </c>
      <c r="D200" s="10" t="s">
        <v>1775</v>
      </c>
      <c r="E200" s="12">
        <v>44927.12</v>
      </c>
      <c r="F200" s="10" t="s">
        <v>1939</v>
      </c>
    </row>
    <row r="201" spans="1:6" x14ac:dyDescent="0.25">
      <c r="A201" s="13" t="s">
        <v>2054</v>
      </c>
      <c r="B201" s="14">
        <v>45397</v>
      </c>
      <c r="C201" s="13" t="s">
        <v>1799</v>
      </c>
      <c r="D201" s="13" t="s">
        <v>1778</v>
      </c>
      <c r="E201" s="15">
        <v>9477.81</v>
      </c>
      <c r="F201" s="13" t="s">
        <v>1810</v>
      </c>
    </row>
    <row r="202" spans="1:6" x14ac:dyDescent="0.25">
      <c r="A202" s="10" t="s">
        <v>2055</v>
      </c>
      <c r="B202" s="11">
        <v>45383</v>
      </c>
      <c r="C202" s="10" t="s">
        <v>1799</v>
      </c>
      <c r="D202" s="10" t="s">
        <v>1780</v>
      </c>
      <c r="E202" s="12">
        <v>4107</v>
      </c>
      <c r="F202" s="10" t="s">
        <v>1854</v>
      </c>
    </row>
    <row r="203" spans="1:6" x14ac:dyDescent="0.25">
      <c r="A203" s="13" t="s">
        <v>2056</v>
      </c>
      <c r="B203" s="14">
        <v>45396</v>
      </c>
      <c r="C203" s="13" t="s">
        <v>1799</v>
      </c>
      <c r="D203" s="13" t="s">
        <v>1783</v>
      </c>
      <c r="E203" s="15">
        <v>9307.7099999999991</v>
      </c>
      <c r="F203" s="13" t="s">
        <v>1884</v>
      </c>
    </row>
    <row r="204" spans="1:6" x14ac:dyDescent="0.25">
      <c r="A204" s="10" t="s">
        <v>2057</v>
      </c>
      <c r="B204" s="11">
        <v>45408</v>
      </c>
      <c r="C204" s="10" t="s">
        <v>1799</v>
      </c>
      <c r="D204" s="10" t="s">
        <v>1786</v>
      </c>
      <c r="E204" s="12">
        <v>7456.03</v>
      </c>
      <c r="F204" s="10" t="s">
        <v>1830</v>
      </c>
    </row>
    <row r="205" spans="1:6" x14ac:dyDescent="0.25">
      <c r="A205" s="13" t="s">
        <v>2058</v>
      </c>
      <c r="B205" s="14">
        <v>45388</v>
      </c>
      <c r="C205" s="13" t="s">
        <v>1799</v>
      </c>
      <c r="D205" s="13" t="s">
        <v>1789</v>
      </c>
      <c r="E205" s="15">
        <v>4238.01</v>
      </c>
      <c r="F205" s="13" t="s">
        <v>2042</v>
      </c>
    </row>
    <row r="206" spans="1:6" x14ac:dyDescent="0.25">
      <c r="A206" s="10" t="s">
        <v>2059</v>
      </c>
      <c r="B206" s="11">
        <v>45385</v>
      </c>
      <c r="C206" s="10" t="s">
        <v>1799</v>
      </c>
      <c r="D206" s="10" t="s">
        <v>1792</v>
      </c>
      <c r="E206" s="12">
        <v>8204.27</v>
      </c>
      <c r="F206" s="10" t="s">
        <v>2040</v>
      </c>
    </row>
    <row r="207" spans="1:6" x14ac:dyDescent="0.25">
      <c r="A207" s="13" t="s">
        <v>2060</v>
      </c>
      <c r="B207" s="14">
        <v>45409</v>
      </c>
      <c r="C207" s="13" t="s">
        <v>1799</v>
      </c>
      <c r="D207" s="13" t="s">
        <v>1795</v>
      </c>
      <c r="E207" s="15">
        <v>3089.87</v>
      </c>
      <c r="F207" s="13" t="s">
        <v>1838</v>
      </c>
    </row>
    <row r="208" spans="1:6" x14ac:dyDescent="0.25">
      <c r="A208" s="10" t="s">
        <v>2061</v>
      </c>
      <c r="B208" s="11">
        <v>45399</v>
      </c>
      <c r="C208" s="10" t="s">
        <v>1799</v>
      </c>
      <c r="D208" s="10" t="s">
        <v>1797</v>
      </c>
      <c r="E208" s="12">
        <v>2436.42</v>
      </c>
      <c r="F208" s="10" t="s">
        <v>2062</v>
      </c>
    </row>
    <row r="209" spans="1:6" x14ac:dyDescent="0.25">
      <c r="A209" s="13" t="s">
        <v>2063</v>
      </c>
      <c r="B209" s="14">
        <v>45395</v>
      </c>
      <c r="C209" s="13" t="s">
        <v>1818</v>
      </c>
      <c r="D209" s="13" t="s">
        <v>1775</v>
      </c>
      <c r="E209" s="15">
        <v>36942.31</v>
      </c>
      <c r="F209" s="13" t="s">
        <v>1852</v>
      </c>
    </row>
    <row r="210" spans="1:6" x14ac:dyDescent="0.25">
      <c r="A210" s="10" t="s">
        <v>2064</v>
      </c>
      <c r="B210" s="11">
        <v>45396</v>
      </c>
      <c r="C210" s="10" t="s">
        <v>1818</v>
      </c>
      <c r="D210" s="10" t="s">
        <v>1778</v>
      </c>
      <c r="E210" s="12">
        <v>7258.32</v>
      </c>
      <c r="F210" s="10" t="s">
        <v>1867</v>
      </c>
    </row>
    <row r="211" spans="1:6" x14ac:dyDescent="0.25">
      <c r="A211" s="13" t="s">
        <v>2065</v>
      </c>
      <c r="B211" s="14">
        <v>45404</v>
      </c>
      <c r="C211" s="13" t="s">
        <v>1818</v>
      </c>
      <c r="D211" s="13" t="s">
        <v>1780</v>
      </c>
      <c r="E211" s="15">
        <v>3535</v>
      </c>
      <c r="F211" s="13" t="s">
        <v>1946</v>
      </c>
    </row>
    <row r="212" spans="1:6" x14ac:dyDescent="0.25">
      <c r="A212" s="10" t="s">
        <v>2066</v>
      </c>
      <c r="B212" s="11">
        <v>45388</v>
      </c>
      <c r="C212" s="10" t="s">
        <v>1818</v>
      </c>
      <c r="D212" s="10" t="s">
        <v>1783</v>
      </c>
      <c r="E212" s="12">
        <v>7519.57</v>
      </c>
      <c r="F212" s="10" t="s">
        <v>1941</v>
      </c>
    </row>
    <row r="213" spans="1:6" x14ac:dyDescent="0.25">
      <c r="A213" s="13" t="s">
        <v>2067</v>
      </c>
      <c r="B213" s="14">
        <v>45383</v>
      </c>
      <c r="C213" s="13" t="s">
        <v>1818</v>
      </c>
      <c r="D213" s="13" t="s">
        <v>1786</v>
      </c>
      <c r="E213" s="15">
        <v>6980.58</v>
      </c>
      <c r="F213" s="13" t="s">
        <v>1924</v>
      </c>
    </row>
    <row r="214" spans="1:6" x14ac:dyDescent="0.25">
      <c r="A214" s="10" t="s">
        <v>2068</v>
      </c>
      <c r="B214" s="11">
        <v>45395</v>
      </c>
      <c r="C214" s="10" t="s">
        <v>1818</v>
      </c>
      <c r="D214" s="10" t="s">
        <v>1789</v>
      </c>
      <c r="E214" s="12">
        <v>3509.17</v>
      </c>
      <c r="F214" s="10" t="s">
        <v>2062</v>
      </c>
    </row>
    <row r="215" spans="1:6" x14ac:dyDescent="0.25">
      <c r="A215" s="13" t="s">
        <v>2069</v>
      </c>
      <c r="B215" s="14">
        <v>45409</v>
      </c>
      <c r="C215" s="13" t="s">
        <v>1818</v>
      </c>
      <c r="D215" s="13" t="s">
        <v>1792</v>
      </c>
      <c r="E215" s="15">
        <v>7697.61</v>
      </c>
      <c r="F215" s="13" t="s">
        <v>1820</v>
      </c>
    </row>
    <row r="216" spans="1:6" x14ac:dyDescent="0.25">
      <c r="A216" s="10" t="s">
        <v>2070</v>
      </c>
      <c r="B216" s="11">
        <v>45391</v>
      </c>
      <c r="C216" s="10" t="s">
        <v>1818</v>
      </c>
      <c r="D216" s="10" t="s">
        <v>1795</v>
      </c>
      <c r="E216" s="12">
        <v>2369.79</v>
      </c>
      <c r="F216" s="10" t="s">
        <v>1888</v>
      </c>
    </row>
    <row r="217" spans="1:6" x14ac:dyDescent="0.25">
      <c r="A217" s="13" t="s">
        <v>2071</v>
      </c>
      <c r="B217" s="14">
        <v>45396</v>
      </c>
      <c r="C217" s="13" t="s">
        <v>1818</v>
      </c>
      <c r="D217" s="13" t="s">
        <v>1797</v>
      </c>
      <c r="E217" s="15">
        <v>2483.92</v>
      </c>
      <c r="F217" s="13" t="s">
        <v>2072</v>
      </c>
    </row>
    <row r="218" spans="1:6" x14ac:dyDescent="0.25">
      <c r="A218" s="10" t="s">
        <v>2073</v>
      </c>
      <c r="B218" s="11">
        <v>45391</v>
      </c>
      <c r="C218" s="10" t="s">
        <v>1786</v>
      </c>
      <c r="D218" s="10" t="s">
        <v>1775</v>
      </c>
      <c r="E218" s="12">
        <v>93521.11</v>
      </c>
      <c r="F218" s="10" t="s">
        <v>2074</v>
      </c>
    </row>
    <row r="219" spans="1:6" x14ac:dyDescent="0.25">
      <c r="A219" s="13" t="s">
        <v>2075</v>
      </c>
      <c r="B219" s="14">
        <v>45409</v>
      </c>
      <c r="C219" s="13" t="s">
        <v>1786</v>
      </c>
      <c r="D219" s="13" t="s">
        <v>1778</v>
      </c>
      <c r="E219" s="15">
        <v>15198.62</v>
      </c>
      <c r="F219" s="13" t="s">
        <v>1781</v>
      </c>
    </row>
    <row r="220" spans="1:6" x14ac:dyDescent="0.25">
      <c r="A220" s="10" t="s">
        <v>2076</v>
      </c>
      <c r="B220" s="11">
        <v>45385</v>
      </c>
      <c r="C220" s="10" t="s">
        <v>1786</v>
      </c>
      <c r="D220" s="10" t="s">
        <v>1780</v>
      </c>
      <c r="E220" s="12">
        <v>6898.56</v>
      </c>
      <c r="F220" s="10" t="s">
        <v>1802</v>
      </c>
    </row>
    <row r="221" spans="1:6" x14ac:dyDescent="0.25">
      <c r="A221" s="13" t="s">
        <v>2077</v>
      </c>
      <c r="B221" s="14">
        <v>45407</v>
      </c>
      <c r="C221" s="13" t="s">
        <v>1786</v>
      </c>
      <c r="D221" s="13" t="s">
        <v>1783</v>
      </c>
      <c r="E221" s="15">
        <v>14398.68</v>
      </c>
      <c r="F221" s="13" t="s">
        <v>2078</v>
      </c>
    </row>
    <row r="222" spans="1:6" x14ac:dyDescent="0.25">
      <c r="A222" s="10" t="s">
        <v>2079</v>
      </c>
      <c r="B222" s="11">
        <v>45391</v>
      </c>
      <c r="C222" s="10" t="s">
        <v>1786</v>
      </c>
      <c r="D222" s="10" t="s">
        <v>1786</v>
      </c>
      <c r="E222" s="12">
        <v>13145.96</v>
      </c>
      <c r="F222" s="10" t="s">
        <v>1960</v>
      </c>
    </row>
    <row r="223" spans="1:6" x14ac:dyDescent="0.25">
      <c r="A223" s="13" t="s">
        <v>2080</v>
      </c>
      <c r="B223" s="14">
        <v>45406</v>
      </c>
      <c r="C223" s="13" t="s">
        <v>1786</v>
      </c>
      <c r="D223" s="13" t="s">
        <v>1789</v>
      </c>
      <c r="E223" s="15">
        <v>7029.11</v>
      </c>
      <c r="F223" s="13" t="s">
        <v>1891</v>
      </c>
    </row>
    <row r="224" spans="1:6" x14ac:dyDescent="0.25">
      <c r="A224" s="10" t="s">
        <v>2081</v>
      </c>
      <c r="B224" s="11">
        <v>45386</v>
      </c>
      <c r="C224" s="10" t="s">
        <v>1786</v>
      </c>
      <c r="D224" s="10" t="s">
        <v>1792</v>
      </c>
      <c r="E224" s="12">
        <v>11718.83</v>
      </c>
      <c r="F224" s="10" t="s">
        <v>1793</v>
      </c>
    </row>
    <row r="225" spans="1:6" x14ac:dyDescent="0.25">
      <c r="A225" s="13" t="s">
        <v>2082</v>
      </c>
      <c r="B225" s="14">
        <v>45386</v>
      </c>
      <c r="C225" s="13" t="s">
        <v>1786</v>
      </c>
      <c r="D225" s="13" t="s">
        <v>1795</v>
      </c>
      <c r="E225" s="15">
        <v>4572.72</v>
      </c>
      <c r="F225" s="13" t="s">
        <v>1979</v>
      </c>
    </row>
    <row r="226" spans="1:6" x14ac:dyDescent="0.25">
      <c r="A226" s="10" t="s">
        <v>2083</v>
      </c>
      <c r="B226" s="11">
        <v>45397</v>
      </c>
      <c r="C226" s="10" t="s">
        <v>1786</v>
      </c>
      <c r="D226" s="10" t="s">
        <v>1797</v>
      </c>
      <c r="E226" s="12">
        <v>5163.43</v>
      </c>
      <c r="F226" s="10" t="s">
        <v>1990</v>
      </c>
    </row>
    <row r="227" spans="1:6" x14ac:dyDescent="0.25">
      <c r="A227" s="13" t="s">
        <v>2084</v>
      </c>
      <c r="B227" s="14">
        <v>45383</v>
      </c>
      <c r="C227" s="13" t="s">
        <v>1792</v>
      </c>
      <c r="D227" s="13" t="s">
        <v>1775</v>
      </c>
      <c r="E227" s="15">
        <v>96398.83</v>
      </c>
      <c r="F227" s="13" t="s">
        <v>1800</v>
      </c>
    </row>
    <row r="228" spans="1:6" x14ac:dyDescent="0.25">
      <c r="A228" s="10" t="s">
        <v>2085</v>
      </c>
      <c r="B228" s="11">
        <v>45404</v>
      </c>
      <c r="C228" s="10" t="s">
        <v>1792</v>
      </c>
      <c r="D228" s="10" t="s">
        <v>1778</v>
      </c>
      <c r="E228" s="12">
        <v>20978.560000000001</v>
      </c>
      <c r="F228" s="10" t="s">
        <v>2074</v>
      </c>
    </row>
    <row r="229" spans="1:6" x14ac:dyDescent="0.25">
      <c r="A229" s="13" t="s">
        <v>2086</v>
      </c>
      <c r="B229" s="14">
        <v>45393</v>
      </c>
      <c r="C229" s="13" t="s">
        <v>1792</v>
      </c>
      <c r="D229" s="13" t="s">
        <v>1780</v>
      </c>
      <c r="E229" s="15">
        <v>9199.9699999999993</v>
      </c>
      <c r="F229" s="13" t="s">
        <v>1816</v>
      </c>
    </row>
    <row r="230" spans="1:6" x14ac:dyDescent="0.25">
      <c r="A230" s="10" t="s">
        <v>2087</v>
      </c>
      <c r="B230" s="11">
        <v>45393</v>
      </c>
      <c r="C230" s="10" t="s">
        <v>1792</v>
      </c>
      <c r="D230" s="10" t="s">
        <v>1783</v>
      </c>
      <c r="E230" s="12">
        <v>17531.66</v>
      </c>
      <c r="F230" s="10" t="s">
        <v>1840</v>
      </c>
    </row>
    <row r="231" spans="1:6" x14ac:dyDescent="0.25">
      <c r="A231" s="13" t="s">
        <v>2088</v>
      </c>
      <c r="B231" s="14">
        <v>45395</v>
      </c>
      <c r="C231" s="13" t="s">
        <v>1792</v>
      </c>
      <c r="D231" s="13" t="s">
        <v>1786</v>
      </c>
      <c r="E231" s="15">
        <v>14287.47</v>
      </c>
      <c r="F231" s="13" t="s">
        <v>1814</v>
      </c>
    </row>
    <row r="232" spans="1:6" x14ac:dyDescent="0.25">
      <c r="A232" s="10" t="s">
        <v>2089</v>
      </c>
      <c r="B232" s="11">
        <v>45390</v>
      </c>
      <c r="C232" s="10" t="s">
        <v>1792</v>
      </c>
      <c r="D232" s="10" t="s">
        <v>1789</v>
      </c>
      <c r="E232" s="12">
        <v>8529.92</v>
      </c>
      <c r="F232" s="10" t="s">
        <v>1820</v>
      </c>
    </row>
    <row r="233" spans="1:6" x14ac:dyDescent="0.25">
      <c r="A233" s="13" t="s">
        <v>2090</v>
      </c>
      <c r="B233" s="14">
        <v>45389</v>
      </c>
      <c r="C233" s="13" t="s">
        <v>1792</v>
      </c>
      <c r="D233" s="13" t="s">
        <v>1792</v>
      </c>
      <c r="E233" s="15">
        <v>17602.310000000001</v>
      </c>
      <c r="F233" s="13" t="s">
        <v>1826</v>
      </c>
    </row>
    <row r="234" spans="1:6" x14ac:dyDescent="0.25">
      <c r="A234" s="10" t="s">
        <v>2091</v>
      </c>
      <c r="B234" s="11">
        <v>45406</v>
      </c>
      <c r="C234" s="10" t="s">
        <v>1792</v>
      </c>
      <c r="D234" s="10" t="s">
        <v>1795</v>
      </c>
      <c r="E234" s="12">
        <v>6570.65</v>
      </c>
      <c r="F234" s="10" t="s">
        <v>1985</v>
      </c>
    </row>
    <row r="235" spans="1:6" x14ac:dyDescent="0.25">
      <c r="A235" s="13" t="s">
        <v>2092</v>
      </c>
      <c r="B235" s="14">
        <v>45402</v>
      </c>
      <c r="C235" s="13" t="s">
        <v>1792</v>
      </c>
      <c r="D235" s="13" t="s">
        <v>1797</v>
      </c>
      <c r="E235" s="15">
        <v>6223.51</v>
      </c>
      <c r="F235" s="13" t="s">
        <v>2093</v>
      </c>
    </row>
    <row r="236" spans="1:6" x14ac:dyDescent="0.25">
      <c r="A236" s="10" t="s">
        <v>2094</v>
      </c>
      <c r="B236" s="11">
        <v>45388</v>
      </c>
      <c r="C236" s="10" t="s">
        <v>1862</v>
      </c>
      <c r="D236" s="10" t="s">
        <v>1775</v>
      </c>
      <c r="E236" s="12">
        <v>50884.89</v>
      </c>
      <c r="F236" s="10" t="s">
        <v>1776</v>
      </c>
    </row>
    <row r="237" spans="1:6" x14ac:dyDescent="0.25">
      <c r="A237" s="13" t="s">
        <v>2095</v>
      </c>
      <c r="B237" s="14">
        <v>45409</v>
      </c>
      <c r="C237" s="13" t="s">
        <v>1862</v>
      </c>
      <c r="D237" s="13" t="s">
        <v>1778</v>
      </c>
      <c r="E237" s="15">
        <v>8276.65</v>
      </c>
      <c r="F237" s="13" t="s">
        <v>1888</v>
      </c>
    </row>
    <row r="238" spans="1:6" x14ac:dyDescent="0.25">
      <c r="A238" s="10" t="s">
        <v>2096</v>
      </c>
      <c r="B238" s="11">
        <v>45402</v>
      </c>
      <c r="C238" s="10" t="s">
        <v>1862</v>
      </c>
      <c r="D238" s="10" t="s">
        <v>1780</v>
      </c>
      <c r="E238" s="12">
        <v>4641.08</v>
      </c>
      <c r="F238" s="10" t="s">
        <v>1970</v>
      </c>
    </row>
    <row r="239" spans="1:6" x14ac:dyDescent="0.25">
      <c r="A239" s="13" t="s">
        <v>2097</v>
      </c>
      <c r="B239" s="14">
        <v>45396</v>
      </c>
      <c r="C239" s="13" t="s">
        <v>1862</v>
      </c>
      <c r="D239" s="13" t="s">
        <v>1783</v>
      </c>
      <c r="E239" s="15">
        <v>8387.34</v>
      </c>
      <c r="F239" s="13" t="s">
        <v>1930</v>
      </c>
    </row>
    <row r="240" spans="1:6" x14ac:dyDescent="0.25">
      <c r="A240" s="10" t="s">
        <v>2098</v>
      </c>
      <c r="B240" s="11">
        <v>45383</v>
      </c>
      <c r="C240" s="10" t="s">
        <v>1862</v>
      </c>
      <c r="D240" s="10" t="s">
        <v>1786</v>
      </c>
      <c r="E240" s="12">
        <v>7954.34</v>
      </c>
      <c r="F240" s="10" t="s">
        <v>1776</v>
      </c>
    </row>
    <row r="241" spans="1:6" x14ac:dyDescent="0.25">
      <c r="A241" s="13" t="s">
        <v>2099</v>
      </c>
      <c r="B241" s="14">
        <v>45390</v>
      </c>
      <c r="C241" s="13" t="s">
        <v>1862</v>
      </c>
      <c r="D241" s="13" t="s">
        <v>1789</v>
      </c>
      <c r="E241" s="15">
        <v>4639.46</v>
      </c>
      <c r="F241" s="13" t="s">
        <v>1888</v>
      </c>
    </row>
    <row r="242" spans="1:6" x14ac:dyDescent="0.25">
      <c r="A242" s="10" t="s">
        <v>2100</v>
      </c>
      <c r="B242" s="11">
        <v>45404</v>
      </c>
      <c r="C242" s="10" t="s">
        <v>1862</v>
      </c>
      <c r="D242" s="10" t="s">
        <v>1792</v>
      </c>
      <c r="E242" s="12">
        <v>6766.21</v>
      </c>
      <c r="F242" s="10" t="s">
        <v>1891</v>
      </c>
    </row>
    <row r="243" spans="1:6" x14ac:dyDescent="0.25">
      <c r="A243" s="13" t="s">
        <v>2101</v>
      </c>
      <c r="B243" s="14">
        <v>45404</v>
      </c>
      <c r="C243" s="13" t="s">
        <v>1862</v>
      </c>
      <c r="D243" s="13" t="s">
        <v>1795</v>
      </c>
      <c r="E243" s="15">
        <v>2642.89</v>
      </c>
      <c r="F243" s="13" t="s">
        <v>2040</v>
      </c>
    </row>
    <row r="244" spans="1:6" x14ac:dyDescent="0.25">
      <c r="A244" s="10" t="s">
        <v>2102</v>
      </c>
      <c r="B244" s="11">
        <v>45405</v>
      </c>
      <c r="C244" s="10" t="s">
        <v>1862</v>
      </c>
      <c r="D244" s="10" t="s">
        <v>1797</v>
      </c>
      <c r="E244" s="12">
        <v>2877.61</v>
      </c>
      <c r="F244" s="10" t="s">
        <v>1793</v>
      </c>
    </row>
    <row r="245" spans="1:6" x14ac:dyDescent="0.25">
      <c r="A245" s="13" t="s">
        <v>2103</v>
      </c>
      <c r="B245" s="14">
        <v>45392</v>
      </c>
      <c r="C245" s="13" t="s">
        <v>1877</v>
      </c>
      <c r="D245" s="13" t="s">
        <v>1775</v>
      </c>
      <c r="E245" s="15">
        <v>65593.17</v>
      </c>
      <c r="F245" s="13" t="s">
        <v>1968</v>
      </c>
    </row>
    <row r="246" spans="1:6" x14ac:dyDescent="0.25">
      <c r="A246" s="10" t="s">
        <v>2104</v>
      </c>
      <c r="B246" s="11">
        <v>45409</v>
      </c>
      <c r="C246" s="10" t="s">
        <v>1877</v>
      </c>
      <c r="D246" s="10" t="s">
        <v>1778</v>
      </c>
      <c r="E246" s="12">
        <v>15028.02</v>
      </c>
      <c r="F246" s="10" t="s">
        <v>1970</v>
      </c>
    </row>
    <row r="247" spans="1:6" x14ac:dyDescent="0.25">
      <c r="A247" s="13" t="s">
        <v>2105</v>
      </c>
      <c r="B247" s="14">
        <v>45394</v>
      </c>
      <c r="C247" s="13" t="s">
        <v>1877</v>
      </c>
      <c r="D247" s="13" t="s">
        <v>1780</v>
      </c>
      <c r="E247" s="15">
        <v>6731.67</v>
      </c>
      <c r="F247" s="13" t="s">
        <v>2078</v>
      </c>
    </row>
    <row r="248" spans="1:6" x14ac:dyDescent="0.25">
      <c r="A248" s="10" t="s">
        <v>2106</v>
      </c>
      <c r="B248" s="11">
        <v>45398</v>
      </c>
      <c r="C248" s="10" t="s">
        <v>1877</v>
      </c>
      <c r="D248" s="10" t="s">
        <v>1783</v>
      </c>
      <c r="E248" s="12">
        <v>13325.9</v>
      </c>
      <c r="F248" s="10" t="s">
        <v>1787</v>
      </c>
    </row>
    <row r="249" spans="1:6" x14ac:dyDescent="0.25">
      <c r="A249" s="13" t="s">
        <v>2107</v>
      </c>
      <c r="B249" s="14">
        <v>45384</v>
      </c>
      <c r="C249" s="13" t="s">
        <v>1877</v>
      </c>
      <c r="D249" s="13" t="s">
        <v>1786</v>
      </c>
      <c r="E249" s="15">
        <v>12177.66</v>
      </c>
      <c r="F249" s="13" t="s">
        <v>1816</v>
      </c>
    </row>
    <row r="250" spans="1:6" x14ac:dyDescent="0.25">
      <c r="A250" s="10" t="s">
        <v>2108</v>
      </c>
      <c r="B250" s="11">
        <v>45399</v>
      </c>
      <c r="C250" s="10" t="s">
        <v>1877</v>
      </c>
      <c r="D250" s="10" t="s">
        <v>1789</v>
      </c>
      <c r="E250" s="12">
        <v>7939.02</v>
      </c>
      <c r="F250" s="10" t="s">
        <v>1838</v>
      </c>
    </row>
    <row r="251" spans="1:6" x14ac:dyDescent="0.25">
      <c r="A251" s="13" t="s">
        <v>2109</v>
      </c>
      <c r="B251" s="14">
        <v>45394</v>
      </c>
      <c r="C251" s="13" t="s">
        <v>1877</v>
      </c>
      <c r="D251" s="13" t="s">
        <v>1792</v>
      </c>
      <c r="E251" s="15">
        <v>10956.96</v>
      </c>
      <c r="F251" s="13" t="s">
        <v>1790</v>
      </c>
    </row>
    <row r="252" spans="1:6" x14ac:dyDescent="0.25">
      <c r="A252" s="10" t="s">
        <v>2110</v>
      </c>
      <c r="B252" s="11">
        <v>45390</v>
      </c>
      <c r="C252" s="10" t="s">
        <v>1877</v>
      </c>
      <c r="D252" s="10" t="s">
        <v>1795</v>
      </c>
      <c r="E252" s="12">
        <v>3872.84</v>
      </c>
      <c r="F252" s="10" t="s">
        <v>1977</v>
      </c>
    </row>
    <row r="253" spans="1:6" x14ac:dyDescent="0.25">
      <c r="A253" s="13" t="s">
        <v>2111</v>
      </c>
      <c r="B253" s="14">
        <v>45400</v>
      </c>
      <c r="C253" s="13" t="s">
        <v>1877</v>
      </c>
      <c r="D253" s="13" t="s">
        <v>1797</v>
      </c>
      <c r="E253" s="15">
        <v>4134.26</v>
      </c>
      <c r="F253" s="13" t="s">
        <v>1891</v>
      </c>
    </row>
    <row r="254" spans="1:6" x14ac:dyDescent="0.25">
      <c r="A254" s="10" t="s">
        <v>2112</v>
      </c>
      <c r="B254" s="11">
        <v>45428</v>
      </c>
      <c r="C254" s="10" t="s">
        <v>1774</v>
      </c>
      <c r="D254" s="10" t="s">
        <v>1775</v>
      </c>
      <c r="E254" s="12">
        <v>132803.43</v>
      </c>
      <c r="F254" s="10" t="s">
        <v>2113</v>
      </c>
    </row>
    <row r="255" spans="1:6" x14ac:dyDescent="0.25">
      <c r="A255" s="13" t="s">
        <v>2114</v>
      </c>
      <c r="B255" s="14">
        <v>45439</v>
      </c>
      <c r="C255" s="13" t="s">
        <v>1774</v>
      </c>
      <c r="D255" s="13" t="s">
        <v>1778</v>
      </c>
      <c r="E255" s="15">
        <v>21100.44</v>
      </c>
      <c r="F255" s="13" t="s">
        <v>1814</v>
      </c>
    </row>
    <row r="256" spans="1:6" x14ac:dyDescent="0.25">
      <c r="A256" s="10" t="s">
        <v>2115</v>
      </c>
      <c r="B256" s="11">
        <v>45434</v>
      </c>
      <c r="C256" s="10" t="s">
        <v>1774</v>
      </c>
      <c r="D256" s="10" t="s">
        <v>1780</v>
      </c>
      <c r="E256" s="12">
        <v>10658.2</v>
      </c>
      <c r="F256" s="10" t="s">
        <v>1840</v>
      </c>
    </row>
    <row r="257" spans="1:6" x14ac:dyDescent="0.25">
      <c r="A257" s="13" t="s">
        <v>2116</v>
      </c>
      <c r="B257" s="14">
        <v>45424</v>
      </c>
      <c r="C257" s="13" t="s">
        <v>1774</v>
      </c>
      <c r="D257" s="13" t="s">
        <v>1783</v>
      </c>
      <c r="E257" s="15">
        <v>20563.32</v>
      </c>
      <c r="F257" s="13" t="s">
        <v>1812</v>
      </c>
    </row>
    <row r="258" spans="1:6" x14ac:dyDescent="0.25">
      <c r="A258" s="10" t="s">
        <v>2117</v>
      </c>
      <c r="B258" s="11">
        <v>45424</v>
      </c>
      <c r="C258" s="10" t="s">
        <v>1774</v>
      </c>
      <c r="D258" s="10" t="s">
        <v>1786</v>
      </c>
      <c r="E258" s="12">
        <v>17929.88</v>
      </c>
      <c r="F258" s="10" t="s">
        <v>1927</v>
      </c>
    </row>
    <row r="259" spans="1:6" x14ac:dyDescent="0.25">
      <c r="A259" s="13" t="s">
        <v>2118</v>
      </c>
      <c r="B259" s="14">
        <v>45439</v>
      </c>
      <c r="C259" s="13" t="s">
        <v>1774</v>
      </c>
      <c r="D259" s="13" t="s">
        <v>1789</v>
      </c>
      <c r="E259" s="15">
        <v>9891.52</v>
      </c>
      <c r="F259" s="13" t="s">
        <v>1822</v>
      </c>
    </row>
    <row r="260" spans="1:6" x14ac:dyDescent="0.25">
      <c r="A260" s="10" t="s">
        <v>2119</v>
      </c>
      <c r="B260" s="11">
        <v>45425</v>
      </c>
      <c r="C260" s="10" t="s">
        <v>1774</v>
      </c>
      <c r="D260" s="10" t="s">
        <v>1792</v>
      </c>
      <c r="E260" s="12">
        <v>17002.41</v>
      </c>
      <c r="F260" s="10" t="s">
        <v>1904</v>
      </c>
    </row>
    <row r="261" spans="1:6" x14ac:dyDescent="0.25">
      <c r="A261" s="13" t="s">
        <v>2120</v>
      </c>
      <c r="B261" s="14">
        <v>45426</v>
      </c>
      <c r="C261" s="13" t="s">
        <v>1774</v>
      </c>
      <c r="D261" s="13" t="s">
        <v>1795</v>
      </c>
      <c r="E261" s="15">
        <v>5948.47</v>
      </c>
      <c r="F261" s="13" t="s">
        <v>2062</v>
      </c>
    </row>
    <row r="262" spans="1:6" x14ac:dyDescent="0.25">
      <c r="A262" s="10" t="s">
        <v>2121</v>
      </c>
      <c r="B262" s="11">
        <v>45434</v>
      </c>
      <c r="C262" s="10" t="s">
        <v>1774</v>
      </c>
      <c r="D262" s="10" t="s">
        <v>1797</v>
      </c>
      <c r="E262" s="12">
        <v>7366.51</v>
      </c>
      <c r="F262" s="10" t="s">
        <v>1863</v>
      </c>
    </row>
    <row r="263" spans="1:6" x14ac:dyDescent="0.25">
      <c r="A263" s="13" t="s">
        <v>2122</v>
      </c>
      <c r="B263" s="14">
        <v>45422</v>
      </c>
      <c r="C263" s="13" t="s">
        <v>1799</v>
      </c>
      <c r="D263" s="13" t="s">
        <v>1775</v>
      </c>
      <c r="E263" s="15">
        <v>47524.42</v>
      </c>
      <c r="F263" s="13" t="s">
        <v>1828</v>
      </c>
    </row>
    <row r="264" spans="1:6" x14ac:dyDescent="0.25">
      <c r="A264" s="10" t="s">
        <v>2123</v>
      </c>
      <c r="B264" s="11">
        <v>45423</v>
      </c>
      <c r="C264" s="10" t="s">
        <v>1799</v>
      </c>
      <c r="D264" s="10" t="s">
        <v>1778</v>
      </c>
      <c r="E264" s="12">
        <v>10714.03</v>
      </c>
      <c r="F264" s="10" t="s">
        <v>1808</v>
      </c>
    </row>
    <row r="265" spans="1:6" x14ac:dyDescent="0.25">
      <c r="A265" s="13" t="s">
        <v>2124</v>
      </c>
      <c r="B265" s="14">
        <v>45428</v>
      </c>
      <c r="C265" s="13" t="s">
        <v>1799</v>
      </c>
      <c r="D265" s="13" t="s">
        <v>1780</v>
      </c>
      <c r="E265" s="15">
        <v>5509.33</v>
      </c>
      <c r="F265" s="13" t="s">
        <v>1828</v>
      </c>
    </row>
    <row r="266" spans="1:6" x14ac:dyDescent="0.25">
      <c r="A266" s="10" t="s">
        <v>2125</v>
      </c>
      <c r="B266" s="11">
        <v>45422</v>
      </c>
      <c r="C266" s="10" t="s">
        <v>1799</v>
      </c>
      <c r="D266" s="10" t="s">
        <v>1783</v>
      </c>
      <c r="E266" s="12">
        <v>7370.92</v>
      </c>
      <c r="F266" s="10" t="s">
        <v>1930</v>
      </c>
    </row>
    <row r="267" spans="1:6" x14ac:dyDescent="0.25">
      <c r="A267" s="13" t="s">
        <v>2126</v>
      </c>
      <c r="B267" s="14">
        <v>45421</v>
      </c>
      <c r="C267" s="13" t="s">
        <v>1799</v>
      </c>
      <c r="D267" s="13" t="s">
        <v>1786</v>
      </c>
      <c r="E267" s="15">
        <v>8466.5400000000009</v>
      </c>
      <c r="F267" s="13" t="s">
        <v>1997</v>
      </c>
    </row>
    <row r="268" spans="1:6" x14ac:dyDescent="0.25">
      <c r="A268" s="10" t="s">
        <v>2127</v>
      </c>
      <c r="B268" s="11">
        <v>45415</v>
      </c>
      <c r="C268" s="10" t="s">
        <v>1799</v>
      </c>
      <c r="D268" s="10" t="s">
        <v>1789</v>
      </c>
      <c r="E268" s="12">
        <v>4992.66</v>
      </c>
      <c r="F268" s="10" t="s">
        <v>2128</v>
      </c>
    </row>
    <row r="269" spans="1:6" x14ac:dyDescent="0.25">
      <c r="A269" s="13" t="s">
        <v>2129</v>
      </c>
      <c r="B269" s="14">
        <v>45435</v>
      </c>
      <c r="C269" s="13" t="s">
        <v>1799</v>
      </c>
      <c r="D269" s="13" t="s">
        <v>1792</v>
      </c>
      <c r="E269" s="15">
        <v>9229.69</v>
      </c>
      <c r="F269" s="13" t="s">
        <v>1787</v>
      </c>
    </row>
    <row r="270" spans="1:6" x14ac:dyDescent="0.25">
      <c r="A270" s="10" t="s">
        <v>2130</v>
      </c>
      <c r="B270" s="11">
        <v>45416</v>
      </c>
      <c r="C270" s="10" t="s">
        <v>1799</v>
      </c>
      <c r="D270" s="10" t="s">
        <v>1795</v>
      </c>
      <c r="E270" s="12">
        <v>3259.89</v>
      </c>
      <c r="F270" s="10" t="s">
        <v>1946</v>
      </c>
    </row>
    <row r="271" spans="1:6" x14ac:dyDescent="0.25">
      <c r="A271" s="13" t="s">
        <v>2131</v>
      </c>
      <c r="B271" s="14">
        <v>45436</v>
      </c>
      <c r="C271" s="13" t="s">
        <v>1799</v>
      </c>
      <c r="D271" s="13" t="s">
        <v>1797</v>
      </c>
      <c r="E271" s="15">
        <v>3309.62</v>
      </c>
      <c r="F271" s="13" t="s">
        <v>1820</v>
      </c>
    </row>
    <row r="272" spans="1:6" x14ac:dyDescent="0.25">
      <c r="A272" s="10" t="s">
        <v>2132</v>
      </c>
      <c r="B272" s="11">
        <v>45416</v>
      </c>
      <c r="C272" s="10" t="s">
        <v>1818</v>
      </c>
      <c r="D272" s="10" t="s">
        <v>1775</v>
      </c>
      <c r="E272" s="12">
        <v>36245.39</v>
      </c>
      <c r="F272" s="10" t="s">
        <v>2005</v>
      </c>
    </row>
    <row r="273" spans="1:6" x14ac:dyDescent="0.25">
      <c r="A273" s="13" t="s">
        <v>2133</v>
      </c>
      <c r="B273" s="14">
        <v>45422</v>
      </c>
      <c r="C273" s="13" t="s">
        <v>1818</v>
      </c>
      <c r="D273" s="13" t="s">
        <v>1778</v>
      </c>
      <c r="E273" s="15">
        <v>8402.86</v>
      </c>
      <c r="F273" s="13" t="s">
        <v>1871</v>
      </c>
    </row>
    <row r="274" spans="1:6" x14ac:dyDescent="0.25">
      <c r="A274" s="10" t="s">
        <v>2134</v>
      </c>
      <c r="B274" s="11">
        <v>45424</v>
      </c>
      <c r="C274" s="10" t="s">
        <v>1818</v>
      </c>
      <c r="D274" s="10" t="s">
        <v>1780</v>
      </c>
      <c r="E274" s="12">
        <v>4178.5</v>
      </c>
      <c r="F274" s="10" t="s">
        <v>1882</v>
      </c>
    </row>
    <row r="275" spans="1:6" x14ac:dyDescent="0.25">
      <c r="A275" s="13" t="s">
        <v>2135</v>
      </c>
      <c r="B275" s="14">
        <v>45414</v>
      </c>
      <c r="C275" s="13" t="s">
        <v>1818</v>
      </c>
      <c r="D275" s="13" t="s">
        <v>1783</v>
      </c>
      <c r="E275" s="15">
        <v>7532.88</v>
      </c>
      <c r="F275" s="13" t="s">
        <v>1822</v>
      </c>
    </row>
    <row r="276" spans="1:6" x14ac:dyDescent="0.25">
      <c r="A276" s="10" t="s">
        <v>2136</v>
      </c>
      <c r="B276" s="11">
        <v>45430</v>
      </c>
      <c r="C276" s="10" t="s">
        <v>1818</v>
      </c>
      <c r="D276" s="10" t="s">
        <v>1786</v>
      </c>
      <c r="E276" s="12">
        <v>7031.12</v>
      </c>
      <c r="F276" s="10" t="s">
        <v>1924</v>
      </c>
    </row>
    <row r="277" spans="1:6" x14ac:dyDescent="0.25">
      <c r="A277" s="13" t="s">
        <v>2137</v>
      </c>
      <c r="B277" s="14">
        <v>45425</v>
      </c>
      <c r="C277" s="13" t="s">
        <v>1818</v>
      </c>
      <c r="D277" s="13" t="s">
        <v>1789</v>
      </c>
      <c r="E277" s="15">
        <v>4125.4399999999996</v>
      </c>
      <c r="F277" s="13" t="s">
        <v>1988</v>
      </c>
    </row>
    <row r="278" spans="1:6" x14ac:dyDescent="0.25">
      <c r="A278" s="10" t="s">
        <v>2138</v>
      </c>
      <c r="B278" s="11">
        <v>45420</v>
      </c>
      <c r="C278" s="10" t="s">
        <v>1818</v>
      </c>
      <c r="D278" s="10" t="s">
        <v>1792</v>
      </c>
      <c r="E278" s="12">
        <v>6528.42</v>
      </c>
      <c r="F278" s="10" t="s">
        <v>1880</v>
      </c>
    </row>
    <row r="279" spans="1:6" x14ac:dyDescent="0.25">
      <c r="A279" s="13" t="s">
        <v>2139</v>
      </c>
      <c r="B279" s="14">
        <v>45418</v>
      </c>
      <c r="C279" s="13" t="s">
        <v>1818</v>
      </c>
      <c r="D279" s="13" t="s">
        <v>1795</v>
      </c>
      <c r="E279" s="15">
        <v>2652.08</v>
      </c>
      <c r="F279" s="13" t="s">
        <v>1906</v>
      </c>
    </row>
    <row r="280" spans="1:6" x14ac:dyDescent="0.25">
      <c r="A280" s="10" t="s">
        <v>2140</v>
      </c>
      <c r="B280" s="11">
        <v>45416</v>
      </c>
      <c r="C280" s="10" t="s">
        <v>1818</v>
      </c>
      <c r="D280" s="10" t="s">
        <v>1797</v>
      </c>
      <c r="E280" s="12">
        <v>2320.2199999999998</v>
      </c>
      <c r="F280" s="10" t="s">
        <v>1891</v>
      </c>
    </row>
    <row r="281" spans="1:6" x14ac:dyDescent="0.25">
      <c r="A281" s="13" t="s">
        <v>2141</v>
      </c>
      <c r="B281" s="14">
        <v>45436</v>
      </c>
      <c r="C281" s="13" t="s">
        <v>1786</v>
      </c>
      <c r="D281" s="13" t="s">
        <v>1775</v>
      </c>
      <c r="E281" s="15">
        <v>67873.740000000005</v>
      </c>
      <c r="F281" s="13" t="s">
        <v>1939</v>
      </c>
    </row>
    <row r="282" spans="1:6" x14ac:dyDescent="0.25">
      <c r="A282" s="10" t="s">
        <v>2142</v>
      </c>
      <c r="B282" s="11">
        <v>45428</v>
      </c>
      <c r="C282" s="10" t="s">
        <v>1786</v>
      </c>
      <c r="D282" s="10" t="s">
        <v>1778</v>
      </c>
      <c r="E282" s="12">
        <v>18151.240000000002</v>
      </c>
      <c r="F282" s="10" t="s">
        <v>1888</v>
      </c>
    </row>
    <row r="283" spans="1:6" x14ac:dyDescent="0.25">
      <c r="A283" s="13" t="s">
        <v>2143</v>
      </c>
      <c r="B283" s="14">
        <v>45435</v>
      </c>
      <c r="C283" s="13" t="s">
        <v>1786</v>
      </c>
      <c r="D283" s="13" t="s">
        <v>1780</v>
      </c>
      <c r="E283" s="15">
        <v>7193.97</v>
      </c>
      <c r="F283" s="13" t="s">
        <v>1781</v>
      </c>
    </row>
    <row r="284" spans="1:6" x14ac:dyDescent="0.25">
      <c r="A284" s="10" t="s">
        <v>2144</v>
      </c>
      <c r="B284" s="11">
        <v>45423</v>
      </c>
      <c r="C284" s="10" t="s">
        <v>1786</v>
      </c>
      <c r="D284" s="10" t="s">
        <v>1783</v>
      </c>
      <c r="E284" s="12">
        <v>13466.47</v>
      </c>
      <c r="F284" s="10" t="s">
        <v>1844</v>
      </c>
    </row>
    <row r="285" spans="1:6" x14ac:dyDescent="0.25">
      <c r="A285" s="13" t="s">
        <v>2145</v>
      </c>
      <c r="B285" s="14">
        <v>45414</v>
      </c>
      <c r="C285" s="13" t="s">
        <v>1786</v>
      </c>
      <c r="D285" s="13" t="s">
        <v>1786</v>
      </c>
      <c r="E285" s="15">
        <v>10641.12</v>
      </c>
      <c r="F285" s="13" t="s">
        <v>1960</v>
      </c>
    </row>
    <row r="286" spans="1:6" x14ac:dyDescent="0.25">
      <c r="A286" s="10" t="s">
        <v>2146</v>
      </c>
      <c r="B286" s="11">
        <v>45430</v>
      </c>
      <c r="C286" s="10" t="s">
        <v>1786</v>
      </c>
      <c r="D286" s="10" t="s">
        <v>1789</v>
      </c>
      <c r="E286" s="12">
        <v>7198.89</v>
      </c>
      <c r="F286" s="10" t="s">
        <v>1833</v>
      </c>
    </row>
    <row r="287" spans="1:6" x14ac:dyDescent="0.25">
      <c r="A287" s="13" t="s">
        <v>2147</v>
      </c>
      <c r="B287" s="14">
        <v>45428</v>
      </c>
      <c r="C287" s="13" t="s">
        <v>1786</v>
      </c>
      <c r="D287" s="13" t="s">
        <v>1792</v>
      </c>
      <c r="E287" s="15">
        <v>11075.21</v>
      </c>
      <c r="F287" s="13" t="s">
        <v>1977</v>
      </c>
    </row>
    <row r="288" spans="1:6" x14ac:dyDescent="0.25">
      <c r="A288" s="10" t="s">
        <v>2148</v>
      </c>
      <c r="B288" s="11">
        <v>45425</v>
      </c>
      <c r="C288" s="10" t="s">
        <v>1786</v>
      </c>
      <c r="D288" s="10" t="s">
        <v>1795</v>
      </c>
      <c r="E288" s="12">
        <v>4772.04</v>
      </c>
      <c r="F288" s="10" t="s">
        <v>1776</v>
      </c>
    </row>
    <row r="289" spans="1:6" x14ac:dyDescent="0.25">
      <c r="A289" s="13" t="s">
        <v>2149</v>
      </c>
      <c r="B289" s="14">
        <v>45414</v>
      </c>
      <c r="C289" s="13" t="s">
        <v>1786</v>
      </c>
      <c r="D289" s="13" t="s">
        <v>1797</v>
      </c>
      <c r="E289" s="15">
        <v>4818.37</v>
      </c>
      <c r="F289" s="13" t="s">
        <v>1859</v>
      </c>
    </row>
    <row r="290" spans="1:6" x14ac:dyDescent="0.25">
      <c r="A290" s="10" t="s">
        <v>2150</v>
      </c>
      <c r="B290" s="11">
        <v>45421</v>
      </c>
      <c r="C290" s="10" t="s">
        <v>1792</v>
      </c>
      <c r="D290" s="10" t="s">
        <v>1775</v>
      </c>
      <c r="E290" s="12">
        <v>108214.3</v>
      </c>
      <c r="F290" s="10" t="s">
        <v>1820</v>
      </c>
    </row>
    <row r="291" spans="1:6" x14ac:dyDescent="0.25">
      <c r="A291" s="13" t="s">
        <v>2151</v>
      </c>
      <c r="B291" s="14">
        <v>45423</v>
      </c>
      <c r="C291" s="13" t="s">
        <v>1792</v>
      </c>
      <c r="D291" s="13" t="s">
        <v>1778</v>
      </c>
      <c r="E291" s="15">
        <v>16958.330000000002</v>
      </c>
      <c r="F291" s="13" t="s">
        <v>1824</v>
      </c>
    </row>
    <row r="292" spans="1:6" x14ac:dyDescent="0.25">
      <c r="A292" s="10" t="s">
        <v>2152</v>
      </c>
      <c r="B292" s="11">
        <v>45434</v>
      </c>
      <c r="C292" s="10" t="s">
        <v>1792</v>
      </c>
      <c r="D292" s="10" t="s">
        <v>1780</v>
      </c>
      <c r="E292" s="12">
        <v>10500.43</v>
      </c>
      <c r="F292" s="10" t="s">
        <v>1790</v>
      </c>
    </row>
    <row r="293" spans="1:6" x14ac:dyDescent="0.25">
      <c r="A293" s="13" t="s">
        <v>2153</v>
      </c>
      <c r="B293" s="14">
        <v>45422</v>
      </c>
      <c r="C293" s="13" t="s">
        <v>1792</v>
      </c>
      <c r="D293" s="13" t="s">
        <v>1783</v>
      </c>
      <c r="E293" s="15">
        <v>14939.02</v>
      </c>
      <c r="F293" s="13" t="s">
        <v>1806</v>
      </c>
    </row>
    <row r="294" spans="1:6" x14ac:dyDescent="0.25">
      <c r="A294" s="10" t="s">
        <v>2154</v>
      </c>
      <c r="B294" s="11">
        <v>45427</v>
      </c>
      <c r="C294" s="10" t="s">
        <v>1792</v>
      </c>
      <c r="D294" s="10" t="s">
        <v>1786</v>
      </c>
      <c r="E294" s="12">
        <v>12862.37</v>
      </c>
      <c r="F294" s="10" t="s">
        <v>1884</v>
      </c>
    </row>
    <row r="295" spans="1:6" x14ac:dyDescent="0.25">
      <c r="A295" s="13" t="s">
        <v>2155</v>
      </c>
      <c r="B295" s="14">
        <v>45439</v>
      </c>
      <c r="C295" s="13" t="s">
        <v>1792</v>
      </c>
      <c r="D295" s="13" t="s">
        <v>1789</v>
      </c>
      <c r="E295" s="15">
        <v>10154.39</v>
      </c>
      <c r="F295" s="13" t="s">
        <v>1960</v>
      </c>
    </row>
    <row r="296" spans="1:6" x14ac:dyDescent="0.25">
      <c r="A296" s="10" t="s">
        <v>2156</v>
      </c>
      <c r="B296" s="11">
        <v>45414</v>
      </c>
      <c r="C296" s="10" t="s">
        <v>1792</v>
      </c>
      <c r="D296" s="10" t="s">
        <v>1792</v>
      </c>
      <c r="E296" s="12">
        <v>15893.62</v>
      </c>
      <c r="F296" s="10" t="s">
        <v>1968</v>
      </c>
    </row>
    <row r="297" spans="1:6" x14ac:dyDescent="0.25">
      <c r="A297" s="13" t="s">
        <v>2157</v>
      </c>
      <c r="B297" s="14">
        <v>45422</v>
      </c>
      <c r="C297" s="13" t="s">
        <v>1792</v>
      </c>
      <c r="D297" s="13" t="s">
        <v>1795</v>
      </c>
      <c r="E297" s="15">
        <v>5178.29</v>
      </c>
      <c r="F297" s="13" t="s">
        <v>1856</v>
      </c>
    </row>
    <row r="298" spans="1:6" x14ac:dyDescent="0.25">
      <c r="A298" s="10" t="s">
        <v>2158</v>
      </c>
      <c r="B298" s="11">
        <v>45439</v>
      </c>
      <c r="C298" s="10" t="s">
        <v>1792</v>
      </c>
      <c r="D298" s="10" t="s">
        <v>1797</v>
      </c>
      <c r="E298" s="12">
        <v>5897.78</v>
      </c>
      <c r="F298" s="10" t="s">
        <v>2159</v>
      </c>
    </row>
    <row r="299" spans="1:6" x14ac:dyDescent="0.25">
      <c r="A299" s="13" t="s">
        <v>2160</v>
      </c>
      <c r="B299" s="14">
        <v>45439</v>
      </c>
      <c r="C299" s="13" t="s">
        <v>1862</v>
      </c>
      <c r="D299" s="13" t="s">
        <v>1775</v>
      </c>
      <c r="E299" s="15">
        <v>48819.71</v>
      </c>
      <c r="F299" s="13" t="s">
        <v>1997</v>
      </c>
    </row>
    <row r="300" spans="1:6" x14ac:dyDescent="0.25">
      <c r="A300" s="10" t="s">
        <v>2161</v>
      </c>
      <c r="B300" s="11">
        <v>45436</v>
      </c>
      <c r="C300" s="10" t="s">
        <v>1862</v>
      </c>
      <c r="D300" s="10" t="s">
        <v>1778</v>
      </c>
      <c r="E300" s="12">
        <v>10284.379999999999</v>
      </c>
      <c r="F300" s="10" t="s">
        <v>2162</v>
      </c>
    </row>
    <row r="301" spans="1:6" x14ac:dyDescent="0.25">
      <c r="A301" s="13" t="s">
        <v>2163</v>
      </c>
      <c r="B301" s="14">
        <v>45437</v>
      </c>
      <c r="C301" s="13" t="s">
        <v>1862</v>
      </c>
      <c r="D301" s="13" t="s">
        <v>1780</v>
      </c>
      <c r="E301" s="15">
        <v>4935.41</v>
      </c>
      <c r="F301" s="13" t="s">
        <v>1828</v>
      </c>
    </row>
    <row r="302" spans="1:6" x14ac:dyDescent="0.25">
      <c r="A302" s="10" t="s">
        <v>2164</v>
      </c>
      <c r="B302" s="11">
        <v>45418</v>
      </c>
      <c r="C302" s="10" t="s">
        <v>1862</v>
      </c>
      <c r="D302" s="10" t="s">
        <v>1783</v>
      </c>
      <c r="E302" s="12">
        <v>6790.83</v>
      </c>
      <c r="F302" s="10" t="s">
        <v>1924</v>
      </c>
    </row>
    <row r="303" spans="1:6" x14ac:dyDescent="0.25">
      <c r="A303" s="13" t="s">
        <v>2165</v>
      </c>
      <c r="B303" s="14">
        <v>45424</v>
      </c>
      <c r="C303" s="13" t="s">
        <v>1862</v>
      </c>
      <c r="D303" s="13" t="s">
        <v>1786</v>
      </c>
      <c r="E303" s="15">
        <v>6627.74</v>
      </c>
      <c r="F303" s="13" t="s">
        <v>1924</v>
      </c>
    </row>
    <row r="304" spans="1:6" x14ac:dyDescent="0.25">
      <c r="A304" s="10" t="s">
        <v>2166</v>
      </c>
      <c r="B304" s="11">
        <v>45434</v>
      </c>
      <c r="C304" s="10" t="s">
        <v>1862</v>
      </c>
      <c r="D304" s="10" t="s">
        <v>1789</v>
      </c>
      <c r="E304" s="12">
        <v>4657.6000000000004</v>
      </c>
      <c r="F304" s="10" t="s">
        <v>1836</v>
      </c>
    </row>
    <row r="305" spans="1:6" x14ac:dyDescent="0.25">
      <c r="A305" s="13" t="s">
        <v>2167</v>
      </c>
      <c r="B305" s="14">
        <v>45432</v>
      </c>
      <c r="C305" s="13" t="s">
        <v>1862</v>
      </c>
      <c r="D305" s="13" t="s">
        <v>1792</v>
      </c>
      <c r="E305" s="15">
        <v>7812.6</v>
      </c>
      <c r="F305" s="13" t="s">
        <v>1935</v>
      </c>
    </row>
    <row r="306" spans="1:6" x14ac:dyDescent="0.25">
      <c r="A306" s="10" t="s">
        <v>2168</v>
      </c>
      <c r="B306" s="11">
        <v>45419</v>
      </c>
      <c r="C306" s="10" t="s">
        <v>1862</v>
      </c>
      <c r="D306" s="10" t="s">
        <v>1795</v>
      </c>
      <c r="E306" s="12">
        <v>2298.91</v>
      </c>
      <c r="F306" s="10" t="s">
        <v>1833</v>
      </c>
    </row>
    <row r="307" spans="1:6" x14ac:dyDescent="0.25">
      <c r="A307" s="13" t="s">
        <v>2169</v>
      </c>
      <c r="B307" s="14">
        <v>45434</v>
      </c>
      <c r="C307" s="13" t="s">
        <v>1862</v>
      </c>
      <c r="D307" s="13" t="s">
        <v>1797</v>
      </c>
      <c r="E307" s="15">
        <v>2463.4699999999998</v>
      </c>
      <c r="F307" s="13" t="s">
        <v>1814</v>
      </c>
    </row>
    <row r="308" spans="1:6" x14ac:dyDescent="0.25">
      <c r="A308" s="10" t="s">
        <v>2170</v>
      </c>
      <c r="B308" s="11">
        <v>45415</v>
      </c>
      <c r="C308" s="10" t="s">
        <v>1877</v>
      </c>
      <c r="D308" s="10" t="s">
        <v>1775</v>
      </c>
      <c r="E308" s="12">
        <v>65620.05</v>
      </c>
      <c r="F308" s="10" t="s">
        <v>2074</v>
      </c>
    </row>
    <row r="309" spans="1:6" x14ac:dyDescent="0.25">
      <c r="A309" s="13" t="s">
        <v>2171</v>
      </c>
      <c r="B309" s="14">
        <v>45430</v>
      </c>
      <c r="C309" s="13" t="s">
        <v>1877</v>
      </c>
      <c r="D309" s="13" t="s">
        <v>1778</v>
      </c>
      <c r="E309" s="15">
        <v>12583.82</v>
      </c>
      <c r="F309" s="13" t="s">
        <v>1958</v>
      </c>
    </row>
    <row r="310" spans="1:6" x14ac:dyDescent="0.25">
      <c r="A310" s="10" t="s">
        <v>2172</v>
      </c>
      <c r="B310" s="11">
        <v>45428</v>
      </c>
      <c r="C310" s="10" t="s">
        <v>1877</v>
      </c>
      <c r="D310" s="10" t="s">
        <v>1780</v>
      </c>
      <c r="E310" s="12">
        <v>7332.05</v>
      </c>
      <c r="F310" s="10" t="s">
        <v>2159</v>
      </c>
    </row>
    <row r="311" spans="1:6" x14ac:dyDescent="0.25">
      <c r="A311" s="13" t="s">
        <v>2173</v>
      </c>
      <c r="B311" s="14">
        <v>45427</v>
      </c>
      <c r="C311" s="13" t="s">
        <v>1877</v>
      </c>
      <c r="D311" s="13" t="s">
        <v>1783</v>
      </c>
      <c r="E311" s="15">
        <v>10749.73</v>
      </c>
      <c r="F311" s="13" t="s">
        <v>1867</v>
      </c>
    </row>
    <row r="312" spans="1:6" x14ac:dyDescent="0.25">
      <c r="A312" s="10" t="s">
        <v>2174</v>
      </c>
      <c r="B312" s="11">
        <v>45423</v>
      </c>
      <c r="C312" s="10" t="s">
        <v>1877</v>
      </c>
      <c r="D312" s="10" t="s">
        <v>1786</v>
      </c>
      <c r="E312" s="12">
        <v>11227.68</v>
      </c>
      <c r="F312" s="10" t="s">
        <v>1826</v>
      </c>
    </row>
    <row r="313" spans="1:6" x14ac:dyDescent="0.25">
      <c r="A313" s="13" t="s">
        <v>2175</v>
      </c>
      <c r="B313" s="14">
        <v>45415</v>
      </c>
      <c r="C313" s="13" t="s">
        <v>1877</v>
      </c>
      <c r="D313" s="13" t="s">
        <v>1789</v>
      </c>
      <c r="E313" s="15">
        <v>7238.47</v>
      </c>
      <c r="F313" s="13" t="s">
        <v>2072</v>
      </c>
    </row>
    <row r="314" spans="1:6" x14ac:dyDescent="0.25">
      <c r="A314" s="10" t="s">
        <v>2176</v>
      </c>
      <c r="B314" s="11">
        <v>45431</v>
      </c>
      <c r="C314" s="10" t="s">
        <v>1877</v>
      </c>
      <c r="D314" s="10" t="s">
        <v>1792</v>
      </c>
      <c r="E314" s="12">
        <v>12128.91</v>
      </c>
      <c r="F314" s="10" t="s">
        <v>1804</v>
      </c>
    </row>
    <row r="315" spans="1:6" x14ac:dyDescent="0.25">
      <c r="A315" s="13" t="s">
        <v>2177</v>
      </c>
      <c r="B315" s="14">
        <v>45431</v>
      </c>
      <c r="C315" s="13" t="s">
        <v>1877</v>
      </c>
      <c r="D315" s="13" t="s">
        <v>1795</v>
      </c>
      <c r="E315" s="15">
        <v>4185.03</v>
      </c>
      <c r="F315" s="13" t="s">
        <v>1884</v>
      </c>
    </row>
    <row r="316" spans="1:6" x14ac:dyDescent="0.25">
      <c r="A316" s="10" t="s">
        <v>2178</v>
      </c>
      <c r="B316" s="11">
        <v>45413</v>
      </c>
      <c r="C316" s="10" t="s">
        <v>1877</v>
      </c>
      <c r="D316" s="10" t="s">
        <v>1797</v>
      </c>
      <c r="E316" s="12">
        <v>4816.1000000000004</v>
      </c>
      <c r="F316" s="10" t="s">
        <v>1924</v>
      </c>
    </row>
    <row r="317" spans="1:6" x14ac:dyDescent="0.25">
      <c r="A317" s="13" t="s">
        <v>2179</v>
      </c>
      <c r="B317" s="14">
        <v>45470</v>
      </c>
      <c r="C317" s="13" t="s">
        <v>1774</v>
      </c>
      <c r="D317" s="13" t="s">
        <v>1775</v>
      </c>
      <c r="E317" s="15">
        <v>121631.34</v>
      </c>
      <c r="F317" s="13" t="s">
        <v>1997</v>
      </c>
    </row>
    <row r="318" spans="1:6" x14ac:dyDescent="0.25">
      <c r="A318" s="10" t="s">
        <v>2180</v>
      </c>
      <c r="B318" s="11">
        <v>45457</v>
      </c>
      <c r="C318" s="10" t="s">
        <v>1774</v>
      </c>
      <c r="D318" s="10" t="s">
        <v>1778</v>
      </c>
      <c r="E318" s="12">
        <v>22326.33</v>
      </c>
      <c r="F318" s="10" t="s">
        <v>2042</v>
      </c>
    </row>
    <row r="319" spans="1:6" x14ac:dyDescent="0.25">
      <c r="A319" s="13" t="s">
        <v>2181</v>
      </c>
      <c r="B319" s="14">
        <v>45453</v>
      </c>
      <c r="C319" s="13" t="s">
        <v>1774</v>
      </c>
      <c r="D319" s="13" t="s">
        <v>1780</v>
      </c>
      <c r="E319" s="15">
        <v>12427.69</v>
      </c>
      <c r="F319" s="13" t="s">
        <v>1997</v>
      </c>
    </row>
    <row r="320" spans="1:6" x14ac:dyDescent="0.25">
      <c r="A320" s="10" t="s">
        <v>2182</v>
      </c>
      <c r="B320" s="11">
        <v>45460</v>
      </c>
      <c r="C320" s="10" t="s">
        <v>1774</v>
      </c>
      <c r="D320" s="10" t="s">
        <v>1783</v>
      </c>
      <c r="E320" s="12">
        <v>17879.45</v>
      </c>
      <c r="F320" s="10" t="s">
        <v>1968</v>
      </c>
    </row>
    <row r="321" spans="1:6" x14ac:dyDescent="0.25">
      <c r="A321" s="13" t="s">
        <v>2183</v>
      </c>
      <c r="B321" s="14">
        <v>45454</v>
      </c>
      <c r="C321" s="13" t="s">
        <v>1774</v>
      </c>
      <c r="D321" s="13" t="s">
        <v>1786</v>
      </c>
      <c r="E321" s="15">
        <v>17311.7</v>
      </c>
      <c r="F321" s="13" t="s">
        <v>1784</v>
      </c>
    </row>
    <row r="322" spans="1:6" x14ac:dyDescent="0.25">
      <c r="A322" s="10" t="s">
        <v>2184</v>
      </c>
      <c r="B322" s="11">
        <v>45453</v>
      </c>
      <c r="C322" s="10" t="s">
        <v>1774</v>
      </c>
      <c r="D322" s="10" t="s">
        <v>1789</v>
      </c>
      <c r="E322" s="12">
        <v>11865.38</v>
      </c>
      <c r="F322" s="10" t="s">
        <v>1793</v>
      </c>
    </row>
    <row r="323" spans="1:6" x14ac:dyDescent="0.25">
      <c r="A323" s="13" t="s">
        <v>2185</v>
      </c>
      <c r="B323" s="14">
        <v>45457</v>
      </c>
      <c r="C323" s="13" t="s">
        <v>1774</v>
      </c>
      <c r="D323" s="13" t="s">
        <v>1792</v>
      </c>
      <c r="E323" s="15">
        <v>20078.5</v>
      </c>
      <c r="F323" s="13" t="s">
        <v>2186</v>
      </c>
    </row>
    <row r="324" spans="1:6" x14ac:dyDescent="0.25">
      <c r="A324" s="10" t="s">
        <v>2187</v>
      </c>
      <c r="B324" s="11">
        <v>45449</v>
      </c>
      <c r="C324" s="10" t="s">
        <v>1774</v>
      </c>
      <c r="D324" s="10" t="s">
        <v>1795</v>
      </c>
      <c r="E324" s="12">
        <v>6726.17</v>
      </c>
      <c r="F324" s="10" t="s">
        <v>1988</v>
      </c>
    </row>
    <row r="325" spans="1:6" x14ac:dyDescent="0.25">
      <c r="A325" s="13" t="s">
        <v>2188</v>
      </c>
      <c r="B325" s="14">
        <v>45448</v>
      </c>
      <c r="C325" s="13" t="s">
        <v>1774</v>
      </c>
      <c r="D325" s="13" t="s">
        <v>1797</v>
      </c>
      <c r="E325" s="15">
        <v>6763.67</v>
      </c>
      <c r="F325" s="13" t="s">
        <v>1793</v>
      </c>
    </row>
    <row r="326" spans="1:6" x14ac:dyDescent="0.25">
      <c r="A326" s="10" t="s">
        <v>2189</v>
      </c>
      <c r="B326" s="11">
        <v>45452</v>
      </c>
      <c r="C326" s="10" t="s">
        <v>1799</v>
      </c>
      <c r="D326" s="10" t="s">
        <v>1775</v>
      </c>
      <c r="E326" s="12">
        <v>44194.65</v>
      </c>
      <c r="F326" s="10" t="s">
        <v>1867</v>
      </c>
    </row>
    <row r="327" spans="1:6" x14ac:dyDescent="0.25">
      <c r="A327" s="13" t="s">
        <v>2190</v>
      </c>
      <c r="B327" s="14">
        <v>45462</v>
      </c>
      <c r="C327" s="13" t="s">
        <v>1799</v>
      </c>
      <c r="D327" s="13" t="s">
        <v>1778</v>
      </c>
      <c r="E327" s="15">
        <v>10854.73</v>
      </c>
      <c r="F327" s="13" t="s">
        <v>1844</v>
      </c>
    </row>
    <row r="328" spans="1:6" x14ac:dyDescent="0.25">
      <c r="A328" s="10" t="s">
        <v>2191</v>
      </c>
      <c r="B328" s="11">
        <v>45459</v>
      </c>
      <c r="C328" s="10" t="s">
        <v>1799</v>
      </c>
      <c r="D328" s="10" t="s">
        <v>1780</v>
      </c>
      <c r="E328" s="12">
        <v>5337.4</v>
      </c>
      <c r="F328" s="10" t="s">
        <v>2192</v>
      </c>
    </row>
    <row r="329" spans="1:6" x14ac:dyDescent="0.25">
      <c r="A329" s="13" t="s">
        <v>2193</v>
      </c>
      <c r="B329" s="14">
        <v>45468</v>
      </c>
      <c r="C329" s="13" t="s">
        <v>1799</v>
      </c>
      <c r="D329" s="13" t="s">
        <v>1783</v>
      </c>
      <c r="E329" s="15">
        <v>6256.47</v>
      </c>
      <c r="F329" s="13" t="s">
        <v>1901</v>
      </c>
    </row>
    <row r="330" spans="1:6" x14ac:dyDescent="0.25">
      <c r="A330" s="10" t="s">
        <v>2194</v>
      </c>
      <c r="B330" s="11">
        <v>45450</v>
      </c>
      <c r="C330" s="10" t="s">
        <v>1799</v>
      </c>
      <c r="D330" s="10" t="s">
        <v>1786</v>
      </c>
      <c r="E330" s="12">
        <v>8131.16</v>
      </c>
      <c r="F330" s="10" t="s">
        <v>2093</v>
      </c>
    </row>
    <row r="331" spans="1:6" x14ac:dyDescent="0.25">
      <c r="A331" s="13" t="s">
        <v>2195</v>
      </c>
      <c r="B331" s="14">
        <v>45453</v>
      </c>
      <c r="C331" s="13" t="s">
        <v>1799</v>
      </c>
      <c r="D331" s="13" t="s">
        <v>1789</v>
      </c>
      <c r="E331" s="15">
        <v>4542</v>
      </c>
      <c r="F331" s="13" t="s">
        <v>1977</v>
      </c>
    </row>
    <row r="332" spans="1:6" x14ac:dyDescent="0.25">
      <c r="A332" s="10" t="s">
        <v>2196</v>
      </c>
      <c r="B332" s="11">
        <v>45456</v>
      </c>
      <c r="C332" s="10" t="s">
        <v>1799</v>
      </c>
      <c r="D332" s="10" t="s">
        <v>1792</v>
      </c>
      <c r="E332" s="12">
        <v>7865.25</v>
      </c>
      <c r="F332" s="10" t="s">
        <v>1946</v>
      </c>
    </row>
    <row r="333" spans="1:6" x14ac:dyDescent="0.25">
      <c r="A333" s="13" t="s">
        <v>2197</v>
      </c>
      <c r="B333" s="14">
        <v>45445</v>
      </c>
      <c r="C333" s="13" t="s">
        <v>1799</v>
      </c>
      <c r="D333" s="13" t="s">
        <v>1795</v>
      </c>
      <c r="E333" s="15">
        <v>3058.16</v>
      </c>
      <c r="F333" s="13" t="s">
        <v>1898</v>
      </c>
    </row>
    <row r="334" spans="1:6" x14ac:dyDescent="0.25">
      <c r="A334" s="10" t="s">
        <v>2198</v>
      </c>
      <c r="B334" s="11">
        <v>45464</v>
      </c>
      <c r="C334" s="10" t="s">
        <v>1799</v>
      </c>
      <c r="D334" s="10" t="s">
        <v>1797</v>
      </c>
      <c r="E334" s="12">
        <v>2486.21</v>
      </c>
      <c r="F334" s="10" t="s">
        <v>1836</v>
      </c>
    </row>
    <row r="335" spans="1:6" x14ac:dyDescent="0.25">
      <c r="A335" s="13" t="s">
        <v>2199</v>
      </c>
      <c r="B335" s="14">
        <v>45448</v>
      </c>
      <c r="C335" s="13" t="s">
        <v>1818</v>
      </c>
      <c r="D335" s="13" t="s">
        <v>1775</v>
      </c>
      <c r="E335" s="15">
        <v>45505.4</v>
      </c>
      <c r="F335" s="13" t="s">
        <v>2192</v>
      </c>
    </row>
    <row r="336" spans="1:6" x14ac:dyDescent="0.25">
      <c r="A336" s="10" t="s">
        <v>2200</v>
      </c>
      <c r="B336" s="11">
        <v>45469</v>
      </c>
      <c r="C336" s="10" t="s">
        <v>1818</v>
      </c>
      <c r="D336" s="10" t="s">
        <v>1778</v>
      </c>
      <c r="E336" s="12">
        <v>8718.16</v>
      </c>
      <c r="F336" s="10" t="s">
        <v>1852</v>
      </c>
    </row>
    <row r="337" spans="1:6" x14ac:dyDescent="0.25">
      <c r="A337" s="13" t="s">
        <v>2201</v>
      </c>
      <c r="B337" s="14">
        <v>45467</v>
      </c>
      <c r="C337" s="13" t="s">
        <v>1818</v>
      </c>
      <c r="D337" s="13" t="s">
        <v>1780</v>
      </c>
      <c r="E337" s="15">
        <v>4042.78</v>
      </c>
      <c r="F337" s="13" t="s">
        <v>2024</v>
      </c>
    </row>
    <row r="338" spans="1:6" x14ac:dyDescent="0.25">
      <c r="A338" s="10" t="s">
        <v>2202</v>
      </c>
      <c r="B338" s="11">
        <v>45449</v>
      </c>
      <c r="C338" s="10" t="s">
        <v>1818</v>
      </c>
      <c r="D338" s="10" t="s">
        <v>1783</v>
      </c>
      <c r="E338" s="12">
        <v>6001.49</v>
      </c>
      <c r="F338" s="10" t="s">
        <v>1776</v>
      </c>
    </row>
    <row r="339" spans="1:6" x14ac:dyDescent="0.25">
      <c r="A339" s="13" t="s">
        <v>2203</v>
      </c>
      <c r="B339" s="14">
        <v>45465</v>
      </c>
      <c r="C339" s="13" t="s">
        <v>1818</v>
      </c>
      <c r="D339" s="13" t="s">
        <v>1786</v>
      </c>
      <c r="E339" s="15">
        <v>7046.02</v>
      </c>
      <c r="F339" s="13" t="s">
        <v>2078</v>
      </c>
    </row>
    <row r="340" spans="1:6" x14ac:dyDescent="0.25">
      <c r="A340" s="10" t="s">
        <v>2204</v>
      </c>
      <c r="B340" s="11">
        <v>45460</v>
      </c>
      <c r="C340" s="10" t="s">
        <v>1818</v>
      </c>
      <c r="D340" s="10" t="s">
        <v>1789</v>
      </c>
      <c r="E340" s="12">
        <v>4144.71</v>
      </c>
      <c r="F340" s="10" t="s">
        <v>1884</v>
      </c>
    </row>
    <row r="341" spans="1:6" x14ac:dyDescent="0.25">
      <c r="A341" s="13" t="s">
        <v>2205</v>
      </c>
      <c r="B341" s="14">
        <v>45444</v>
      </c>
      <c r="C341" s="13" t="s">
        <v>1818</v>
      </c>
      <c r="D341" s="13" t="s">
        <v>1792</v>
      </c>
      <c r="E341" s="15">
        <v>6724.24</v>
      </c>
      <c r="F341" s="13" t="s">
        <v>1898</v>
      </c>
    </row>
    <row r="342" spans="1:6" x14ac:dyDescent="0.25">
      <c r="A342" s="10" t="s">
        <v>2206</v>
      </c>
      <c r="B342" s="11">
        <v>45454</v>
      </c>
      <c r="C342" s="10" t="s">
        <v>1818</v>
      </c>
      <c r="D342" s="10" t="s">
        <v>1795</v>
      </c>
      <c r="E342" s="12">
        <v>2709.38</v>
      </c>
      <c r="F342" s="10" t="s">
        <v>1906</v>
      </c>
    </row>
    <row r="343" spans="1:6" x14ac:dyDescent="0.25">
      <c r="A343" s="13" t="s">
        <v>2207</v>
      </c>
      <c r="B343" s="14">
        <v>45464</v>
      </c>
      <c r="C343" s="13" t="s">
        <v>1818</v>
      </c>
      <c r="D343" s="13" t="s">
        <v>1797</v>
      </c>
      <c r="E343" s="15">
        <v>2325.34</v>
      </c>
      <c r="F343" s="13" t="s">
        <v>1977</v>
      </c>
    </row>
    <row r="344" spans="1:6" x14ac:dyDescent="0.25">
      <c r="A344" s="10" t="s">
        <v>2208</v>
      </c>
      <c r="B344" s="11">
        <v>45469</v>
      </c>
      <c r="C344" s="10" t="s">
        <v>1786</v>
      </c>
      <c r="D344" s="10" t="s">
        <v>1775</v>
      </c>
      <c r="E344" s="12">
        <v>86512.71</v>
      </c>
      <c r="F344" s="10" t="s">
        <v>1830</v>
      </c>
    </row>
    <row r="345" spans="1:6" x14ac:dyDescent="0.25">
      <c r="A345" s="13" t="s">
        <v>2209</v>
      </c>
      <c r="B345" s="14">
        <v>45465</v>
      </c>
      <c r="C345" s="13" t="s">
        <v>1786</v>
      </c>
      <c r="D345" s="13" t="s">
        <v>1778</v>
      </c>
      <c r="E345" s="15">
        <v>15396.67</v>
      </c>
      <c r="F345" s="13" t="s">
        <v>1840</v>
      </c>
    </row>
    <row r="346" spans="1:6" x14ac:dyDescent="0.25">
      <c r="A346" s="10" t="s">
        <v>2210</v>
      </c>
      <c r="B346" s="11">
        <v>45465</v>
      </c>
      <c r="C346" s="10" t="s">
        <v>1786</v>
      </c>
      <c r="D346" s="10" t="s">
        <v>1780</v>
      </c>
      <c r="E346" s="12">
        <v>6441.19</v>
      </c>
      <c r="F346" s="10" t="s">
        <v>2159</v>
      </c>
    </row>
    <row r="347" spans="1:6" x14ac:dyDescent="0.25">
      <c r="A347" s="13" t="s">
        <v>2211</v>
      </c>
      <c r="B347" s="14">
        <v>45448</v>
      </c>
      <c r="C347" s="13" t="s">
        <v>1786</v>
      </c>
      <c r="D347" s="13" t="s">
        <v>1783</v>
      </c>
      <c r="E347" s="15">
        <v>10541.89</v>
      </c>
      <c r="F347" s="13" t="s">
        <v>1875</v>
      </c>
    </row>
    <row r="348" spans="1:6" x14ac:dyDescent="0.25">
      <c r="A348" s="10" t="s">
        <v>2212</v>
      </c>
      <c r="B348" s="11">
        <v>45459</v>
      </c>
      <c r="C348" s="10" t="s">
        <v>1786</v>
      </c>
      <c r="D348" s="10" t="s">
        <v>1786</v>
      </c>
      <c r="E348" s="12">
        <v>11683.74</v>
      </c>
      <c r="F348" s="10" t="s">
        <v>1850</v>
      </c>
    </row>
    <row r="349" spans="1:6" x14ac:dyDescent="0.25">
      <c r="A349" s="13" t="s">
        <v>2213</v>
      </c>
      <c r="B349" s="14">
        <v>45463</v>
      </c>
      <c r="C349" s="13" t="s">
        <v>1786</v>
      </c>
      <c r="D349" s="13" t="s">
        <v>1789</v>
      </c>
      <c r="E349" s="15">
        <v>7345.32</v>
      </c>
      <c r="F349" s="13" t="s">
        <v>1856</v>
      </c>
    </row>
    <row r="350" spans="1:6" x14ac:dyDescent="0.25">
      <c r="A350" s="10" t="s">
        <v>2214</v>
      </c>
      <c r="B350" s="11">
        <v>45459</v>
      </c>
      <c r="C350" s="10" t="s">
        <v>1786</v>
      </c>
      <c r="D350" s="10" t="s">
        <v>1792</v>
      </c>
      <c r="E350" s="12">
        <v>11352.97</v>
      </c>
      <c r="F350" s="10" t="s">
        <v>2005</v>
      </c>
    </row>
    <row r="351" spans="1:6" x14ac:dyDescent="0.25">
      <c r="A351" s="13" t="s">
        <v>2215</v>
      </c>
      <c r="B351" s="14">
        <v>45444</v>
      </c>
      <c r="C351" s="13" t="s">
        <v>1786</v>
      </c>
      <c r="D351" s="13" t="s">
        <v>1795</v>
      </c>
      <c r="E351" s="15">
        <v>5174.8500000000004</v>
      </c>
      <c r="F351" s="13" t="s">
        <v>1939</v>
      </c>
    </row>
    <row r="352" spans="1:6" x14ac:dyDescent="0.25">
      <c r="A352" s="10" t="s">
        <v>2216</v>
      </c>
      <c r="B352" s="11">
        <v>45462</v>
      </c>
      <c r="C352" s="10" t="s">
        <v>1786</v>
      </c>
      <c r="D352" s="10" t="s">
        <v>1797</v>
      </c>
      <c r="E352" s="12">
        <v>4499.3999999999996</v>
      </c>
      <c r="F352" s="10" t="s">
        <v>1888</v>
      </c>
    </row>
    <row r="353" spans="1:6" x14ac:dyDescent="0.25">
      <c r="A353" s="13" t="s">
        <v>2217</v>
      </c>
      <c r="B353" s="14">
        <v>45463</v>
      </c>
      <c r="C353" s="13" t="s">
        <v>1792</v>
      </c>
      <c r="D353" s="13" t="s">
        <v>1775</v>
      </c>
      <c r="E353" s="15">
        <v>79105.34</v>
      </c>
      <c r="F353" s="13" t="s">
        <v>1810</v>
      </c>
    </row>
    <row r="354" spans="1:6" x14ac:dyDescent="0.25">
      <c r="A354" s="10" t="s">
        <v>2218</v>
      </c>
      <c r="B354" s="11">
        <v>45470</v>
      </c>
      <c r="C354" s="10" t="s">
        <v>1792</v>
      </c>
      <c r="D354" s="10" t="s">
        <v>1778</v>
      </c>
      <c r="E354" s="12">
        <v>18171.169999999998</v>
      </c>
      <c r="F354" s="10" t="s">
        <v>1941</v>
      </c>
    </row>
    <row r="355" spans="1:6" x14ac:dyDescent="0.25">
      <c r="A355" s="13" t="s">
        <v>2219</v>
      </c>
      <c r="B355" s="14">
        <v>45458</v>
      </c>
      <c r="C355" s="13" t="s">
        <v>1792</v>
      </c>
      <c r="D355" s="13" t="s">
        <v>1780</v>
      </c>
      <c r="E355" s="15">
        <v>10234.870000000001</v>
      </c>
      <c r="F355" s="13" t="s">
        <v>1806</v>
      </c>
    </row>
    <row r="356" spans="1:6" x14ac:dyDescent="0.25">
      <c r="A356" s="10" t="s">
        <v>2220</v>
      </c>
      <c r="B356" s="11">
        <v>45454</v>
      </c>
      <c r="C356" s="10" t="s">
        <v>1792</v>
      </c>
      <c r="D356" s="10" t="s">
        <v>1783</v>
      </c>
      <c r="E356" s="12">
        <v>17667.669999999998</v>
      </c>
      <c r="F356" s="10" t="s">
        <v>1781</v>
      </c>
    </row>
    <row r="357" spans="1:6" x14ac:dyDescent="0.25">
      <c r="A357" s="13" t="s">
        <v>2221</v>
      </c>
      <c r="B357" s="14">
        <v>45461</v>
      </c>
      <c r="C357" s="13" t="s">
        <v>1792</v>
      </c>
      <c r="D357" s="13" t="s">
        <v>1786</v>
      </c>
      <c r="E357" s="15">
        <v>13905.04</v>
      </c>
      <c r="F357" s="13" t="s">
        <v>1781</v>
      </c>
    </row>
    <row r="358" spans="1:6" x14ac:dyDescent="0.25">
      <c r="A358" s="10" t="s">
        <v>2222</v>
      </c>
      <c r="B358" s="11">
        <v>45446</v>
      </c>
      <c r="C358" s="10" t="s">
        <v>1792</v>
      </c>
      <c r="D358" s="10" t="s">
        <v>1789</v>
      </c>
      <c r="E358" s="12">
        <v>8468.67</v>
      </c>
      <c r="F358" s="10" t="s">
        <v>1824</v>
      </c>
    </row>
    <row r="359" spans="1:6" x14ac:dyDescent="0.25">
      <c r="A359" s="13" t="s">
        <v>2223</v>
      </c>
      <c r="B359" s="14">
        <v>45451</v>
      </c>
      <c r="C359" s="13" t="s">
        <v>1792</v>
      </c>
      <c r="D359" s="13" t="s">
        <v>1792</v>
      </c>
      <c r="E359" s="15">
        <v>14364.34</v>
      </c>
      <c r="F359" s="13" t="s">
        <v>1977</v>
      </c>
    </row>
    <row r="360" spans="1:6" x14ac:dyDescent="0.25">
      <c r="A360" s="10" t="s">
        <v>2224</v>
      </c>
      <c r="B360" s="11">
        <v>45469</v>
      </c>
      <c r="C360" s="10" t="s">
        <v>1792</v>
      </c>
      <c r="D360" s="10" t="s">
        <v>1795</v>
      </c>
      <c r="E360" s="12">
        <v>5443.52</v>
      </c>
      <c r="F360" s="10" t="s">
        <v>1784</v>
      </c>
    </row>
    <row r="361" spans="1:6" x14ac:dyDescent="0.25">
      <c r="A361" s="13" t="s">
        <v>2225</v>
      </c>
      <c r="B361" s="14">
        <v>45470</v>
      </c>
      <c r="C361" s="13" t="s">
        <v>1792</v>
      </c>
      <c r="D361" s="13" t="s">
        <v>1797</v>
      </c>
      <c r="E361" s="15">
        <v>5960.63</v>
      </c>
      <c r="F361" s="13" t="s">
        <v>1859</v>
      </c>
    </row>
    <row r="362" spans="1:6" x14ac:dyDescent="0.25">
      <c r="A362" s="10" t="s">
        <v>2226</v>
      </c>
      <c r="B362" s="11">
        <v>45462</v>
      </c>
      <c r="C362" s="10" t="s">
        <v>1862</v>
      </c>
      <c r="D362" s="10" t="s">
        <v>1775</v>
      </c>
      <c r="E362" s="12">
        <v>38715.379999999997</v>
      </c>
      <c r="F362" s="10" t="s">
        <v>1784</v>
      </c>
    </row>
    <row r="363" spans="1:6" x14ac:dyDescent="0.25">
      <c r="A363" s="13" t="s">
        <v>2227</v>
      </c>
      <c r="B363" s="14">
        <v>45457</v>
      </c>
      <c r="C363" s="13" t="s">
        <v>1862</v>
      </c>
      <c r="D363" s="13" t="s">
        <v>1778</v>
      </c>
      <c r="E363" s="15">
        <v>9075.42</v>
      </c>
      <c r="F363" s="13" t="s">
        <v>1850</v>
      </c>
    </row>
    <row r="364" spans="1:6" x14ac:dyDescent="0.25">
      <c r="A364" s="10" t="s">
        <v>2228</v>
      </c>
      <c r="B364" s="11">
        <v>45450</v>
      </c>
      <c r="C364" s="10" t="s">
        <v>1862</v>
      </c>
      <c r="D364" s="10" t="s">
        <v>1780</v>
      </c>
      <c r="E364" s="12">
        <v>5069.6400000000003</v>
      </c>
      <c r="F364" s="10" t="s">
        <v>1793</v>
      </c>
    </row>
    <row r="365" spans="1:6" x14ac:dyDescent="0.25">
      <c r="A365" s="13" t="s">
        <v>2229</v>
      </c>
      <c r="B365" s="14">
        <v>45463</v>
      </c>
      <c r="C365" s="13" t="s">
        <v>1862</v>
      </c>
      <c r="D365" s="13" t="s">
        <v>1783</v>
      </c>
      <c r="E365" s="15">
        <v>6662.1</v>
      </c>
      <c r="F365" s="13" t="s">
        <v>1816</v>
      </c>
    </row>
    <row r="366" spans="1:6" x14ac:dyDescent="0.25">
      <c r="A366" s="10" t="s">
        <v>2230</v>
      </c>
      <c r="B366" s="11">
        <v>45463</v>
      </c>
      <c r="C366" s="10" t="s">
        <v>1862</v>
      </c>
      <c r="D366" s="10" t="s">
        <v>1786</v>
      </c>
      <c r="E366" s="12">
        <v>6728.26</v>
      </c>
      <c r="F366" s="10" t="s">
        <v>1830</v>
      </c>
    </row>
    <row r="367" spans="1:6" x14ac:dyDescent="0.25">
      <c r="A367" s="13" t="s">
        <v>2231</v>
      </c>
      <c r="B367" s="14">
        <v>45452</v>
      </c>
      <c r="C367" s="13" t="s">
        <v>1862</v>
      </c>
      <c r="D367" s="13" t="s">
        <v>1789</v>
      </c>
      <c r="E367" s="15">
        <v>4083.87</v>
      </c>
      <c r="F367" s="13" t="s">
        <v>1836</v>
      </c>
    </row>
    <row r="368" spans="1:6" x14ac:dyDescent="0.25">
      <c r="A368" s="10" t="s">
        <v>2232</v>
      </c>
      <c r="B368" s="11">
        <v>45460</v>
      </c>
      <c r="C368" s="10" t="s">
        <v>1862</v>
      </c>
      <c r="D368" s="10" t="s">
        <v>1792</v>
      </c>
      <c r="E368" s="12">
        <v>5949.53</v>
      </c>
      <c r="F368" s="10" t="s">
        <v>1863</v>
      </c>
    </row>
    <row r="369" spans="1:6" x14ac:dyDescent="0.25">
      <c r="A369" s="13" t="s">
        <v>2233</v>
      </c>
      <c r="B369" s="14">
        <v>45462</v>
      </c>
      <c r="C369" s="13" t="s">
        <v>1862</v>
      </c>
      <c r="D369" s="13" t="s">
        <v>1795</v>
      </c>
      <c r="E369" s="15">
        <v>3114.1</v>
      </c>
      <c r="F369" s="13" t="s">
        <v>1787</v>
      </c>
    </row>
    <row r="370" spans="1:6" x14ac:dyDescent="0.25">
      <c r="A370" s="10" t="s">
        <v>2234</v>
      </c>
      <c r="B370" s="11">
        <v>45468</v>
      </c>
      <c r="C370" s="10" t="s">
        <v>1862</v>
      </c>
      <c r="D370" s="10" t="s">
        <v>1797</v>
      </c>
      <c r="E370" s="12">
        <v>2666.86</v>
      </c>
      <c r="F370" s="10" t="s">
        <v>1802</v>
      </c>
    </row>
    <row r="371" spans="1:6" x14ac:dyDescent="0.25">
      <c r="A371" s="13" t="s">
        <v>2235</v>
      </c>
      <c r="B371" s="14">
        <v>45451</v>
      </c>
      <c r="C371" s="13" t="s">
        <v>1877</v>
      </c>
      <c r="D371" s="13" t="s">
        <v>1775</v>
      </c>
      <c r="E371" s="15">
        <v>73370.880000000005</v>
      </c>
      <c r="F371" s="13" t="s">
        <v>2078</v>
      </c>
    </row>
    <row r="372" spans="1:6" x14ac:dyDescent="0.25">
      <c r="A372" s="10" t="s">
        <v>2236</v>
      </c>
      <c r="B372" s="11">
        <v>45452</v>
      </c>
      <c r="C372" s="10" t="s">
        <v>1877</v>
      </c>
      <c r="D372" s="10" t="s">
        <v>1778</v>
      </c>
      <c r="E372" s="12">
        <v>12549.9</v>
      </c>
      <c r="F372" s="10" t="s">
        <v>1977</v>
      </c>
    </row>
    <row r="373" spans="1:6" x14ac:dyDescent="0.25">
      <c r="A373" s="13" t="s">
        <v>2237</v>
      </c>
      <c r="B373" s="14">
        <v>45463</v>
      </c>
      <c r="C373" s="13" t="s">
        <v>1877</v>
      </c>
      <c r="D373" s="13" t="s">
        <v>1780</v>
      </c>
      <c r="E373" s="15">
        <v>6773.56</v>
      </c>
      <c r="F373" s="13" t="s">
        <v>1930</v>
      </c>
    </row>
    <row r="374" spans="1:6" x14ac:dyDescent="0.25">
      <c r="A374" s="10" t="s">
        <v>2238</v>
      </c>
      <c r="B374" s="11">
        <v>45453</v>
      </c>
      <c r="C374" s="10" t="s">
        <v>1877</v>
      </c>
      <c r="D374" s="10" t="s">
        <v>1783</v>
      </c>
      <c r="E374" s="12">
        <v>12481.12</v>
      </c>
      <c r="F374" s="10" t="s">
        <v>1804</v>
      </c>
    </row>
    <row r="375" spans="1:6" x14ac:dyDescent="0.25">
      <c r="A375" s="13" t="s">
        <v>2239</v>
      </c>
      <c r="B375" s="14">
        <v>45447</v>
      </c>
      <c r="C375" s="13" t="s">
        <v>1877</v>
      </c>
      <c r="D375" s="13" t="s">
        <v>1786</v>
      </c>
      <c r="E375" s="15">
        <v>9678.56</v>
      </c>
      <c r="F375" s="13" t="s">
        <v>1808</v>
      </c>
    </row>
    <row r="376" spans="1:6" x14ac:dyDescent="0.25">
      <c r="A376" s="10" t="s">
        <v>2240</v>
      </c>
      <c r="B376" s="11">
        <v>45466</v>
      </c>
      <c r="C376" s="10" t="s">
        <v>1877</v>
      </c>
      <c r="D376" s="10" t="s">
        <v>1789</v>
      </c>
      <c r="E376" s="12">
        <v>6012.82</v>
      </c>
      <c r="F376" s="10" t="s">
        <v>2159</v>
      </c>
    </row>
    <row r="377" spans="1:6" x14ac:dyDescent="0.25">
      <c r="A377" s="13" t="s">
        <v>2241</v>
      </c>
      <c r="B377" s="14">
        <v>45468</v>
      </c>
      <c r="C377" s="13" t="s">
        <v>1877</v>
      </c>
      <c r="D377" s="13" t="s">
        <v>1792</v>
      </c>
      <c r="E377" s="15">
        <v>12546.85</v>
      </c>
      <c r="F377" s="13" t="s">
        <v>1941</v>
      </c>
    </row>
    <row r="378" spans="1:6" x14ac:dyDescent="0.25">
      <c r="A378" s="10" t="s">
        <v>2242</v>
      </c>
      <c r="B378" s="11">
        <v>45445</v>
      </c>
      <c r="C378" s="10" t="s">
        <v>1877</v>
      </c>
      <c r="D378" s="10" t="s">
        <v>1795</v>
      </c>
      <c r="E378" s="12">
        <v>3797.53</v>
      </c>
      <c r="F378" s="10" t="s">
        <v>1826</v>
      </c>
    </row>
    <row r="379" spans="1:6" x14ac:dyDescent="0.25">
      <c r="A379" s="13" t="s">
        <v>2243</v>
      </c>
      <c r="B379" s="14">
        <v>45445</v>
      </c>
      <c r="C379" s="13" t="s">
        <v>1877</v>
      </c>
      <c r="D379" s="13" t="s">
        <v>1797</v>
      </c>
      <c r="E379" s="15">
        <v>4148.42</v>
      </c>
      <c r="F379" s="13" t="s">
        <v>1804</v>
      </c>
    </row>
    <row r="380" spans="1:6" x14ac:dyDescent="0.25">
      <c r="A380" s="10" t="s">
        <v>2244</v>
      </c>
      <c r="B380" s="11">
        <v>45491</v>
      </c>
      <c r="C380" s="10" t="s">
        <v>1774</v>
      </c>
      <c r="D380" s="10" t="s">
        <v>1775</v>
      </c>
      <c r="E380" s="12">
        <v>106828.19</v>
      </c>
      <c r="F380" s="10" t="s">
        <v>2078</v>
      </c>
    </row>
    <row r="381" spans="1:6" x14ac:dyDescent="0.25">
      <c r="A381" s="13" t="s">
        <v>2245</v>
      </c>
      <c r="B381" s="14">
        <v>45499</v>
      </c>
      <c r="C381" s="13" t="s">
        <v>1774</v>
      </c>
      <c r="D381" s="13" t="s">
        <v>1778</v>
      </c>
      <c r="E381" s="15">
        <v>17818.900000000001</v>
      </c>
      <c r="F381" s="13" t="s">
        <v>1820</v>
      </c>
    </row>
    <row r="382" spans="1:6" x14ac:dyDescent="0.25">
      <c r="A382" s="10" t="s">
        <v>2246</v>
      </c>
      <c r="B382" s="11">
        <v>45484</v>
      </c>
      <c r="C382" s="10" t="s">
        <v>1774</v>
      </c>
      <c r="D382" s="10" t="s">
        <v>1780</v>
      </c>
      <c r="E382" s="12">
        <v>10219.530000000001</v>
      </c>
      <c r="F382" s="10" t="s">
        <v>1844</v>
      </c>
    </row>
    <row r="383" spans="1:6" x14ac:dyDescent="0.25">
      <c r="A383" s="13" t="s">
        <v>2247</v>
      </c>
      <c r="B383" s="14">
        <v>45490</v>
      </c>
      <c r="C383" s="13" t="s">
        <v>1774</v>
      </c>
      <c r="D383" s="13" t="s">
        <v>1783</v>
      </c>
      <c r="E383" s="15">
        <v>15930.92</v>
      </c>
      <c r="F383" s="13" t="s">
        <v>1802</v>
      </c>
    </row>
    <row r="384" spans="1:6" x14ac:dyDescent="0.25">
      <c r="A384" s="10" t="s">
        <v>2248</v>
      </c>
      <c r="B384" s="11">
        <v>45479</v>
      </c>
      <c r="C384" s="10" t="s">
        <v>1774</v>
      </c>
      <c r="D384" s="10" t="s">
        <v>1786</v>
      </c>
      <c r="E384" s="12">
        <v>19491.34</v>
      </c>
      <c r="F384" s="10" t="s">
        <v>2162</v>
      </c>
    </row>
    <row r="385" spans="1:6" x14ac:dyDescent="0.25">
      <c r="A385" s="13" t="s">
        <v>2249</v>
      </c>
      <c r="B385" s="14">
        <v>45480</v>
      </c>
      <c r="C385" s="13" t="s">
        <v>1774</v>
      </c>
      <c r="D385" s="13" t="s">
        <v>1789</v>
      </c>
      <c r="E385" s="15">
        <v>9060.0499999999993</v>
      </c>
      <c r="F385" s="13" t="s">
        <v>1882</v>
      </c>
    </row>
    <row r="386" spans="1:6" x14ac:dyDescent="0.25">
      <c r="A386" s="10" t="s">
        <v>2250</v>
      </c>
      <c r="B386" s="11">
        <v>45494</v>
      </c>
      <c r="C386" s="10" t="s">
        <v>1774</v>
      </c>
      <c r="D386" s="10" t="s">
        <v>1792</v>
      </c>
      <c r="E386" s="12">
        <v>17098.830000000002</v>
      </c>
      <c r="F386" s="10" t="s">
        <v>1836</v>
      </c>
    </row>
    <row r="387" spans="1:6" x14ac:dyDescent="0.25">
      <c r="A387" s="13" t="s">
        <v>2251</v>
      </c>
      <c r="B387" s="14">
        <v>45487</v>
      </c>
      <c r="C387" s="13" t="s">
        <v>1774</v>
      </c>
      <c r="D387" s="13" t="s">
        <v>1795</v>
      </c>
      <c r="E387" s="15">
        <v>5244.16</v>
      </c>
      <c r="F387" s="13" t="s">
        <v>2074</v>
      </c>
    </row>
    <row r="388" spans="1:6" x14ac:dyDescent="0.25">
      <c r="A388" s="10" t="s">
        <v>2252</v>
      </c>
      <c r="B388" s="11">
        <v>45479</v>
      </c>
      <c r="C388" s="10" t="s">
        <v>1774</v>
      </c>
      <c r="D388" s="10" t="s">
        <v>1797</v>
      </c>
      <c r="E388" s="12">
        <v>5757.52</v>
      </c>
      <c r="F388" s="10" t="s">
        <v>1988</v>
      </c>
    </row>
    <row r="389" spans="1:6" x14ac:dyDescent="0.25">
      <c r="A389" s="13" t="s">
        <v>2253</v>
      </c>
      <c r="B389" s="14">
        <v>45480</v>
      </c>
      <c r="C389" s="13" t="s">
        <v>1799</v>
      </c>
      <c r="D389" s="13" t="s">
        <v>1775</v>
      </c>
      <c r="E389" s="15">
        <v>40400.67</v>
      </c>
      <c r="F389" s="13" t="s">
        <v>1946</v>
      </c>
    </row>
    <row r="390" spans="1:6" x14ac:dyDescent="0.25">
      <c r="A390" s="10" t="s">
        <v>2254</v>
      </c>
      <c r="B390" s="11">
        <v>45499</v>
      </c>
      <c r="C390" s="10" t="s">
        <v>1799</v>
      </c>
      <c r="D390" s="10" t="s">
        <v>1778</v>
      </c>
      <c r="E390" s="12">
        <v>10151.61</v>
      </c>
      <c r="F390" s="10" t="s">
        <v>1838</v>
      </c>
    </row>
    <row r="391" spans="1:6" x14ac:dyDescent="0.25">
      <c r="A391" s="13" t="s">
        <v>2255</v>
      </c>
      <c r="B391" s="14">
        <v>45491</v>
      </c>
      <c r="C391" s="13" t="s">
        <v>1799</v>
      </c>
      <c r="D391" s="13" t="s">
        <v>1780</v>
      </c>
      <c r="E391" s="15">
        <v>4321.66</v>
      </c>
      <c r="F391" s="13" t="s">
        <v>1833</v>
      </c>
    </row>
    <row r="392" spans="1:6" x14ac:dyDescent="0.25">
      <c r="A392" s="10" t="s">
        <v>2256</v>
      </c>
      <c r="B392" s="11">
        <v>45479</v>
      </c>
      <c r="C392" s="10" t="s">
        <v>1799</v>
      </c>
      <c r="D392" s="10" t="s">
        <v>1783</v>
      </c>
      <c r="E392" s="12">
        <v>8495.64</v>
      </c>
      <c r="F392" s="10" t="s">
        <v>1930</v>
      </c>
    </row>
    <row r="393" spans="1:6" x14ac:dyDescent="0.25">
      <c r="A393" s="13" t="s">
        <v>2257</v>
      </c>
      <c r="B393" s="14">
        <v>45483</v>
      </c>
      <c r="C393" s="13" t="s">
        <v>1799</v>
      </c>
      <c r="D393" s="13" t="s">
        <v>1786</v>
      </c>
      <c r="E393" s="15">
        <v>7296.82</v>
      </c>
      <c r="F393" s="13" t="s">
        <v>2040</v>
      </c>
    </row>
    <row r="394" spans="1:6" x14ac:dyDescent="0.25">
      <c r="A394" s="10" t="s">
        <v>2258</v>
      </c>
      <c r="B394" s="11">
        <v>45494</v>
      </c>
      <c r="C394" s="10" t="s">
        <v>1799</v>
      </c>
      <c r="D394" s="10" t="s">
        <v>1789</v>
      </c>
      <c r="E394" s="12">
        <v>4210.51</v>
      </c>
      <c r="F394" s="10" t="s">
        <v>2042</v>
      </c>
    </row>
    <row r="395" spans="1:6" x14ac:dyDescent="0.25">
      <c r="A395" s="13" t="s">
        <v>2259</v>
      </c>
      <c r="B395" s="14">
        <v>45495</v>
      </c>
      <c r="C395" s="13" t="s">
        <v>1799</v>
      </c>
      <c r="D395" s="13" t="s">
        <v>1792</v>
      </c>
      <c r="E395" s="15">
        <v>7309.08</v>
      </c>
      <c r="F395" s="13" t="s">
        <v>1988</v>
      </c>
    </row>
    <row r="396" spans="1:6" x14ac:dyDescent="0.25">
      <c r="A396" s="10" t="s">
        <v>2260</v>
      </c>
      <c r="B396" s="11">
        <v>45494</v>
      </c>
      <c r="C396" s="10" t="s">
        <v>1799</v>
      </c>
      <c r="D396" s="10" t="s">
        <v>1795</v>
      </c>
      <c r="E396" s="12">
        <v>3146.54</v>
      </c>
      <c r="F396" s="10" t="s">
        <v>1787</v>
      </c>
    </row>
    <row r="397" spans="1:6" x14ac:dyDescent="0.25">
      <c r="A397" s="13" t="s">
        <v>2261</v>
      </c>
      <c r="B397" s="14">
        <v>45488</v>
      </c>
      <c r="C397" s="13" t="s">
        <v>1799</v>
      </c>
      <c r="D397" s="13" t="s">
        <v>1797</v>
      </c>
      <c r="E397" s="15">
        <v>2786.66</v>
      </c>
      <c r="F397" s="13" t="s">
        <v>1985</v>
      </c>
    </row>
    <row r="398" spans="1:6" x14ac:dyDescent="0.25">
      <c r="A398" s="10" t="s">
        <v>2262</v>
      </c>
      <c r="B398" s="11">
        <v>45481</v>
      </c>
      <c r="C398" s="10" t="s">
        <v>1818</v>
      </c>
      <c r="D398" s="10" t="s">
        <v>1775</v>
      </c>
      <c r="E398" s="12">
        <v>41077.33</v>
      </c>
      <c r="F398" s="10" t="s">
        <v>2128</v>
      </c>
    </row>
    <row r="399" spans="1:6" x14ac:dyDescent="0.25">
      <c r="A399" s="13" t="s">
        <v>2263</v>
      </c>
      <c r="B399" s="14">
        <v>45478</v>
      </c>
      <c r="C399" s="13" t="s">
        <v>1818</v>
      </c>
      <c r="D399" s="13" t="s">
        <v>1778</v>
      </c>
      <c r="E399" s="15">
        <v>6406.93</v>
      </c>
      <c r="F399" s="13" t="s">
        <v>1886</v>
      </c>
    </row>
    <row r="400" spans="1:6" x14ac:dyDescent="0.25">
      <c r="A400" s="10" t="s">
        <v>2264</v>
      </c>
      <c r="B400" s="11">
        <v>45484</v>
      </c>
      <c r="C400" s="10" t="s">
        <v>1818</v>
      </c>
      <c r="D400" s="10" t="s">
        <v>1780</v>
      </c>
      <c r="E400" s="12">
        <v>3963.56</v>
      </c>
      <c r="F400" s="10" t="s">
        <v>2186</v>
      </c>
    </row>
    <row r="401" spans="1:6" x14ac:dyDescent="0.25">
      <c r="A401" s="13" t="s">
        <v>2265</v>
      </c>
      <c r="B401" s="14">
        <v>45477</v>
      </c>
      <c r="C401" s="13" t="s">
        <v>1818</v>
      </c>
      <c r="D401" s="13" t="s">
        <v>1783</v>
      </c>
      <c r="E401" s="15">
        <v>5365.16</v>
      </c>
      <c r="F401" s="13" t="s">
        <v>1824</v>
      </c>
    </row>
    <row r="402" spans="1:6" x14ac:dyDescent="0.25">
      <c r="A402" s="10" t="s">
        <v>2266</v>
      </c>
      <c r="B402" s="11">
        <v>45479</v>
      </c>
      <c r="C402" s="10" t="s">
        <v>1818</v>
      </c>
      <c r="D402" s="10" t="s">
        <v>1786</v>
      </c>
      <c r="E402" s="12">
        <v>5916.8</v>
      </c>
      <c r="F402" s="10" t="s">
        <v>1808</v>
      </c>
    </row>
    <row r="403" spans="1:6" x14ac:dyDescent="0.25">
      <c r="A403" s="13" t="s">
        <v>2267</v>
      </c>
      <c r="B403" s="14">
        <v>45488</v>
      </c>
      <c r="C403" s="13" t="s">
        <v>1818</v>
      </c>
      <c r="D403" s="13" t="s">
        <v>1789</v>
      </c>
      <c r="E403" s="15">
        <v>3217.59</v>
      </c>
      <c r="F403" s="13" t="s">
        <v>1924</v>
      </c>
    </row>
    <row r="404" spans="1:6" x14ac:dyDescent="0.25">
      <c r="A404" s="10" t="s">
        <v>2268</v>
      </c>
      <c r="B404" s="11">
        <v>45492</v>
      </c>
      <c r="C404" s="10" t="s">
        <v>1818</v>
      </c>
      <c r="D404" s="10" t="s">
        <v>1792</v>
      </c>
      <c r="E404" s="12">
        <v>5530.74</v>
      </c>
      <c r="F404" s="10" t="s">
        <v>1859</v>
      </c>
    </row>
    <row r="405" spans="1:6" x14ac:dyDescent="0.25">
      <c r="A405" s="13" t="s">
        <v>2269</v>
      </c>
      <c r="B405" s="14">
        <v>45487</v>
      </c>
      <c r="C405" s="13" t="s">
        <v>1818</v>
      </c>
      <c r="D405" s="13" t="s">
        <v>1795</v>
      </c>
      <c r="E405" s="15">
        <v>2451.4899999999998</v>
      </c>
      <c r="F405" s="13" t="s">
        <v>2024</v>
      </c>
    </row>
    <row r="406" spans="1:6" x14ac:dyDescent="0.25">
      <c r="A406" s="10" t="s">
        <v>2270</v>
      </c>
      <c r="B406" s="11">
        <v>45488</v>
      </c>
      <c r="C406" s="10" t="s">
        <v>1818</v>
      </c>
      <c r="D406" s="10" t="s">
        <v>1797</v>
      </c>
      <c r="E406" s="12">
        <v>2649.05</v>
      </c>
      <c r="F406" s="10" t="s">
        <v>1863</v>
      </c>
    </row>
    <row r="407" spans="1:6" x14ac:dyDescent="0.25">
      <c r="A407" s="13" t="s">
        <v>2271</v>
      </c>
      <c r="B407" s="14">
        <v>45500</v>
      </c>
      <c r="C407" s="13" t="s">
        <v>1786</v>
      </c>
      <c r="D407" s="13" t="s">
        <v>1775</v>
      </c>
      <c r="E407" s="15">
        <v>75093.759999999995</v>
      </c>
      <c r="F407" s="13" t="s">
        <v>1941</v>
      </c>
    </row>
    <row r="408" spans="1:6" x14ac:dyDescent="0.25">
      <c r="A408" s="10" t="s">
        <v>2272</v>
      </c>
      <c r="B408" s="11">
        <v>45489</v>
      </c>
      <c r="C408" s="10" t="s">
        <v>1786</v>
      </c>
      <c r="D408" s="10" t="s">
        <v>1778</v>
      </c>
      <c r="E408" s="12">
        <v>16235.69</v>
      </c>
      <c r="F408" s="10" t="s">
        <v>1906</v>
      </c>
    </row>
    <row r="409" spans="1:6" x14ac:dyDescent="0.25">
      <c r="A409" s="13" t="s">
        <v>2273</v>
      </c>
      <c r="B409" s="14">
        <v>45491</v>
      </c>
      <c r="C409" s="13" t="s">
        <v>1786</v>
      </c>
      <c r="D409" s="13" t="s">
        <v>1780</v>
      </c>
      <c r="E409" s="15">
        <v>7812.44</v>
      </c>
      <c r="F409" s="13" t="s">
        <v>1836</v>
      </c>
    </row>
    <row r="410" spans="1:6" x14ac:dyDescent="0.25">
      <c r="A410" s="10" t="s">
        <v>2274</v>
      </c>
      <c r="B410" s="11">
        <v>45485</v>
      </c>
      <c r="C410" s="10" t="s">
        <v>1786</v>
      </c>
      <c r="D410" s="10" t="s">
        <v>1783</v>
      </c>
      <c r="E410" s="12">
        <v>9552.35</v>
      </c>
      <c r="F410" s="10" t="s">
        <v>1781</v>
      </c>
    </row>
    <row r="411" spans="1:6" x14ac:dyDescent="0.25">
      <c r="A411" s="13" t="s">
        <v>2275</v>
      </c>
      <c r="B411" s="14">
        <v>45486</v>
      </c>
      <c r="C411" s="13" t="s">
        <v>1786</v>
      </c>
      <c r="D411" s="13" t="s">
        <v>1786</v>
      </c>
      <c r="E411" s="15">
        <v>9885.83</v>
      </c>
      <c r="F411" s="13" t="s">
        <v>1844</v>
      </c>
    </row>
    <row r="412" spans="1:6" x14ac:dyDescent="0.25">
      <c r="A412" s="10" t="s">
        <v>2276</v>
      </c>
      <c r="B412" s="11">
        <v>45485</v>
      </c>
      <c r="C412" s="10" t="s">
        <v>1786</v>
      </c>
      <c r="D412" s="10" t="s">
        <v>1789</v>
      </c>
      <c r="E412" s="12">
        <v>6528.97</v>
      </c>
      <c r="F412" s="10" t="s">
        <v>2192</v>
      </c>
    </row>
    <row r="413" spans="1:6" x14ac:dyDescent="0.25">
      <c r="A413" s="13" t="s">
        <v>2277</v>
      </c>
      <c r="B413" s="14">
        <v>45493</v>
      </c>
      <c r="C413" s="13" t="s">
        <v>1786</v>
      </c>
      <c r="D413" s="13" t="s">
        <v>1792</v>
      </c>
      <c r="E413" s="15">
        <v>13187.11</v>
      </c>
      <c r="F413" s="13" t="s">
        <v>1804</v>
      </c>
    </row>
    <row r="414" spans="1:6" x14ac:dyDescent="0.25">
      <c r="A414" s="10" t="s">
        <v>2278</v>
      </c>
      <c r="B414" s="11">
        <v>45493</v>
      </c>
      <c r="C414" s="10" t="s">
        <v>1786</v>
      </c>
      <c r="D414" s="10" t="s">
        <v>1795</v>
      </c>
      <c r="E414" s="12">
        <v>4685.04</v>
      </c>
      <c r="F414" s="10" t="s">
        <v>1863</v>
      </c>
    </row>
    <row r="415" spans="1:6" x14ac:dyDescent="0.25">
      <c r="A415" s="13" t="s">
        <v>2279</v>
      </c>
      <c r="B415" s="14">
        <v>45493</v>
      </c>
      <c r="C415" s="13" t="s">
        <v>1786</v>
      </c>
      <c r="D415" s="13" t="s">
        <v>1797</v>
      </c>
      <c r="E415" s="15">
        <v>3642.74</v>
      </c>
      <c r="F415" s="13" t="s">
        <v>1977</v>
      </c>
    </row>
    <row r="416" spans="1:6" x14ac:dyDescent="0.25">
      <c r="A416" s="10" t="s">
        <v>2280</v>
      </c>
      <c r="B416" s="11">
        <v>45483</v>
      </c>
      <c r="C416" s="10" t="s">
        <v>1792</v>
      </c>
      <c r="D416" s="10" t="s">
        <v>1775</v>
      </c>
      <c r="E416" s="12">
        <v>94609.16</v>
      </c>
      <c r="F416" s="10" t="s">
        <v>1958</v>
      </c>
    </row>
    <row r="417" spans="1:6" x14ac:dyDescent="0.25">
      <c r="A417" s="13" t="s">
        <v>2281</v>
      </c>
      <c r="B417" s="14">
        <v>45483</v>
      </c>
      <c r="C417" s="13" t="s">
        <v>1792</v>
      </c>
      <c r="D417" s="13" t="s">
        <v>1778</v>
      </c>
      <c r="E417" s="15">
        <v>17823.009999999998</v>
      </c>
      <c r="F417" s="13" t="s">
        <v>1859</v>
      </c>
    </row>
    <row r="418" spans="1:6" x14ac:dyDescent="0.25">
      <c r="A418" s="10" t="s">
        <v>2282</v>
      </c>
      <c r="B418" s="11">
        <v>45491</v>
      </c>
      <c r="C418" s="10" t="s">
        <v>1792</v>
      </c>
      <c r="D418" s="10" t="s">
        <v>1780</v>
      </c>
      <c r="E418" s="12">
        <v>8157.37</v>
      </c>
      <c r="F418" s="10" t="s">
        <v>1833</v>
      </c>
    </row>
    <row r="419" spans="1:6" x14ac:dyDescent="0.25">
      <c r="A419" s="13" t="s">
        <v>2283</v>
      </c>
      <c r="B419" s="14">
        <v>45476</v>
      </c>
      <c r="C419" s="13" t="s">
        <v>1792</v>
      </c>
      <c r="D419" s="13" t="s">
        <v>1783</v>
      </c>
      <c r="E419" s="15">
        <v>13976.93</v>
      </c>
      <c r="F419" s="13" t="s">
        <v>1997</v>
      </c>
    </row>
    <row r="420" spans="1:6" x14ac:dyDescent="0.25">
      <c r="A420" s="10" t="s">
        <v>2284</v>
      </c>
      <c r="B420" s="11">
        <v>45481</v>
      </c>
      <c r="C420" s="10" t="s">
        <v>1792</v>
      </c>
      <c r="D420" s="10" t="s">
        <v>1786</v>
      </c>
      <c r="E420" s="12">
        <v>16762.97</v>
      </c>
      <c r="F420" s="10" t="s">
        <v>1880</v>
      </c>
    </row>
    <row r="421" spans="1:6" x14ac:dyDescent="0.25">
      <c r="A421" s="13" t="s">
        <v>2285</v>
      </c>
      <c r="B421" s="14">
        <v>45490</v>
      </c>
      <c r="C421" s="13" t="s">
        <v>1792</v>
      </c>
      <c r="D421" s="13" t="s">
        <v>1789</v>
      </c>
      <c r="E421" s="15">
        <v>9748.9699999999993</v>
      </c>
      <c r="F421" s="13" t="s">
        <v>1979</v>
      </c>
    </row>
    <row r="422" spans="1:6" x14ac:dyDescent="0.25">
      <c r="A422" s="10" t="s">
        <v>2286</v>
      </c>
      <c r="B422" s="11">
        <v>45483</v>
      </c>
      <c r="C422" s="10" t="s">
        <v>1792</v>
      </c>
      <c r="D422" s="10" t="s">
        <v>1792</v>
      </c>
      <c r="E422" s="12">
        <v>12396.43</v>
      </c>
      <c r="F422" s="10" t="s">
        <v>1977</v>
      </c>
    </row>
    <row r="423" spans="1:6" x14ac:dyDescent="0.25">
      <c r="A423" s="13" t="s">
        <v>2287</v>
      </c>
      <c r="B423" s="14">
        <v>45478</v>
      </c>
      <c r="C423" s="13" t="s">
        <v>1792</v>
      </c>
      <c r="D423" s="13" t="s">
        <v>1795</v>
      </c>
      <c r="E423" s="15">
        <v>5365.22</v>
      </c>
      <c r="F423" s="13" t="s">
        <v>1970</v>
      </c>
    </row>
    <row r="424" spans="1:6" x14ac:dyDescent="0.25">
      <c r="A424" s="10" t="s">
        <v>2288</v>
      </c>
      <c r="B424" s="11">
        <v>45489</v>
      </c>
      <c r="C424" s="10" t="s">
        <v>1792</v>
      </c>
      <c r="D424" s="10" t="s">
        <v>1797</v>
      </c>
      <c r="E424" s="12">
        <v>4502.68</v>
      </c>
      <c r="F424" s="10" t="s">
        <v>1784</v>
      </c>
    </row>
    <row r="425" spans="1:6" x14ac:dyDescent="0.25">
      <c r="A425" s="13" t="s">
        <v>2289</v>
      </c>
      <c r="B425" s="14">
        <v>45483</v>
      </c>
      <c r="C425" s="13" t="s">
        <v>1862</v>
      </c>
      <c r="D425" s="13" t="s">
        <v>1775</v>
      </c>
      <c r="E425" s="15">
        <v>49427.6</v>
      </c>
      <c r="F425" s="13" t="s">
        <v>1891</v>
      </c>
    </row>
    <row r="426" spans="1:6" x14ac:dyDescent="0.25">
      <c r="A426" s="10" t="s">
        <v>2290</v>
      </c>
      <c r="B426" s="11">
        <v>45474</v>
      </c>
      <c r="C426" s="10" t="s">
        <v>1862</v>
      </c>
      <c r="D426" s="10" t="s">
        <v>1778</v>
      </c>
      <c r="E426" s="12">
        <v>7621.14</v>
      </c>
      <c r="F426" s="10" t="s">
        <v>2024</v>
      </c>
    </row>
    <row r="427" spans="1:6" x14ac:dyDescent="0.25">
      <c r="A427" s="13" t="s">
        <v>2291</v>
      </c>
      <c r="B427" s="14">
        <v>45481</v>
      </c>
      <c r="C427" s="13" t="s">
        <v>1862</v>
      </c>
      <c r="D427" s="13" t="s">
        <v>1780</v>
      </c>
      <c r="E427" s="15">
        <v>4680.3999999999996</v>
      </c>
      <c r="F427" s="13" t="s">
        <v>1886</v>
      </c>
    </row>
    <row r="428" spans="1:6" x14ac:dyDescent="0.25">
      <c r="A428" s="10" t="s">
        <v>2292</v>
      </c>
      <c r="B428" s="11">
        <v>45500</v>
      </c>
      <c r="C428" s="10" t="s">
        <v>1862</v>
      </c>
      <c r="D428" s="10" t="s">
        <v>1783</v>
      </c>
      <c r="E428" s="12">
        <v>6010.11</v>
      </c>
      <c r="F428" s="10" t="s">
        <v>1804</v>
      </c>
    </row>
    <row r="429" spans="1:6" x14ac:dyDescent="0.25">
      <c r="A429" s="13" t="s">
        <v>2293</v>
      </c>
      <c r="B429" s="14">
        <v>45496</v>
      </c>
      <c r="C429" s="13" t="s">
        <v>1862</v>
      </c>
      <c r="D429" s="13" t="s">
        <v>1786</v>
      </c>
      <c r="E429" s="15">
        <v>6441.31</v>
      </c>
      <c r="F429" s="13" t="s">
        <v>1840</v>
      </c>
    </row>
    <row r="430" spans="1:6" x14ac:dyDescent="0.25">
      <c r="A430" s="10" t="s">
        <v>2294</v>
      </c>
      <c r="B430" s="11">
        <v>45486</v>
      </c>
      <c r="C430" s="10" t="s">
        <v>1862</v>
      </c>
      <c r="D430" s="10" t="s">
        <v>1789</v>
      </c>
      <c r="E430" s="12">
        <v>4077.58</v>
      </c>
      <c r="F430" s="10" t="s">
        <v>2042</v>
      </c>
    </row>
    <row r="431" spans="1:6" x14ac:dyDescent="0.25">
      <c r="A431" s="13" t="s">
        <v>2295</v>
      </c>
      <c r="B431" s="14">
        <v>45485</v>
      </c>
      <c r="C431" s="13" t="s">
        <v>1862</v>
      </c>
      <c r="D431" s="13" t="s">
        <v>1792</v>
      </c>
      <c r="E431" s="15">
        <v>6751.39</v>
      </c>
      <c r="F431" s="13" t="s">
        <v>1776</v>
      </c>
    </row>
    <row r="432" spans="1:6" x14ac:dyDescent="0.25">
      <c r="A432" s="10" t="s">
        <v>2296</v>
      </c>
      <c r="B432" s="11">
        <v>45483</v>
      </c>
      <c r="C432" s="10" t="s">
        <v>1862</v>
      </c>
      <c r="D432" s="10" t="s">
        <v>1795</v>
      </c>
      <c r="E432" s="12">
        <v>2480.7399999999998</v>
      </c>
      <c r="F432" s="10" t="s">
        <v>1784</v>
      </c>
    </row>
    <row r="433" spans="1:6" x14ac:dyDescent="0.25">
      <c r="A433" s="13" t="s">
        <v>2297</v>
      </c>
      <c r="B433" s="14">
        <v>45481</v>
      </c>
      <c r="C433" s="13" t="s">
        <v>1862</v>
      </c>
      <c r="D433" s="13" t="s">
        <v>1797</v>
      </c>
      <c r="E433" s="15">
        <v>2552.66</v>
      </c>
      <c r="F433" s="13" t="s">
        <v>2192</v>
      </c>
    </row>
    <row r="434" spans="1:6" x14ac:dyDescent="0.25">
      <c r="A434" s="10" t="s">
        <v>2298</v>
      </c>
      <c r="B434" s="11">
        <v>45478</v>
      </c>
      <c r="C434" s="10" t="s">
        <v>1877</v>
      </c>
      <c r="D434" s="10" t="s">
        <v>1775</v>
      </c>
      <c r="E434" s="12">
        <v>66172.97</v>
      </c>
      <c r="F434" s="10" t="s">
        <v>1930</v>
      </c>
    </row>
    <row r="435" spans="1:6" x14ac:dyDescent="0.25">
      <c r="A435" s="13" t="s">
        <v>2299</v>
      </c>
      <c r="B435" s="14">
        <v>45475</v>
      </c>
      <c r="C435" s="13" t="s">
        <v>1877</v>
      </c>
      <c r="D435" s="13" t="s">
        <v>1778</v>
      </c>
      <c r="E435" s="15">
        <v>12034.01</v>
      </c>
      <c r="F435" s="13" t="s">
        <v>1882</v>
      </c>
    </row>
    <row r="436" spans="1:6" x14ac:dyDescent="0.25">
      <c r="A436" s="10" t="s">
        <v>2300</v>
      </c>
      <c r="B436" s="11">
        <v>45496</v>
      </c>
      <c r="C436" s="10" t="s">
        <v>1877</v>
      </c>
      <c r="D436" s="10" t="s">
        <v>1780</v>
      </c>
      <c r="E436" s="12">
        <v>5948.51</v>
      </c>
      <c r="F436" s="10" t="s">
        <v>1988</v>
      </c>
    </row>
    <row r="437" spans="1:6" x14ac:dyDescent="0.25">
      <c r="A437" s="13" t="s">
        <v>2301</v>
      </c>
      <c r="B437" s="14">
        <v>45477</v>
      </c>
      <c r="C437" s="13" t="s">
        <v>1877</v>
      </c>
      <c r="D437" s="13" t="s">
        <v>1783</v>
      </c>
      <c r="E437" s="15">
        <v>9129.77</v>
      </c>
      <c r="F437" s="13" t="s">
        <v>1988</v>
      </c>
    </row>
    <row r="438" spans="1:6" x14ac:dyDescent="0.25">
      <c r="A438" s="10" t="s">
        <v>2302</v>
      </c>
      <c r="B438" s="11">
        <v>45486</v>
      </c>
      <c r="C438" s="10" t="s">
        <v>1877</v>
      </c>
      <c r="D438" s="10" t="s">
        <v>1786</v>
      </c>
      <c r="E438" s="12">
        <v>12073.8</v>
      </c>
      <c r="F438" s="10" t="s">
        <v>1814</v>
      </c>
    </row>
    <row r="439" spans="1:6" x14ac:dyDescent="0.25">
      <c r="A439" s="13" t="s">
        <v>2303</v>
      </c>
      <c r="B439" s="14">
        <v>45476</v>
      </c>
      <c r="C439" s="13" t="s">
        <v>1877</v>
      </c>
      <c r="D439" s="13" t="s">
        <v>1789</v>
      </c>
      <c r="E439" s="15">
        <v>7113.62</v>
      </c>
      <c r="F439" s="13" t="s">
        <v>1935</v>
      </c>
    </row>
    <row r="440" spans="1:6" x14ac:dyDescent="0.25">
      <c r="A440" s="10" t="s">
        <v>2304</v>
      </c>
      <c r="B440" s="11">
        <v>45492</v>
      </c>
      <c r="C440" s="10" t="s">
        <v>1877</v>
      </c>
      <c r="D440" s="10" t="s">
        <v>1792</v>
      </c>
      <c r="E440" s="12">
        <v>11893.65</v>
      </c>
      <c r="F440" s="10" t="s">
        <v>1946</v>
      </c>
    </row>
    <row r="441" spans="1:6" x14ac:dyDescent="0.25">
      <c r="A441" s="13" t="s">
        <v>2305</v>
      </c>
      <c r="B441" s="14">
        <v>45493</v>
      </c>
      <c r="C441" s="13" t="s">
        <v>1877</v>
      </c>
      <c r="D441" s="13" t="s">
        <v>1795</v>
      </c>
      <c r="E441" s="15">
        <v>3664.47</v>
      </c>
      <c r="F441" s="13" t="s">
        <v>1917</v>
      </c>
    </row>
    <row r="442" spans="1:6" x14ac:dyDescent="0.25">
      <c r="A442" s="10" t="s">
        <v>2306</v>
      </c>
      <c r="B442" s="11">
        <v>45486</v>
      </c>
      <c r="C442" s="10" t="s">
        <v>1877</v>
      </c>
      <c r="D442" s="10" t="s">
        <v>1797</v>
      </c>
      <c r="E442" s="12">
        <v>4127.1099999999997</v>
      </c>
      <c r="F442" s="10" t="s">
        <v>1988</v>
      </c>
    </row>
    <row r="443" spans="1:6" x14ac:dyDescent="0.25">
      <c r="A443" s="13" t="s">
        <v>2307</v>
      </c>
      <c r="B443" s="14">
        <v>45520</v>
      </c>
      <c r="C443" s="13" t="s">
        <v>1774</v>
      </c>
      <c r="D443" s="13" t="s">
        <v>1775</v>
      </c>
      <c r="E443" s="15">
        <v>99805.33</v>
      </c>
      <c r="F443" s="13" t="s">
        <v>2128</v>
      </c>
    </row>
    <row r="444" spans="1:6" x14ac:dyDescent="0.25">
      <c r="A444" s="10" t="s">
        <v>2308</v>
      </c>
      <c r="B444" s="11">
        <v>45514</v>
      </c>
      <c r="C444" s="10" t="s">
        <v>1774</v>
      </c>
      <c r="D444" s="10" t="s">
        <v>1778</v>
      </c>
      <c r="E444" s="12">
        <v>17710.830000000002</v>
      </c>
      <c r="F444" s="10" t="s">
        <v>1871</v>
      </c>
    </row>
    <row r="445" spans="1:6" x14ac:dyDescent="0.25">
      <c r="A445" s="13" t="s">
        <v>2309</v>
      </c>
      <c r="B445" s="14">
        <v>45522</v>
      </c>
      <c r="C445" s="13" t="s">
        <v>1774</v>
      </c>
      <c r="D445" s="13" t="s">
        <v>1780</v>
      </c>
      <c r="E445" s="15">
        <v>10091.82</v>
      </c>
      <c r="F445" s="13" t="s">
        <v>2128</v>
      </c>
    </row>
    <row r="446" spans="1:6" x14ac:dyDescent="0.25">
      <c r="A446" s="10" t="s">
        <v>2310</v>
      </c>
      <c r="B446" s="11">
        <v>45523</v>
      </c>
      <c r="C446" s="10" t="s">
        <v>1774</v>
      </c>
      <c r="D446" s="10" t="s">
        <v>1783</v>
      </c>
      <c r="E446" s="12">
        <v>18628.57</v>
      </c>
      <c r="F446" s="10" t="s">
        <v>1826</v>
      </c>
    </row>
    <row r="447" spans="1:6" x14ac:dyDescent="0.25">
      <c r="A447" s="13" t="s">
        <v>2311</v>
      </c>
      <c r="B447" s="14">
        <v>45505</v>
      </c>
      <c r="C447" s="13" t="s">
        <v>1774</v>
      </c>
      <c r="D447" s="13" t="s">
        <v>1786</v>
      </c>
      <c r="E447" s="15">
        <v>16658.2</v>
      </c>
      <c r="F447" s="13" t="s">
        <v>1787</v>
      </c>
    </row>
    <row r="448" spans="1:6" x14ac:dyDescent="0.25">
      <c r="A448" s="10" t="s">
        <v>2312</v>
      </c>
      <c r="B448" s="11">
        <v>45523</v>
      </c>
      <c r="C448" s="10" t="s">
        <v>1774</v>
      </c>
      <c r="D448" s="10" t="s">
        <v>1789</v>
      </c>
      <c r="E448" s="12">
        <v>10345.540000000001</v>
      </c>
      <c r="F448" s="10" t="s">
        <v>1880</v>
      </c>
    </row>
    <row r="449" spans="1:6" x14ac:dyDescent="0.25">
      <c r="A449" s="13" t="s">
        <v>2313</v>
      </c>
      <c r="B449" s="14">
        <v>45523</v>
      </c>
      <c r="C449" s="13" t="s">
        <v>1774</v>
      </c>
      <c r="D449" s="13" t="s">
        <v>1792</v>
      </c>
      <c r="E449" s="15">
        <v>13428.28</v>
      </c>
      <c r="F449" s="13" t="s">
        <v>1790</v>
      </c>
    </row>
    <row r="450" spans="1:6" x14ac:dyDescent="0.25">
      <c r="A450" s="10" t="s">
        <v>2314</v>
      </c>
      <c r="B450" s="11">
        <v>45526</v>
      </c>
      <c r="C450" s="10" t="s">
        <v>1774</v>
      </c>
      <c r="D450" s="10" t="s">
        <v>1795</v>
      </c>
      <c r="E450" s="12">
        <v>6451.12</v>
      </c>
      <c r="F450" s="10" t="s">
        <v>1917</v>
      </c>
    </row>
    <row r="451" spans="1:6" x14ac:dyDescent="0.25">
      <c r="A451" s="13" t="s">
        <v>2315</v>
      </c>
      <c r="B451" s="14">
        <v>45517</v>
      </c>
      <c r="C451" s="13" t="s">
        <v>1774</v>
      </c>
      <c r="D451" s="13" t="s">
        <v>1797</v>
      </c>
      <c r="E451" s="15">
        <v>6783.04</v>
      </c>
      <c r="F451" s="13" t="s">
        <v>1927</v>
      </c>
    </row>
    <row r="452" spans="1:6" x14ac:dyDescent="0.25">
      <c r="A452" s="10" t="s">
        <v>2316</v>
      </c>
      <c r="B452" s="11">
        <v>45521</v>
      </c>
      <c r="C452" s="10" t="s">
        <v>1799</v>
      </c>
      <c r="D452" s="10" t="s">
        <v>1775</v>
      </c>
      <c r="E452" s="12">
        <v>40636.410000000003</v>
      </c>
      <c r="F452" s="10" t="s">
        <v>1988</v>
      </c>
    </row>
    <row r="453" spans="1:6" x14ac:dyDescent="0.25">
      <c r="A453" s="13" t="s">
        <v>2317</v>
      </c>
      <c r="B453" s="14">
        <v>45519</v>
      </c>
      <c r="C453" s="13" t="s">
        <v>1799</v>
      </c>
      <c r="D453" s="13" t="s">
        <v>1778</v>
      </c>
      <c r="E453" s="15">
        <v>7193.1</v>
      </c>
      <c r="F453" s="13" t="s">
        <v>1844</v>
      </c>
    </row>
    <row r="454" spans="1:6" x14ac:dyDescent="0.25">
      <c r="A454" s="10" t="s">
        <v>2318</v>
      </c>
      <c r="B454" s="11">
        <v>45530</v>
      </c>
      <c r="C454" s="10" t="s">
        <v>1799</v>
      </c>
      <c r="D454" s="10" t="s">
        <v>1780</v>
      </c>
      <c r="E454" s="12">
        <v>4216.68</v>
      </c>
      <c r="F454" s="10" t="s">
        <v>2005</v>
      </c>
    </row>
    <row r="455" spans="1:6" x14ac:dyDescent="0.25">
      <c r="A455" s="13" t="s">
        <v>2319</v>
      </c>
      <c r="B455" s="14">
        <v>45508</v>
      </c>
      <c r="C455" s="13" t="s">
        <v>1799</v>
      </c>
      <c r="D455" s="13" t="s">
        <v>1783</v>
      </c>
      <c r="E455" s="15">
        <v>6075</v>
      </c>
      <c r="F455" s="13" t="s">
        <v>2062</v>
      </c>
    </row>
    <row r="456" spans="1:6" x14ac:dyDescent="0.25">
      <c r="A456" s="10" t="s">
        <v>2320</v>
      </c>
      <c r="B456" s="11">
        <v>45523</v>
      </c>
      <c r="C456" s="10" t="s">
        <v>1799</v>
      </c>
      <c r="D456" s="10" t="s">
        <v>1786</v>
      </c>
      <c r="E456" s="12">
        <v>7530.74</v>
      </c>
      <c r="F456" s="10" t="s">
        <v>1930</v>
      </c>
    </row>
    <row r="457" spans="1:6" x14ac:dyDescent="0.25">
      <c r="A457" s="13" t="s">
        <v>2321</v>
      </c>
      <c r="B457" s="14">
        <v>45529</v>
      </c>
      <c r="C457" s="13" t="s">
        <v>1799</v>
      </c>
      <c r="D457" s="13" t="s">
        <v>1789</v>
      </c>
      <c r="E457" s="15">
        <v>4094.84</v>
      </c>
      <c r="F457" s="13" t="s">
        <v>2005</v>
      </c>
    </row>
    <row r="458" spans="1:6" x14ac:dyDescent="0.25">
      <c r="A458" s="10" t="s">
        <v>2322</v>
      </c>
      <c r="B458" s="11">
        <v>45525</v>
      </c>
      <c r="C458" s="10" t="s">
        <v>1799</v>
      </c>
      <c r="D458" s="10" t="s">
        <v>1792</v>
      </c>
      <c r="E458" s="12">
        <v>5881.9</v>
      </c>
      <c r="F458" s="10" t="s">
        <v>1898</v>
      </c>
    </row>
    <row r="459" spans="1:6" x14ac:dyDescent="0.25">
      <c r="A459" s="13" t="s">
        <v>2323</v>
      </c>
      <c r="B459" s="14">
        <v>45523</v>
      </c>
      <c r="C459" s="13" t="s">
        <v>1799</v>
      </c>
      <c r="D459" s="13" t="s">
        <v>1795</v>
      </c>
      <c r="E459" s="15">
        <v>2464.61</v>
      </c>
      <c r="F459" s="13" t="s">
        <v>1968</v>
      </c>
    </row>
    <row r="460" spans="1:6" x14ac:dyDescent="0.25">
      <c r="A460" s="10" t="s">
        <v>2324</v>
      </c>
      <c r="B460" s="11">
        <v>45524</v>
      </c>
      <c r="C460" s="10" t="s">
        <v>1799</v>
      </c>
      <c r="D460" s="10" t="s">
        <v>1797</v>
      </c>
      <c r="E460" s="12">
        <v>2411.38</v>
      </c>
      <c r="F460" s="10" t="s">
        <v>1820</v>
      </c>
    </row>
    <row r="461" spans="1:6" x14ac:dyDescent="0.25">
      <c r="A461" s="13" t="s">
        <v>2325</v>
      </c>
      <c r="B461" s="14">
        <v>45514</v>
      </c>
      <c r="C461" s="13" t="s">
        <v>1818</v>
      </c>
      <c r="D461" s="13" t="s">
        <v>1775</v>
      </c>
      <c r="E461" s="15">
        <v>35721.25</v>
      </c>
      <c r="F461" s="13" t="s">
        <v>1804</v>
      </c>
    </row>
    <row r="462" spans="1:6" x14ac:dyDescent="0.25">
      <c r="A462" s="10" t="s">
        <v>2326</v>
      </c>
      <c r="B462" s="11">
        <v>45510</v>
      </c>
      <c r="C462" s="10" t="s">
        <v>1818</v>
      </c>
      <c r="D462" s="10" t="s">
        <v>1778</v>
      </c>
      <c r="E462" s="12">
        <v>6174.07</v>
      </c>
      <c r="F462" s="10" t="s">
        <v>1776</v>
      </c>
    </row>
    <row r="463" spans="1:6" x14ac:dyDescent="0.25">
      <c r="A463" s="13" t="s">
        <v>2327</v>
      </c>
      <c r="B463" s="14">
        <v>45522</v>
      </c>
      <c r="C463" s="13" t="s">
        <v>1818</v>
      </c>
      <c r="D463" s="13" t="s">
        <v>1780</v>
      </c>
      <c r="E463" s="15">
        <v>4135.2</v>
      </c>
      <c r="F463" s="13" t="s">
        <v>1802</v>
      </c>
    </row>
    <row r="464" spans="1:6" x14ac:dyDescent="0.25">
      <c r="A464" s="10" t="s">
        <v>2328</v>
      </c>
      <c r="B464" s="11">
        <v>45511</v>
      </c>
      <c r="C464" s="10" t="s">
        <v>1818</v>
      </c>
      <c r="D464" s="10" t="s">
        <v>1783</v>
      </c>
      <c r="E464" s="12">
        <v>6004.53</v>
      </c>
      <c r="F464" s="10" t="s">
        <v>1884</v>
      </c>
    </row>
    <row r="465" spans="1:6" x14ac:dyDescent="0.25">
      <c r="A465" s="13" t="s">
        <v>2329</v>
      </c>
      <c r="B465" s="14">
        <v>45529</v>
      </c>
      <c r="C465" s="13" t="s">
        <v>1818</v>
      </c>
      <c r="D465" s="13" t="s">
        <v>1786</v>
      </c>
      <c r="E465" s="15">
        <v>5804.22</v>
      </c>
      <c r="F465" s="13" t="s">
        <v>1812</v>
      </c>
    </row>
    <row r="466" spans="1:6" x14ac:dyDescent="0.25">
      <c r="A466" s="10" t="s">
        <v>2330</v>
      </c>
      <c r="B466" s="11">
        <v>45512</v>
      </c>
      <c r="C466" s="10" t="s">
        <v>1818</v>
      </c>
      <c r="D466" s="10" t="s">
        <v>1789</v>
      </c>
      <c r="E466" s="12">
        <v>3603.47</v>
      </c>
      <c r="F466" s="10" t="s">
        <v>1793</v>
      </c>
    </row>
    <row r="467" spans="1:6" x14ac:dyDescent="0.25">
      <c r="A467" s="13" t="s">
        <v>2331</v>
      </c>
      <c r="B467" s="14">
        <v>45523</v>
      </c>
      <c r="C467" s="13" t="s">
        <v>1818</v>
      </c>
      <c r="D467" s="13" t="s">
        <v>1792</v>
      </c>
      <c r="E467" s="15">
        <v>4904.58</v>
      </c>
      <c r="F467" s="13" t="s">
        <v>1891</v>
      </c>
    </row>
    <row r="468" spans="1:6" x14ac:dyDescent="0.25">
      <c r="A468" s="10" t="s">
        <v>2332</v>
      </c>
      <c r="B468" s="11">
        <v>45520</v>
      </c>
      <c r="C468" s="10" t="s">
        <v>1818</v>
      </c>
      <c r="D468" s="10" t="s">
        <v>1795</v>
      </c>
      <c r="E468" s="12">
        <v>2433.15</v>
      </c>
      <c r="F468" s="10" t="s">
        <v>1927</v>
      </c>
    </row>
    <row r="469" spans="1:6" x14ac:dyDescent="0.25">
      <c r="A469" s="13" t="s">
        <v>2333</v>
      </c>
      <c r="B469" s="14">
        <v>45522</v>
      </c>
      <c r="C469" s="13" t="s">
        <v>1818</v>
      </c>
      <c r="D469" s="13" t="s">
        <v>1797</v>
      </c>
      <c r="E469" s="15">
        <v>1982.31</v>
      </c>
      <c r="F469" s="13" t="s">
        <v>2074</v>
      </c>
    </row>
    <row r="470" spans="1:6" x14ac:dyDescent="0.25">
      <c r="A470" s="10" t="s">
        <v>2334</v>
      </c>
      <c r="B470" s="11">
        <v>45528</v>
      </c>
      <c r="C470" s="10" t="s">
        <v>1786</v>
      </c>
      <c r="D470" s="10" t="s">
        <v>1775</v>
      </c>
      <c r="E470" s="12">
        <v>73414.38</v>
      </c>
      <c r="F470" s="10" t="s">
        <v>2192</v>
      </c>
    </row>
    <row r="471" spans="1:6" x14ac:dyDescent="0.25">
      <c r="A471" s="13" t="s">
        <v>2335</v>
      </c>
      <c r="B471" s="14">
        <v>45519</v>
      </c>
      <c r="C471" s="13" t="s">
        <v>1786</v>
      </c>
      <c r="D471" s="13" t="s">
        <v>1778</v>
      </c>
      <c r="E471" s="15">
        <v>12778.93</v>
      </c>
      <c r="F471" s="13" t="s">
        <v>1833</v>
      </c>
    </row>
    <row r="472" spans="1:6" x14ac:dyDescent="0.25">
      <c r="A472" s="10" t="s">
        <v>2336</v>
      </c>
      <c r="B472" s="11">
        <v>45511</v>
      </c>
      <c r="C472" s="10" t="s">
        <v>1786</v>
      </c>
      <c r="D472" s="10" t="s">
        <v>1780</v>
      </c>
      <c r="E472" s="12">
        <v>7765.84</v>
      </c>
      <c r="F472" s="10" t="s">
        <v>1838</v>
      </c>
    </row>
    <row r="473" spans="1:6" x14ac:dyDescent="0.25">
      <c r="A473" s="13" t="s">
        <v>2337</v>
      </c>
      <c r="B473" s="14">
        <v>45506</v>
      </c>
      <c r="C473" s="13" t="s">
        <v>1786</v>
      </c>
      <c r="D473" s="13" t="s">
        <v>1783</v>
      </c>
      <c r="E473" s="15">
        <v>12662.57</v>
      </c>
      <c r="F473" s="13" t="s">
        <v>2072</v>
      </c>
    </row>
    <row r="474" spans="1:6" x14ac:dyDescent="0.25">
      <c r="A474" s="10" t="s">
        <v>2338</v>
      </c>
      <c r="B474" s="11">
        <v>45506</v>
      </c>
      <c r="C474" s="10" t="s">
        <v>1786</v>
      </c>
      <c r="D474" s="10" t="s">
        <v>1786</v>
      </c>
      <c r="E474" s="12">
        <v>9513.7000000000007</v>
      </c>
      <c r="F474" s="10" t="s">
        <v>1871</v>
      </c>
    </row>
    <row r="475" spans="1:6" x14ac:dyDescent="0.25">
      <c r="A475" s="13" t="s">
        <v>2339</v>
      </c>
      <c r="B475" s="14">
        <v>45531</v>
      </c>
      <c r="C475" s="13" t="s">
        <v>1786</v>
      </c>
      <c r="D475" s="13" t="s">
        <v>1789</v>
      </c>
      <c r="E475" s="15">
        <v>6381.1</v>
      </c>
      <c r="F475" s="13" t="s">
        <v>1824</v>
      </c>
    </row>
    <row r="476" spans="1:6" x14ac:dyDescent="0.25">
      <c r="A476" s="10" t="s">
        <v>2340</v>
      </c>
      <c r="B476" s="11">
        <v>45522</v>
      </c>
      <c r="C476" s="10" t="s">
        <v>1786</v>
      </c>
      <c r="D476" s="10" t="s">
        <v>1792</v>
      </c>
      <c r="E476" s="12">
        <v>9181.74</v>
      </c>
      <c r="F476" s="10" t="s">
        <v>1867</v>
      </c>
    </row>
    <row r="477" spans="1:6" x14ac:dyDescent="0.25">
      <c r="A477" s="13" t="s">
        <v>2341</v>
      </c>
      <c r="B477" s="14">
        <v>45515</v>
      </c>
      <c r="C477" s="13" t="s">
        <v>1786</v>
      </c>
      <c r="D477" s="13" t="s">
        <v>1795</v>
      </c>
      <c r="E477" s="15">
        <v>4736.78</v>
      </c>
      <c r="F477" s="13" t="s">
        <v>1884</v>
      </c>
    </row>
    <row r="478" spans="1:6" x14ac:dyDescent="0.25">
      <c r="A478" s="10" t="s">
        <v>2342</v>
      </c>
      <c r="B478" s="11">
        <v>45508</v>
      </c>
      <c r="C478" s="10" t="s">
        <v>1786</v>
      </c>
      <c r="D478" s="10" t="s">
        <v>1797</v>
      </c>
      <c r="E478" s="12">
        <v>4355.8500000000004</v>
      </c>
      <c r="F478" s="10" t="s">
        <v>1990</v>
      </c>
    </row>
    <row r="479" spans="1:6" x14ac:dyDescent="0.25">
      <c r="A479" s="13" t="s">
        <v>2343</v>
      </c>
      <c r="B479" s="14">
        <v>45510</v>
      </c>
      <c r="C479" s="13" t="s">
        <v>1792</v>
      </c>
      <c r="D479" s="13" t="s">
        <v>1775</v>
      </c>
      <c r="E479" s="15">
        <v>72438.8</v>
      </c>
      <c r="F479" s="13" t="s">
        <v>1844</v>
      </c>
    </row>
    <row r="480" spans="1:6" x14ac:dyDescent="0.25">
      <c r="A480" s="10" t="s">
        <v>2344</v>
      </c>
      <c r="B480" s="11">
        <v>45529</v>
      </c>
      <c r="C480" s="10" t="s">
        <v>1792</v>
      </c>
      <c r="D480" s="10" t="s">
        <v>1778</v>
      </c>
      <c r="E480" s="12">
        <v>14075.65</v>
      </c>
      <c r="F480" s="10" t="s">
        <v>1884</v>
      </c>
    </row>
    <row r="481" spans="1:6" x14ac:dyDescent="0.25">
      <c r="A481" s="13" t="s">
        <v>2345</v>
      </c>
      <c r="B481" s="14">
        <v>45522</v>
      </c>
      <c r="C481" s="13" t="s">
        <v>1792</v>
      </c>
      <c r="D481" s="13" t="s">
        <v>1780</v>
      </c>
      <c r="E481" s="15">
        <v>9789.59</v>
      </c>
      <c r="F481" s="13" t="s">
        <v>1810</v>
      </c>
    </row>
    <row r="482" spans="1:6" x14ac:dyDescent="0.25">
      <c r="A482" s="10" t="s">
        <v>2346</v>
      </c>
      <c r="B482" s="11">
        <v>45527</v>
      </c>
      <c r="C482" s="10" t="s">
        <v>1792</v>
      </c>
      <c r="D482" s="10" t="s">
        <v>1783</v>
      </c>
      <c r="E482" s="12">
        <v>11306.9</v>
      </c>
      <c r="F482" s="10" t="s">
        <v>1958</v>
      </c>
    </row>
    <row r="483" spans="1:6" x14ac:dyDescent="0.25">
      <c r="A483" s="13" t="s">
        <v>2347</v>
      </c>
      <c r="B483" s="14">
        <v>45523</v>
      </c>
      <c r="C483" s="13" t="s">
        <v>1792</v>
      </c>
      <c r="D483" s="13" t="s">
        <v>1786</v>
      </c>
      <c r="E483" s="15">
        <v>12490.85</v>
      </c>
      <c r="F483" s="13" t="s">
        <v>1826</v>
      </c>
    </row>
    <row r="484" spans="1:6" x14ac:dyDescent="0.25">
      <c r="A484" s="10" t="s">
        <v>2348</v>
      </c>
      <c r="B484" s="11">
        <v>45529</v>
      </c>
      <c r="C484" s="10" t="s">
        <v>1792</v>
      </c>
      <c r="D484" s="10" t="s">
        <v>1789</v>
      </c>
      <c r="E484" s="12">
        <v>7504.97</v>
      </c>
      <c r="F484" s="10" t="s">
        <v>1882</v>
      </c>
    </row>
    <row r="485" spans="1:6" x14ac:dyDescent="0.25">
      <c r="A485" s="13" t="s">
        <v>2349</v>
      </c>
      <c r="B485" s="14">
        <v>45531</v>
      </c>
      <c r="C485" s="13" t="s">
        <v>1792</v>
      </c>
      <c r="D485" s="13" t="s">
        <v>1792</v>
      </c>
      <c r="E485" s="15">
        <v>13948.2</v>
      </c>
      <c r="F485" s="13" t="s">
        <v>1802</v>
      </c>
    </row>
    <row r="486" spans="1:6" x14ac:dyDescent="0.25">
      <c r="A486" s="10" t="s">
        <v>2350</v>
      </c>
      <c r="B486" s="11">
        <v>45521</v>
      </c>
      <c r="C486" s="10" t="s">
        <v>1792</v>
      </c>
      <c r="D486" s="10" t="s">
        <v>1795</v>
      </c>
      <c r="E486" s="12">
        <v>4475.72</v>
      </c>
      <c r="F486" s="10" t="s">
        <v>1814</v>
      </c>
    </row>
    <row r="487" spans="1:6" x14ac:dyDescent="0.25">
      <c r="A487" s="13" t="s">
        <v>2351</v>
      </c>
      <c r="B487" s="14">
        <v>45513</v>
      </c>
      <c r="C487" s="13" t="s">
        <v>1792</v>
      </c>
      <c r="D487" s="13" t="s">
        <v>1797</v>
      </c>
      <c r="E487" s="15">
        <v>5347.9</v>
      </c>
      <c r="F487" s="13" t="s">
        <v>1871</v>
      </c>
    </row>
    <row r="488" spans="1:6" x14ac:dyDescent="0.25">
      <c r="A488" s="10" t="s">
        <v>2352</v>
      </c>
      <c r="B488" s="11">
        <v>45521</v>
      </c>
      <c r="C488" s="10" t="s">
        <v>1862</v>
      </c>
      <c r="D488" s="10" t="s">
        <v>1775</v>
      </c>
      <c r="E488" s="12">
        <v>38501.839999999997</v>
      </c>
      <c r="F488" s="10" t="s">
        <v>1784</v>
      </c>
    </row>
    <row r="489" spans="1:6" x14ac:dyDescent="0.25">
      <c r="A489" s="13" t="s">
        <v>2353</v>
      </c>
      <c r="B489" s="14">
        <v>45505</v>
      </c>
      <c r="C489" s="13" t="s">
        <v>1862</v>
      </c>
      <c r="D489" s="13" t="s">
        <v>1778</v>
      </c>
      <c r="E489" s="15">
        <v>9008.7000000000007</v>
      </c>
      <c r="F489" s="13" t="s">
        <v>1979</v>
      </c>
    </row>
    <row r="490" spans="1:6" x14ac:dyDescent="0.25">
      <c r="A490" s="10" t="s">
        <v>2354</v>
      </c>
      <c r="B490" s="11">
        <v>45530</v>
      </c>
      <c r="C490" s="10" t="s">
        <v>1862</v>
      </c>
      <c r="D490" s="10" t="s">
        <v>1780</v>
      </c>
      <c r="E490" s="12">
        <v>4206.3900000000003</v>
      </c>
      <c r="F490" s="10" t="s">
        <v>1838</v>
      </c>
    </row>
    <row r="491" spans="1:6" x14ac:dyDescent="0.25">
      <c r="A491" s="13" t="s">
        <v>2355</v>
      </c>
      <c r="B491" s="14">
        <v>45519</v>
      </c>
      <c r="C491" s="13" t="s">
        <v>1862</v>
      </c>
      <c r="D491" s="13" t="s">
        <v>1783</v>
      </c>
      <c r="E491" s="15">
        <v>5993.2</v>
      </c>
      <c r="F491" s="13" t="s">
        <v>1800</v>
      </c>
    </row>
    <row r="492" spans="1:6" x14ac:dyDescent="0.25">
      <c r="A492" s="10" t="s">
        <v>2356</v>
      </c>
      <c r="B492" s="11">
        <v>45515</v>
      </c>
      <c r="C492" s="10" t="s">
        <v>1862</v>
      </c>
      <c r="D492" s="10" t="s">
        <v>1786</v>
      </c>
      <c r="E492" s="12">
        <v>6237.78</v>
      </c>
      <c r="F492" s="10" t="s">
        <v>1886</v>
      </c>
    </row>
    <row r="493" spans="1:6" x14ac:dyDescent="0.25">
      <c r="A493" s="13" t="s">
        <v>2357</v>
      </c>
      <c r="B493" s="14">
        <v>45507</v>
      </c>
      <c r="C493" s="13" t="s">
        <v>1862</v>
      </c>
      <c r="D493" s="13" t="s">
        <v>1789</v>
      </c>
      <c r="E493" s="15">
        <v>4761.57</v>
      </c>
      <c r="F493" s="13" t="s">
        <v>1884</v>
      </c>
    </row>
    <row r="494" spans="1:6" x14ac:dyDescent="0.25">
      <c r="A494" s="10" t="s">
        <v>2358</v>
      </c>
      <c r="B494" s="11">
        <v>45516</v>
      </c>
      <c r="C494" s="10" t="s">
        <v>1862</v>
      </c>
      <c r="D494" s="10" t="s">
        <v>1792</v>
      </c>
      <c r="E494" s="12">
        <v>6489.35</v>
      </c>
      <c r="F494" s="10" t="s">
        <v>1970</v>
      </c>
    </row>
    <row r="495" spans="1:6" x14ac:dyDescent="0.25">
      <c r="A495" s="13" t="s">
        <v>2359</v>
      </c>
      <c r="B495" s="14">
        <v>45505</v>
      </c>
      <c r="C495" s="13" t="s">
        <v>1862</v>
      </c>
      <c r="D495" s="13" t="s">
        <v>1795</v>
      </c>
      <c r="E495" s="15">
        <v>2769</v>
      </c>
      <c r="F495" s="13" t="s">
        <v>1884</v>
      </c>
    </row>
    <row r="496" spans="1:6" x14ac:dyDescent="0.25">
      <c r="A496" s="10" t="s">
        <v>2360</v>
      </c>
      <c r="B496" s="11">
        <v>45508</v>
      </c>
      <c r="C496" s="10" t="s">
        <v>1862</v>
      </c>
      <c r="D496" s="10" t="s">
        <v>1797</v>
      </c>
      <c r="E496" s="12">
        <v>2665.47</v>
      </c>
      <c r="F496" s="10" t="s">
        <v>2162</v>
      </c>
    </row>
    <row r="497" spans="1:6" x14ac:dyDescent="0.25">
      <c r="A497" s="13" t="s">
        <v>2361</v>
      </c>
      <c r="B497" s="14">
        <v>45526</v>
      </c>
      <c r="C497" s="13" t="s">
        <v>1877</v>
      </c>
      <c r="D497" s="13" t="s">
        <v>1775</v>
      </c>
      <c r="E497" s="15">
        <v>57807.28</v>
      </c>
      <c r="F497" s="13" t="s">
        <v>1838</v>
      </c>
    </row>
    <row r="498" spans="1:6" x14ac:dyDescent="0.25">
      <c r="A498" s="10" t="s">
        <v>2362</v>
      </c>
      <c r="B498" s="11">
        <v>45506</v>
      </c>
      <c r="C498" s="10" t="s">
        <v>1877</v>
      </c>
      <c r="D498" s="10" t="s">
        <v>1778</v>
      </c>
      <c r="E498" s="12">
        <v>13543.1</v>
      </c>
      <c r="F498" s="10" t="s">
        <v>1946</v>
      </c>
    </row>
    <row r="499" spans="1:6" x14ac:dyDescent="0.25">
      <c r="A499" s="13" t="s">
        <v>2363</v>
      </c>
      <c r="B499" s="14">
        <v>45515</v>
      </c>
      <c r="C499" s="13" t="s">
        <v>1877</v>
      </c>
      <c r="D499" s="13" t="s">
        <v>1780</v>
      </c>
      <c r="E499" s="15">
        <v>6548.29</v>
      </c>
      <c r="F499" s="13" t="s">
        <v>1822</v>
      </c>
    </row>
    <row r="500" spans="1:6" x14ac:dyDescent="0.25">
      <c r="A500" s="10" t="s">
        <v>2364</v>
      </c>
      <c r="B500" s="11">
        <v>45528</v>
      </c>
      <c r="C500" s="10" t="s">
        <v>1877</v>
      </c>
      <c r="D500" s="10" t="s">
        <v>1783</v>
      </c>
      <c r="E500" s="12">
        <v>9535.85</v>
      </c>
      <c r="F500" s="10" t="s">
        <v>1979</v>
      </c>
    </row>
    <row r="501" spans="1:6" x14ac:dyDescent="0.25">
      <c r="A501" s="13" t="s">
        <v>2365</v>
      </c>
      <c r="B501" s="14">
        <v>45518</v>
      </c>
      <c r="C501" s="13" t="s">
        <v>1877</v>
      </c>
      <c r="D501" s="13" t="s">
        <v>1786</v>
      </c>
      <c r="E501" s="15">
        <v>9146.52</v>
      </c>
      <c r="F501" s="13" t="s">
        <v>1904</v>
      </c>
    </row>
    <row r="502" spans="1:6" x14ac:dyDescent="0.25">
      <c r="A502" s="10" t="s">
        <v>2366</v>
      </c>
      <c r="B502" s="11">
        <v>45530</v>
      </c>
      <c r="C502" s="10" t="s">
        <v>1877</v>
      </c>
      <c r="D502" s="10" t="s">
        <v>1789</v>
      </c>
      <c r="E502" s="12">
        <v>6677.86</v>
      </c>
      <c r="F502" s="10" t="s">
        <v>1826</v>
      </c>
    </row>
    <row r="503" spans="1:6" x14ac:dyDescent="0.25">
      <c r="A503" s="13" t="s">
        <v>2367</v>
      </c>
      <c r="B503" s="14">
        <v>45513</v>
      </c>
      <c r="C503" s="13" t="s">
        <v>1877</v>
      </c>
      <c r="D503" s="13" t="s">
        <v>1792</v>
      </c>
      <c r="E503" s="15">
        <v>9239.3700000000008</v>
      </c>
      <c r="F503" s="13" t="s">
        <v>1946</v>
      </c>
    </row>
    <row r="504" spans="1:6" x14ac:dyDescent="0.25">
      <c r="A504" s="10" t="s">
        <v>2368</v>
      </c>
      <c r="B504" s="11">
        <v>45523</v>
      </c>
      <c r="C504" s="10" t="s">
        <v>1877</v>
      </c>
      <c r="D504" s="10" t="s">
        <v>1795</v>
      </c>
      <c r="E504" s="12">
        <v>3180.14</v>
      </c>
      <c r="F504" s="10" t="s">
        <v>2078</v>
      </c>
    </row>
    <row r="505" spans="1:6" x14ac:dyDescent="0.25">
      <c r="A505" s="13" t="s">
        <v>2369</v>
      </c>
      <c r="B505" s="14">
        <v>45514</v>
      </c>
      <c r="C505" s="13" t="s">
        <v>1877</v>
      </c>
      <c r="D505" s="13" t="s">
        <v>1797</v>
      </c>
      <c r="E505" s="15">
        <v>3594.74</v>
      </c>
      <c r="F505" s="13" t="s">
        <v>1793</v>
      </c>
    </row>
    <row r="506" spans="1:6" x14ac:dyDescent="0.25">
      <c r="A506" s="10" t="s">
        <v>2370</v>
      </c>
      <c r="B506" s="11">
        <v>45550</v>
      </c>
      <c r="C506" s="10" t="s">
        <v>1774</v>
      </c>
      <c r="D506" s="10" t="s">
        <v>1775</v>
      </c>
      <c r="E506" s="12">
        <v>111364.16</v>
      </c>
      <c r="F506" s="10" t="s">
        <v>1784</v>
      </c>
    </row>
    <row r="507" spans="1:6" x14ac:dyDescent="0.25">
      <c r="A507" s="13" t="s">
        <v>2371</v>
      </c>
      <c r="B507" s="14">
        <v>45546</v>
      </c>
      <c r="C507" s="13" t="s">
        <v>1774</v>
      </c>
      <c r="D507" s="13" t="s">
        <v>1778</v>
      </c>
      <c r="E507" s="15">
        <v>16066.61</v>
      </c>
      <c r="F507" s="13" t="s">
        <v>1826</v>
      </c>
    </row>
    <row r="508" spans="1:6" x14ac:dyDescent="0.25">
      <c r="A508" s="10" t="s">
        <v>2372</v>
      </c>
      <c r="B508" s="11">
        <v>45551</v>
      </c>
      <c r="C508" s="10" t="s">
        <v>1774</v>
      </c>
      <c r="D508" s="10" t="s">
        <v>1780</v>
      </c>
      <c r="E508" s="12">
        <v>9621.31</v>
      </c>
      <c r="F508" s="10" t="s">
        <v>1800</v>
      </c>
    </row>
    <row r="509" spans="1:6" x14ac:dyDescent="0.25">
      <c r="A509" s="13" t="s">
        <v>2373</v>
      </c>
      <c r="B509" s="14">
        <v>45552</v>
      </c>
      <c r="C509" s="13" t="s">
        <v>1774</v>
      </c>
      <c r="D509" s="13" t="s">
        <v>1783</v>
      </c>
      <c r="E509" s="15">
        <v>17482.57</v>
      </c>
      <c r="F509" s="13" t="s">
        <v>1787</v>
      </c>
    </row>
    <row r="510" spans="1:6" x14ac:dyDescent="0.25">
      <c r="A510" s="10" t="s">
        <v>2374</v>
      </c>
      <c r="B510" s="11">
        <v>45555</v>
      </c>
      <c r="C510" s="10" t="s">
        <v>1774</v>
      </c>
      <c r="D510" s="10" t="s">
        <v>1786</v>
      </c>
      <c r="E510" s="12">
        <v>13225.58</v>
      </c>
      <c r="F510" s="10" t="s">
        <v>1891</v>
      </c>
    </row>
    <row r="511" spans="1:6" x14ac:dyDescent="0.25">
      <c r="A511" s="13" t="s">
        <v>2375</v>
      </c>
      <c r="B511" s="14">
        <v>45557</v>
      </c>
      <c r="C511" s="13" t="s">
        <v>1774</v>
      </c>
      <c r="D511" s="13" t="s">
        <v>1789</v>
      </c>
      <c r="E511" s="15">
        <v>9580.0400000000009</v>
      </c>
      <c r="F511" s="13" t="s">
        <v>1990</v>
      </c>
    </row>
    <row r="512" spans="1:6" x14ac:dyDescent="0.25">
      <c r="A512" s="10" t="s">
        <v>2376</v>
      </c>
      <c r="B512" s="11">
        <v>45549</v>
      </c>
      <c r="C512" s="10" t="s">
        <v>1774</v>
      </c>
      <c r="D512" s="10" t="s">
        <v>1792</v>
      </c>
      <c r="E512" s="12">
        <v>15746.26</v>
      </c>
      <c r="F512" s="10" t="s">
        <v>1958</v>
      </c>
    </row>
    <row r="513" spans="1:6" x14ac:dyDescent="0.25">
      <c r="A513" s="13" t="s">
        <v>2377</v>
      </c>
      <c r="B513" s="14">
        <v>45555</v>
      </c>
      <c r="C513" s="13" t="s">
        <v>1774</v>
      </c>
      <c r="D513" s="13" t="s">
        <v>1795</v>
      </c>
      <c r="E513" s="15">
        <v>4782.67</v>
      </c>
      <c r="F513" s="13" t="s">
        <v>2192</v>
      </c>
    </row>
    <row r="514" spans="1:6" x14ac:dyDescent="0.25">
      <c r="A514" s="10" t="s">
        <v>2378</v>
      </c>
      <c r="B514" s="11">
        <v>45552</v>
      </c>
      <c r="C514" s="10" t="s">
        <v>1774</v>
      </c>
      <c r="D514" s="10" t="s">
        <v>1797</v>
      </c>
      <c r="E514" s="12">
        <v>5396.34</v>
      </c>
      <c r="F514" s="10" t="s">
        <v>1800</v>
      </c>
    </row>
    <row r="515" spans="1:6" x14ac:dyDescent="0.25">
      <c r="A515" s="13" t="s">
        <v>2379</v>
      </c>
      <c r="B515" s="14">
        <v>45538</v>
      </c>
      <c r="C515" s="13" t="s">
        <v>1799</v>
      </c>
      <c r="D515" s="13" t="s">
        <v>1775</v>
      </c>
      <c r="E515" s="15">
        <v>43977.02</v>
      </c>
      <c r="F515" s="13" t="s">
        <v>2040</v>
      </c>
    </row>
    <row r="516" spans="1:6" x14ac:dyDescent="0.25">
      <c r="A516" s="10" t="s">
        <v>2380</v>
      </c>
      <c r="B516" s="11">
        <v>45545</v>
      </c>
      <c r="C516" s="10" t="s">
        <v>1799</v>
      </c>
      <c r="D516" s="10" t="s">
        <v>1778</v>
      </c>
      <c r="E516" s="12">
        <v>6929.62</v>
      </c>
      <c r="F516" s="10" t="s">
        <v>1802</v>
      </c>
    </row>
    <row r="517" spans="1:6" x14ac:dyDescent="0.25">
      <c r="A517" s="13" t="s">
        <v>2381</v>
      </c>
      <c r="B517" s="14">
        <v>45562</v>
      </c>
      <c r="C517" s="13" t="s">
        <v>1799</v>
      </c>
      <c r="D517" s="13" t="s">
        <v>1780</v>
      </c>
      <c r="E517" s="15">
        <v>3839.7</v>
      </c>
      <c r="F517" s="13" t="s">
        <v>1800</v>
      </c>
    </row>
    <row r="518" spans="1:6" x14ac:dyDescent="0.25">
      <c r="A518" s="10" t="s">
        <v>2382</v>
      </c>
      <c r="B518" s="11">
        <v>45558</v>
      </c>
      <c r="C518" s="10" t="s">
        <v>1799</v>
      </c>
      <c r="D518" s="10" t="s">
        <v>1783</v>
      </c>
      <c r="E518" s="12">
        <v>7333.56</v>
      </c>
      <c r="F518" s="10" t="s">
        <v>2074</v>
      </c>
    </row>
    <row r="519" spans="1:6" x14ac:dyDescent="0.25">
      <c r="A519" s="13" t="s">
        <v>2383</v>
      </c>
      <c r="B519" s="14">
        <v>45562</v>
      </c>
      <c r="C519" s="13" t="s">
        <v>1799</v>
      </c>
      <c r="D519" s="13" t="s">
        <v>1786</v>
      </c>
      <c r="E519" s="15">
        <v>6643.3</v>
      </c>
      <c r="F519" s="13" t="s">
        <v>1968</v>
      </c>
    </row>
    <row r="520" spans="1:6" x14ac:dyDescent="0.25">
      <c r="A520" s="10" t="s">
        <v>2384</v>
      </c>
      <c r="B520" s="11">
        <v>45541</v>
      </c>
      <c r="C520" s="10" t="s">
        <v>1799</v>
      </c>
      <c r="D520" s="10" t="s">
        <v>1789</v>
      </c>
      <c r="E520" s="12">
        <v>3687.47</v>
      </c>
      <c r="F520" s="10" t="s">
        <v>2093</v>
      </c>
    </row>
    <row r="521" spans="1:6" x14ac:dyDescent="0.25">
      <c r="A521" s="13" t="s">
        <v>2385</v>
      </c>
      <c r="B521" s="14">
        <v>45562</v>
      </c>
      <c r="C521" s="13" t="s">
        <v>1799</v>
      </c>
      <c r="D521" s="13" t="s">
        <v>1792</v>
      </c>
      <c r="E521" s="15">
        <v>7271.09</v>
      </c>
      <c r="F521" s="13" t="s">
        <v>2159</v>
      </c>
    </row>
    <row r="522" spans="1:6" x14ac:dyDescent="0.25">
      <c r="A522" s="10" t="s">
        <v>2386</v>
      </c>
      <c r="B522" s="11">
        <v>45547</v>
      </c>
      <c r="C522" s="10" t="s">
        <v>1799</v>
      </c>
      <c r="D522" s="10" t="s">
        <v>1795</v>
      </c>
      <c r="E522" s="12">
        <v>2148.6799999999998</v>
      </c>
      <c r="F522" s="10" t="s">
        <v>1854</v>
      </c>
    </row>
    <row r="523" spans="1:6" x14ac:dyDescent="0.25">
      <c r="A523" s="13" t="s">
        <v>2387</v>
      </c>
      <c r="B523" s="14">
        <v>45540</v>
      </c>
      <c r="C523" s="13" t="s">
        <v>1799</v>
      </c>
      <c r="D523" s="13" t="s">
        <v>1797</v>
      </c>
      <c r="E523" s="15">
        <v>2397.5500000000002</v>
      </c>
      <c r="F523" s="13" t="s">
        <v>1814</v>
      </c>
    </row>
    <row r="524" spans="1:6" x14ac:dyDescent="0.25">
      <c r="A524" s="10" t="s">
        <v>2388</v>
      </c>
      <c r="B524" s="11">
        <v>45554</v>
      </c>
      <c r="C524" s="10" t="s">
        <v>1818</v>
      </c>
      <c r="D524" s="10" t="s">
        <v>1775</v>
      </c>
      <c r="E524" s="12">
        <v>36152.22</v>
      </c>
      <c r="F524" s="10" t="s">
        <v>1941</v>
      </c>
    </row>
    <row r="525" spans="1:6" x14ac:dyDescent="0.25">
      <c r="A525" s="13" t="s">
        <v>2389</v>
      </c>
      <c r="B525" s="14">
        <v>45552</v>
      </c>
      <c r="C525" s="13" t="s">
        <v>1818</v>
      </c>
      <c r="D525" s="13" t="s">
        <v>1778</v>
      </c>
      <c r="E525" s="15">
        <v>5975.85</v>
      </c>
      <c r="F525" s="13" t="s">
        <v>1840</v>
      </c>
    </row>
    <row r="526" spans="1:6" x14ac:dyDescent="0.25">
      <c r="A526" s="10" t="s">
        <v>2390</v>
      </c>
      <c r="B526" s="11">
        <v>45548</v>
      </c>
      <c r="C526" s="10" t="s">
        <v>1818</v>
      </c>
      <c r="D526" s="10" t="s">
        <v>1780</v>
      </c>
      <c r="E526" s="12">
        <v>3760.16</v>
      </c>
      <c r="F526" s="10" t="s">
        <v>1958</v>
      </c>
    </row>
    <row r="527" spans="1:6" x14ac:dyDescent="0.25">
      <c r="A527" s="13" t="s">
        <v>2391</v>
      </c>
      <c r="B527" s="14">
        <v>45553</v>
      </c>
      <c r="C527" s="13" t="s">
        <v>1818</v>
      </c>
      <c r="D527" s="13" t="s">
        <v>1783</v>
      </c>
      <c r="E527" s="15">
        <v>5741.82</v>
      </c>
      <c r="F527" s="13" t="s">
        <v>1917</v>
      </c>
    </row>
    <row r="528" spans="1:6" x14ac:dyDescent="0.25">
      <c r="A528" s="10" t="s">
        <v>2392</v>
      </c>
      <c r="B528" s="11">
        <v>45542</v>
      </c>
      <c r="C528" s="10" t="s">
        <v>1818</v>
      </c>
      <c r="D528" s="10" t="s">
        <v>1786</v>
      </c>
      <c r="E528" s="12">
        <v>6450.93</v>
      </c>
      <c r="F528" s="10" t="s">
        <v>2005</v>
      </c>
    </row>
    <row r="529" spans="1:6" x14ac:dyDescent="0.25">
      <c r="A529" s="13" t="s">
        <v>2393</v>
      </c>
      <c r="B529" s="14">
        <v>45552</v>
      </c>
      <c r="C529" s="13" t="s">
        <v>1818</v>
      </c>
      <c r="D529" s="13" t="s">
        <v>1789</v>
      </c>
      <c r="E529" s="15">
        <v>3962.06</v>
      </c>
      <c r="F529" s="13" t="s">
        <v>1960</v>
      </c>
    </row>
    <row r="530" spans="1:6" x14ac:dyDescent="0.25">
      <c r="A530" s="10" t="s">
        <v>2394</v>
      </c>
      <c r="B530" s="11">
        <v>45537</v>
      </c>
      <c r="C530" s="10" t="s">
        <v>1818</v>
      </c>
      <c r="D530" s="10" t="s">
        <v>1792</v>
      </c>
      <c r="E530" s="12">
        <v>5417.24</v>
      </c>
      <c r="F530" s="10" t="s">
        <v>1816</v>
      </c>
    </row>
    <row r="531" spans="1:6" x14ac:dyDescent="0.25">
      <c r="A531" s="13" t="s">
        <v>2395</v>
      </c>
      <c r="B531" s="14">
        <v>45551</v>
      </c>
      <c r="C531" s="13" t="s">
        <v>1818</v>
      </c>
      <c r="D531" s="13" t="s">
        <v>1795</v>
      </c>
      <c r="E531" s="15">
        <v>1881.55</v>
      </c>
      <c r="F531" s="13" t="s">
        <v>1939</v>
      </c>
    </row>
    <row r="532" spans="1:6" x14ac:dyDescent="0.25">
      <c r="A532" s="10" t="s">
        <v>2396</v>
      </c>
      <c r="B532" s="11">
        <v>45550</v>
      </c>
      <c r="C532" s="10" t="s">
        <v>1818</v>
      </c>
      <c r="D532" s="10" t="s">
        <v>1797</v>
      </c>
      <c r="E532" s="12">
        <v>2359.58</v>
      </c>
      <c r="F532" s="10" t="s">
        <v>1939</v>
      </c>
    </row>
    <row r="533" spans="1:6" x14ac:dyDescent="0.25">
      <c r="A533" s="13" t="s">
        <v>2397</v>
      </c>
      <c r="B533" s="14">
        <v>45553</v>
      </c>
      <c r="C533" s="13" t="s">
        <v>1786</v>
      </c>
      <c r="D533" s="13" t="s">
        <v>1775</v>
      </c>
      <c r="E533" s="15">
        <v>78067.72</v>
      </c>
      <c r="F533" s="13" t="s">
        <v>1927</v>
      </c>
    </row>
    <row r="534" spans="1:6" x14ac:dyDescent="0.25">
      <c r="A534" s="10" t="s">
        <v>2398</v>
      </c>
      <c r="B534" s="11">
        <v>45550</v>
      </c>
      <c r="C534" s="10" t="s">
        <v>1786</v>
      </c>
      <c r="D534" s="10" t="s">
        <v>1778</v>
      </c>
      <c r="E534" s="12">
        <v>13013.9</v>
      </c>
      <c r="F534" s="10" t="s">
        <v>1865</v>
      </c>
    </row>
    <row r="535" spans="1:6" x14ac:dyDescent="0.25">
      <c r="A535" s="13" t="s">
        <v>2399</v>
      </c>
      <c r="B535" s="14">
        <v>45554</v>
      </c>
      <c r="C535" s="13" t="s">
        <v>1786</v>
      </c>
      <c r="D535" s="13" t="s">
        <v>1780</v>
      </c>
      <c r="E535" s="15">
        <v>5486.9</v>
      </c>
      <c r="F535" s="13" t="s">
        <v>2186</v>
      </c>
    </row>
    <row r="536" spans="1:6" x14ac:dyDescent="0.25">
      <c r="A536" s="10" t="s">
        <v>2400</v>
      </c>
      <c r="B536" s="11">
        <v>45545</v>
      </c>
      <c r="C536" s="10" t="s">
        <v>1786</v>
      </c>
      <c r="D536" s="10" t="s">
        <v>1783</v>
      </c>
      <c r="E536" s="12">
        <v>10585.06</v>
      </c>
      <c r="F536" s="10" t="s">
        <v>1927</v>
      </c>
    </row>
    <row r="537" spans="1:6" x14ac:dyDescent="0.25">
      <c r="A537" s="13" t="s">
        <v>2401</v>
      </c>
      <c r="B537" s="14">
        <v>45546</v>
      </c>
      <c r="C537" s="13" t="s">
        <v>1786</v>
      </c>
      <c r="D537" s="13" t="s">
        <v>1786</v>
      </c>
      <c r="E537" s="15">
        <v>10114.98</v>
      </c>
      <c r="F537" s="13" t="s">
        <v>1958</v>
      </c>
    </row>
    <row r="538" spans="1:6" x14ac:dyDescent="0.25">
      <c r="A538" s="10" t="s">
        <v>2402</v>
      </c>
      <c r="B538" s="11">
        <v>45538</v>
      </c>
      <c r="C538" s="10" t="s">
        <v>1786</v>
      </c>
      <c r="D538" s="10" t="s">
        <v>1789</v>
      </c>
      <c r="E538" s="12">
        <v>5505.76</v>
      </c>
      <c r="F538" s="10" t="s">
        <v>1822</v>
      </c>
    </row>
    <row r="539" spans="1:6" x14ac:dyDescent="0.25">
      <c r="A539" s="13" t="s">
        <v>2403</v>
      </c>
      <c r="B539" s="14">
        <v>45561</v>
      </c>
      <c r="C539" s="13" t="s">
        <v>1786</v>
      </c>
      <c r="D539" s="13" t="s">
        <v>1792</v>
      </c>
      <c r="E539" s="15">
        <v>10245.84</v>
      </c>
      <c r="F539" s="13" t="s">
        <v>2074</v>
      </c>
    </row>
    <row r="540" spans="1:6" x14ac:dyDescent="0.25">
      <c r="A540" s="10" t="s">
        <v>2404</v>
      </c>
      <c r="B540" s="11">
        <v>45544</v>
      </c>
      <c r="C540" s="10" t="s">
        <v>1786</v>
      </c>
      <c r="D540" s="10" t="s">
        <v>1795</v>
      </c>
      <c r="E540" s="12">
        <v>3611.86</v>
      </c>
      <c r="F540" s="10" t="s">
        <v>1787</v>
      </c>
    </row>
    <row r="541" spans="1:6" x14ac:dyDescent="0.25">
      <c r="A541" s="13" t="s">
        <v>2405</v>
      </c>
      <c r="B541" s="14">
        <v>45554</v>
      </c>
      <c r="C541" s="13" t="s">
        <v>1786</v>
      </c>
      <c r="D541" s="13" t="s">
        <v>1797</v>
      </c>
      <c r="E541" s="15">
        <v>3712.62</v>
      </c>
      <c r="F541" s="13" t="s">
        <v>2186</v>
      </c>
    </row>
    <row r="542" spans="1:6" x14ac:dyDescent="0.25">
      <c r="A542" s="10" t="s">
        <v>2406</v>
      </c>
      <c r="B542" s="11">
        <v>45542</v>
      </c>
      <c r="C542" s="10" t="s">
        <v>1792</v>
      </c>
      <c r="D542" s="10" t="s">
        <v>1775</v>
      </c>
      <c r="E542" s="12">
        <v>70705.070000000007</v>
      </c>
      <c r="F542" s="10" t="s">
        <v>1787</v>
      </c>
    </row>
    <row r="543" spans="1:6" x14ac:dyDescent="0.25">
      <c r="A543" s="13" t="s">
        <v>2407</v>
      </c>
      <c r="B543" s="14">
        <v>45537</v>
      </c>
      <c r="C543" s="13" t="s">
        <v>1792</v>
      </c>
      <c r="D543" s="13" t="s">
        <v>1778</v>
      </c>
      <c r="E543" s="15">
        <v>14429.02</v>
      </c>
      <c r="F543" s="13" t="s">
        <v>1816</v>
      </c>
    </row>
    <row r="544" spans="1:6" x14ac:dyDescent="0.25">
      <c r="A544" s="10" t="s">
        <v>2408</v>
      </c>
      <c r="B544" s="11">
        <v>45560</v>
      </c>
      <c r="C544" s="10" t="s">
        <v>1792</v>
      </c>
      <c r="D544" s="10" t="s">
        <v>1780</v>
      </c>
      <c r="E544" s="12">
        <v>8376.08</v>
      </c>
      <c r="F544" s="10" t="s">
        <v>1906</v>
      </c>
    </row>
    <row r="545" spans="1:6" x14ac:dyDescent="0.25">
      <c r="A545" s="13" t="s">
        <v>2409</v>
      </c>
      <c r="B545" s="14">
        <v>45556</v>
      </c>
      <c r="C545" s="13" t="s">
        <v>1792</v>
      </c>
      <c r="D545" s="13" t="s">
        <v>1783</v>
      </c>
      <c r="E545" s="15">
        <v>12809.28</v>
      </c>
      <c r="F545" s="13" t="s">
        <v>1917</v>
      </c>
    </row>
    <row r="546" spans="1:6" x14ac:dyDescent="0.25">
      <c r="A546" s="10" t="s">
        <v>2410</v>
      </c>
      <c r="B546" s="11">
        <v>45553</v>
      </c>
      <c r="C546" s="10" t="s">
        <v>1792</v>
      </c>
      <c r="D546" s="10" t="s">
        <v>1786</v>
      </c>
      <c r="E546" s="12">
        <v>11642.22</v>
      </c>
      <c r="F546" s="10" t="s">
        <v>2411</v>
      </c>
    </row>
    <row r="547" spans="1:6" x14ac:dyDescent="0.25">
      <c r="A547" s="13" t="s">
        <v>2412</v>
      </c>
      <c r="B547" s="14">
        <v>45545</v>
      </c>
      <c r="C547" s="13" t="s">
        <v>1792</v>
      </c>
      <c r="D547" s="13" t="s">
        <v>1789</v>
      </c>
      <c r="E547" s="15">
        <v>7844.82</v>
      </c>
      <c r="F547" s="13" t="s">
        <v>1927</v>
      </c>
    </row>
    <row r="548" spans="1:6" x14ac:dyDescent="0.25">
      <c r="A548" s="10" t="s">
        <v>2413</v>
      </c>
      <c r="B548" s="11">
        <v>45546</v>
      </c>
      <c r="C548" s="10" t="s">
        <v>1792</v>
      </c>
      <c r="D548" s="10" t="s">
        <v>1792</v>
      </c>
      <c r="E548" s="12">
        <v>12844.3</v>
      </c>
      <c r="F548" s="10" t="s">
        <v>2159</v>
      </c>
    </row>
    <row r="549" spans="1:6" x14ac:dyDescent="0.25">
      <c r="A549" s="13" t="s">
        <v>2414</v>
      </c>
      <c r="B549" s="14">
        <v>45543</v>
      </c>
      <c r="C549" s="13" t="s">
        <v>1792</v>
      </c>
      <c r="D549" s="13" t="s">
        <v>1795</v>
      </c>
      <c r="E549" s="15">
        <v>4800.93</v>
      </c>
      <c r="F549" s="13" t="s">
        <v>2062</v>
      </c>
    </row>
    <row r="550" spans="1:6" x14ac:dyDescent="0.25">
      <c r="A550" s="10" t="s">
        <v>2415</v>
      </c>
      <c r="B550" s="11">
        <v>45556</v>
      </c>
      <c r="C550" s="10" t="s">
        <v>1792</v>
      </c>
      <c r="D550" s="10" t="s">
        <v>1797</v>
      </c>
      <c r="E550" s="12">
        <v>4530.5</v>
      </c>
      <c r="F550" s="10" t="s">
        <v>1968</v>
      </c>
    </row>
    <row r="551" spans="1:6" x14ac:dyDescent="0.25">
      <c r="A551" s="13" t="s">
        <v>2416</v>
      </c>
      <c r="B551" s="14">
        <v>45542</v>
      </c>
      <c r="C551" s="13" t="s">
        <v>1862</v>
      </c>
      <c r="D551" s="13" t="s">
        <v>1775</v>
      </c>
      <c r="E551" s="15">
        <v>39377.26</v>
      </c>
      <c r="F551" s="13" t="s">
        <v>2186</v>
      </c>
    </row>
    <row r="552" spans="1:6" x14ac:dyDescent="0.25">
      <c r="A552" s="10" t="s">
        <v>2417</v>
      </c>
      <c r="B552" s="11">
        <v>45548</v>
      </c>
      <c r="C552" s="10" t="s">
        <v>1862</v>
      </c>
      <c r="D552" s="10" t="s">
        <v>1778</v>
      </c>
      <c r="E552" s="12">
        <v>8516.0400000000009</v>
      </c>
      <c r="F552" s="10" t="s">
        <v>1871</v>
      </c>
    </row>
    <row r="553" spans="1:6" x14ac:dyDescent="0.25">
      <c r="A553" s="13" t="s">
        <v>2418</v>
      </c>
      <c r="B553" s="14">
        <v>45551</v>
      </c>
      <c r="C553" s="13" t="s">
        <v>1862</v>
      </c>
      <c r="D553" s="13" t="s">
        <v>1780</v>
      </c>
      <c r="E553" s="15">
        <v>3457.27</v>
      </c>
      <c r="F553" s="13" t="s">
        <v>2113</v>
      </c>
    </row>
    <row r="554" spans="1:6" x14ac:dyDescent="0.25">
      <c r="A554" s="10" t="s">
        <v>2419</v>
      </c>
      <c r="B554" s="11">
        <v>45551</v>
      </c>
      <c r="C554" s="10" t="s">
        <v>1862</v>
      </c>
      <c r="D554" s="10" t="s">
        <v>1783</v>
      </c>
      <c r="E554" s="12">
        <v>5220.07</v>
      </c>
      <c r="F554" s="10" t="s">
        <v>1875</v>
      </c>
    </row>
    <row r="555" spans="1:6" x14ac:dyDescent="0.25">
      <c r="A555" s="13" t="s">
        <v>2420</v>
      </c>
      <c r="B555" s="14">
        <v>45561</v>
      </c>
      <c r="C555" s="13" t="s">
        <v>1862</v>
      </c>
      <c r="D555" s="13" t="s">
        <v>1786</v>
      </c>
      <c r="E555" s="15">
        <v>7008.49</v>
      </c>
      <c r="F555" s="13" t="s">
        <v>1875</v>
      </c>
    </row>
    <row r="556" spans="1:6" x14ac:dyDescent="0.25">
      <c r="A556" s="10" t="s">
        <v>2421</v>
      </c>
      <c r="B556" s="11">
        <v>45546</v>
      </c>
      <c r="C556" s="10" t="s">
        <v>1862</v>
      </c>
      <c r="D556" s="10" t="s">
        <v>1789</v>
      </c>
      <c r="E556" s="12">
        <v>3347.92</v>
      </c>
      <c r="F556" s="10" t="s">
        <v>1776</v>
      </c>
    </row>
    <row r="557" spans="1:6" x14ac:dyDescent="0.25">
      <c r="A557" s="13" t="s">
        <v>2422</v>
      </c>
      <c r="B557" s="14">
        <v>45545</v>
      </c>
      <c r="C557" s="13" t="s">
        <v>1862</v>
      </c>
      <c r="D557" s="13" t="s">
        <v>1792</v>
      </c>
      <c r="E557" s="15">
        <v>6434.77</v>
      </c>
      <c r="F557" s="13" t="s">
        <v>1863</v>
      </c>
    </row>
    <row r="558" spans="1:6" x14ac:dyDescent="0.25">
      <c r="A558" s="10" t="s">
        <v>2423</v>
      </c>
      <c r="B558" s="11">
        <v>45559</v>
      </c>
      <c r="C558" s="10" t="s">
        <v>1862</v>
      </c>
      <c r="D558" s="10" t="s">
        <v>1795</v>
      </c>
      <c r="E558" s="12">
        <v>2459.08</v>
      </c>
      <c r="F558" s="10" t="s">
        <v>1871</v>
      </c>
    </row>
    <row r="559" spans="1:6" x14ac:dyDescent="0.25">
      <c r="A559" s="13" t="s">
        <v>2424</v>
      </c>
      <c r="B559" s="14">
        <v>45552</v>
      </c>
      <c r="C559" s="13" t="s">
        <v>1862</v>
      </c>
      <c r="D559" s="13" t="s">
        <v>1797</v>
      </c>
      <c r="E559" s="15">
        <v>2190.3000000000002</v>
      </c>
      <c r="F559" s="13" t="s">
        <v>1901</v>
      </c>
    </row>
    <row r="560" spans="1:6" x14ac:dyDescent="0.25">
      <c r="A560" s="10" t="s">
        <v>2425</v>
      </c>
      <c r="B560" s="11">
        <v>45550</v>
      </c>
      <c r="C560" s="10" t="s">
        <v>1877</v>
      </c>
      <c r="D560" s="10" t="s">
        <v>1775</v>
      </c>
      <c r="E560" s="12">
        <v>66281.53</v>
      </c>
      <c r="F560" s="10" t="s">
        <v>1875</v>
      </c>
    </row>
    <row r="561" spans="1:6" x14ac:dyDescent="0.25">
      <c r="A561" s="13" t="s">
        <v>2426</v>
      </c>
      <c r="B561" s="14">
        <v>45536</v>
      </c>
      <c r="C561" s="13" t="s">
        <v>1877</v>
      </c>
      <c r="D561" s="13" t="s">
        <v>1778</v>
      </c>
      <c r="E561" s="15">
        <v>12893.59</v>
      </c>
      <c r="F561" s="13" t="s">
        <v>1871</v>
      </c>
    </row>
    <row r="562" spans="1:6" x14ac:dyDescent="0.25">
      <c r="A562" s="10" t="s">
        <v>2427</v>
      </c>
      <c r="B562" s="11">
        <v>45536</v>
      </c>
      <c r="C562" s="10" t="s">
        <v>1877</v>
      </c>
      <c r="D562" s="10" t="s">
        <v>1780</v>
      </c>
      <c r="E562" s="12">
        <v>5064.76</v>
      </c>
      <c r="F562" s="10" t="s">
        <v>1871</v>
      </c>
    </row>
    <row r="563" spans="1:6" x14ac:dyDescent="0.25">
      <c r="A563" s="13" t="s">
        <v>2428</v>
      </c>
      <c r="B563" s="14">
        <v>45557</v>
      </c>
      <c r="C563" s="13" t="s">
        <v>1877</v>
      </c>
      <c r="D563" s="13" t="s">
        <v>1783</v>
      </c>
      <c r="E563" s="15">
        <v>9525.6200000000008</v>
      </c>
      <c r="F563" s="13" t="s">
        <v>1840</v>
      </c>
    </row>
    <row r="564" spans="1:6" x14ac:dyDescent="0.25">
      <c r="A564" s="10" t="s">
        <v>2429</v>
      </c>
      <c r="B564" s="11">
        <v>45553</v>
      </c>
      <c r="C564" s="10" t="s">
        <v>1877</v>
      </c>
      <c r="D564" s="10" t="s">
        <v>1786</v>
      </c>
      <c r="E564" s="12">
        <v>10580.8</v>
      </c>
      <c r="F564" s="10" t="s">
        <v>1784</v>
      </c>
    </row>
    <row r="565" spans="1:6" x14ac:dyDescent="0.25">
      <c r="A565" s="13" t="s">
        <v>2430</v>
      </c>
      <c r="B565" s="14">
        <v>45554</v>
      </c>
      <c r="C565" s="13" t="s">
        <v>1877</v>
      </c>
      <c r="D565" s="13" t="s">
        <v>1789</v>
      </c>
      <c r="E565" s="15">
        <v>6550.03</v>
      </c>
      <c r="F565" s="13" t="s">
        <v>1787</v>
      </c>
    </row>
    <row r="566" spans="1:6" x14ac:dyDescent="0.25">
      <c r="A566" s="10" t="s">
        <v>2431</v>
      </c>
      <c r="B566" s="11">
        <v>45559</v>
      </c>
      <c r="C566" s="10" t="s">
        <v>1877</v>
      </c>
      <c r="D566" s="10" t="s">
        <v>1792</v>
      </c>
      <c r="E566" s="12">
        <v>9641.08</v>
      </c>
      <c r="F566" s="10" t="s">
        <v>1906</v>
      </c>
    </row>
    <row r="567" spans="1:6" x14ac:dyDescent="0.25">
      <c r="A567" s="13" t="s">
        <v>2432</v>
      </c>
      <c r="B567" s="14">
        <v>45551</v>
      </c>
      <c r="C567" s="13" t="s">
        <v>1877</v>
      </c>
      <c r="D567" s="13" t="s">
        <v>1795</v>
      </c>
      <c r="E567" s="15">
        <v>3290.16</v>
      </c>
      <c r="F567" s="13" t="s">
        <v>1979</v>
      </c>
    </row>
    <row r="568" spans="1:6" x14ac:dyDescent="0.25">
      <c r="A568" s="10" t="s">
        <v>2433</v>
      </c>
      <c r="B568" s="11">
        <v>45557</v>
      </c>
      <c r="C568" s="10" t="s">
        <v>1877</v>
      </c>
      <c r="D568" s="10" t="s">
        <v>1797</v>
      </c>
      <c r="E568" s="12">
        <v>4019.88</v>
      </c>
      <c r="F568" s="10" t="s">
        <v>1776</v>
      </c>
    </row>
    <row r="569" spans="1:6" x14ac:dyDescent="0.25">
      <c r="A569" s="13" t="s">
        <v>2434</v>
      </c>
      <c r="B569" s="14">
        <v>45581</v>
      </c>
      <c r="C569" s="13" t="s">
        <v>1774</v>
      </c>
      <c r="D569" s="13" t="s">
        <v>1775</v>
      </c>
      <c r="E569" s="15">
        <v>108203.88</v>
      </c>
      <c r="F569" s="13" t="s">
        <v>1826</v>
      </c>
    </row>
    <row r="570" spans="1:6" x14ac:dyDescent="0.25">
      <c r="A570" s="10" t="s">
        <v>2435</v>
      </c>
      <c r="B570" s="11">
        <v>45567</v>
      </c>
      <c r="C570" s="10" t="s">
        <v>1774</v>
      </c>
      <c r="D570" s="10" t="s">
        <v>1778</v>
      </c>
      <c r="E570" s="12">
        <v>18386.21</v>
      </c>
      <c r="F570" s="10" t="s">
        <v>1784</v>
      </c>
    </row>
    <row r="571" spans="1:6" x14ac:dyDescent="0.25">
      <c r="A571" s="13" t="s">
        <v>2436</v>
      </c>
      <c r="B571" s="14">
        <v>45580</v>
      </c>
      <c r="C571" s="13" t="s">
        <v>1774</v>
      </c>
      <c r="D571" s="13" t="s">
        <v>1780</v>
      </c>
      <c r="E571" s="15">
        <v>8158.73</v>
      </c>
      <c r="F571" s="13" t="s">
        <v>1810</v>
      </c>
    </row>
    <row r="572" spans="1:6" x14ac:dyDescent="0.25">
      <c r="A572" s="10" t="s">
        <v>2437</v>
      </c>
      <c r="B572" s="11">
        <v>45578</v>
      </c>
      <c r="C572" s="10" t="s">
        <v>1774</v>
      </c>
      <c r="D572" s="10" t="s">
        <v>1783</v>
      </c>
      <c r="E572" s="12">
        <v>14291.91</v>
      </c>
      <c r="F572" s="10" t="s">
        <v>1970</v>
      </c>
    </row>
    <row r="573" spans="1:6" x14ac:dyDescent="0.25">
      <c r="A573" s="13" t="s">
        <v>2438</v>
      </c>
      <c r="B573" s="14">
        <v>45585</v>
      </c>
      <c r="C573" s="13" t="s">
        <v>1774</v>
      </c>
      <c r="D573" s="13" t="s">
        <v>1786</v>
      </c>
      <c r="E573" s="15">
        <v>14311.37</v>
      </c>
      <c r="F573" s="13" t="s">
        <v>1990</v>
      </c>
    </row>
    <row r="574" spans="1:6" x14ac:dyDescent="0.25">
      <c r="A574" s="10" t="s">
        <v>2439</v>
      </c>
      <c r="B574" s="11">
        <v>45584</v>
      </c>
      <c r="C574" s="10" t="s">
        <v>1774</v>
      </c>
      <c r="D574" s="10" t="s">
        <v>1789</v>
      </c>
      <c r="E574" s="12">
        <v>8615.52</v>
      </c>
      <c r="F574" s="10" t="s">
        <v>1850</v>
      </c>
    </row>
    <row r="575" spans="1:6" x14ac:dyDescent="0.25">
      <c r="A575" s="13" t="s">
        <v>2440</v>
      </c>
      <c r="B575" s="14">
        <v>45573</v>
      </c>
      <c r="C575" s="13" t="s">
        <v>1774</v>
      </c>
      <c r="D575" s="13" t="s">
        <v>1792</v>
      </c>
      <c r="E575" s="15">
        <v>15853.89</v>
      </c>
      <c r="F575" s="13" t="s">
        <v>1891</v>
      </c>
    </row>
    <row r="576" spans="1:6" x14ac:dyDescent="0.25">
      <c r="A576" s="10" t="s">
        <v>2441</v>
      </c>
      <c r="B576" s="11">
        <v>45569</v>
      </c>
      <c r="C576" s="10" t="s">
        <v>1774</v>
      </c>
      <c r="D576" s="10" t="s">
        <v>1795</v>
      </c>
      <c r="E576" s="12">
        <v>6134.49</v>
      </c>
      <c r="F576" s="10" t="s">
        <v>1802</v>
      </c>
    </row>
    <row r="577" spans="1:6" x14ac:dyDescent="0.25">
      <c r="A577" s="13" t="s">
        <v>2442</v>
      </c>
      <c r="B577" s="14">
        <v>45591</v>
      </c>
      <c r="C577" s="13" t="s">
        <v>1774</v>
      </c>
      <c r="D577" s="13" t="s">
        <v>1797</v>
      </c>
      <c r="E577" s="15">
        <v>6645.18</v>
      </c>
      <c r="F577" s="13" t="s">
        <v>1790</v>
      </c>
    </row>
    <row r="578" spans="1:6" x14ac:dyDescent="0.25">
      <c r="A578" s="10" t="s">
        <v>2443</v>
      </c>
      <c r="B578" s="11">
        <v>45572</v>
      </c>
      <c r="C578" s="10" t="s">
        <v>1799</v>
      </c>
      <c r="D578" s="10" t="s">
        <v>1775</v>
      </c>
      <c r="E578" s="12">
        <v>33971.29</v>
      </c>
      <c r="F578" s="10" t="s">
        <v>1808</v>
      </c>
    </row>
    <row r="579" spans="1:6" x14ac:dyDescent="0.25">
      <c r="A579" s="13" t="s">
        <v>2444</v>
      </c>
      <c r="B579" s="14">
        <v>45584</v>
      </c>
      <c r="C579" s="13" t="s">
        <v>1799</v>
      </c>
      <c r="D579" s="13" t="s">
        <v>1778</v>
      </c>
      <c r="E579" s="15">
        <v>6899.1</v>
      </c>
      <c r="F579" s="13" t="s">
        <v>1820</v>
      </c>
    </row>
    <row r="580" spans="1:6" x14ac:dyDescent="0.25">
      <c r="A580" s="10" t="s">
        <v>2445</v>
      </c>
      <c r="B580" s="11">
        <v>45589</v>
      </c>
      <c r="C580" s="10" t="s">
        <v>1799</v>
      </c>
      <c r="D580" s="10" t="s">
        <v>1780</v>
      </c>
      <c r="E580" s="12">
        <v>4318.3500000000004</v>
      </c>
      <c r="F580" s="10" t="s">
        <v>1781</v>
      </c>
    </row>
    <row r="581" spans="1:6" x14ac:dyDescent="0.25">
      <c r="A581" s="13" t="s">
        <v>2446</v>
      </c>
      <c r="B581" s="14">
        <v>45577</v>
      </c>
      <c r="C581" s="13" t="s">
        <v>1799</v>
      </c>
      <c r="D581" s="13" t="s">
        <v>1783</v>
      </c>
      <c r="E581" s="15">
        <v>5781.29</v>
      </c>
      <c r="F581" s="13" t="s">
        <v>2113</v>
      </c>
    </row>
    <row r="582" spans="1:6" x14ac:dyDescent="0.25">
      <c r="A582" s="10" t="s">
        <v>2447</v>
      </c>
      <c r="B582" s="11">
        <v>45580</v>
      </c>
      <c r="C582" s="10" t="s">
        <v>1799</v>
      </c>
      <c r="D582" s="10" t="s">
        <v>1786</v>
      </c>
      <c r="E582" s="12">
        <v>5783.79</v>
      </c>
      <c r="F582" s="10" t="s">
        <v>1800</v>
      </c>
    </row>
    <row r="583" spans="1:6" x14ac:dyDescent="0.25">
      <c r="A583" s="13" t="s">
        <v>2448</v>
      </c>
      <c r="B583" s="14">
        <v>45571</v>
      </c>
      <c r="C583" s="13" t="s">
        <v>1799</v>
      </c>
      <c r="D583" s="13" t="s">
        <v>1789</v>
      </c>
      <c r="E583" s="15">
        <v>4433.93</v>
      </c>
      <c r="F583" s="13" t="s">
        <v>2072</v>
      </c>
    </row>
    <row r="584" spans="1:6" x14ac:dyDescent="0.25">
      <c r="A584" s="10" t="s">
        <v>2449</v>
      </c>
      <c r="B584" s="11">
        <v>45590</v>
      </c>
      <c r="C584" s="10" t="s">
        <v>1799</v>
      </c>
      <c r="D584" s="10" t="s">
        <v>1792</v>
      </c>
      <c r="E584" s="12">
        <v>6491.47</v>
      </c>
      <c r="F584" s="10" t="s">
        <v>2074</v>
      </c>
    </row>
    <row r="585" spans="1:6" x14ac:dyDescent="0.25">
      <c r="A585" s="13" t="s">
        <v>2450</v>
      </c>
      <c r="B585" s="14">
        <v>45589</v>
      </c>
      <c r="C585" s="13" t="s">
        <v>1799</v>
      </c>
      <c r="D585" s="13" t="s">
        <v>1795</v>
      </c>
      <c r="E585" s="15">
        <v>2324.09</v>
      </c>
      <c r="F585" s="13" t="s">
        <v>1939</v>
      </c>
    </row>
    <row r="586" spans="1:6" x14ac:dyDescent="0.25">
      <c r="A586" s="10" t="s">
        <v>2451</v>
      </c>
      <c r="B586" s="11">
        <v>45590</v>
      </c>
      <c r="C586" s="10" t="s">
        <v>1799</v>
      </c>
      <c r="D586" s="10" t="s">
        <v>1797</v>
      </c>
      <c r="E586" s="12">
        <v>2598.96</v>
      </c>
      <c r="F586" s="10" t="s">
        <v>1826</v>
      </c>
    </row>
    <row r="587" spans="1:6" x14ac:dyDescent="0.25">
      <c r="A587" s="13" t="s">
        <v>2452</v>
      </c>
      <c r="B587" s="14">
        <v>45592</v>
      </c>
      <c r="C587" s="13" t="s">
        <v>1818</v>
      </c>
      <c r="D587" s="13" t="s">
        <v>1775</v>
      </c>
      <c r="E587" s="15">
        <v>34243.279999999999</v>
      </c>
      <c r="F587" s="13" t="s">
        <v>1901</v>
      </c>
    </row>
    <row r="588" spans="1:6" x14ac:dyDescent="0.25">
      <c r="A588" s="10" t="s">
        <v>2453</v>
      </c>
      <c r="B588" s="11">
        <v>45566</v>
      </c>
      <c r="C588" s="10" t="s">
        <v>1818</v>
      </c>
      <c r="D588" s="10" t="s">
        <v>1778</v>
      </c>
      <c r="E588" s="12">
        <v>7267.3</v>
      </c>
      <c r="F588" s="10" t="s">
        <v>1917</v>
      </c>
    </row>
    <row r="589" spans="1:6" x14ac:dyDescent="0.25">
      <c r="A589" s="13" t="s">
        <v>2454</v>
      </c>
      <c r="B589" s="14">
        <v>45587</v>
      </c>
      <c r="C589" s="13" t="s">
        <v>1818</v>
      </c>
      <c r="D589" s="13" t="s">
        <v>1780</v>
      </c>
      <c r="E589" s="15">
        <v>2982.37</v>
      </c>
      <c r="F589" s="13" t="s">
        <v>1960</v>
      </c>
    </row>
    <row r="590" spans="1:6" x14ac:dyDescent="0.25">
      <c r="A590" s="10" t="s">
        <v>2455</v>
      </c>
      <c r="B590" s="11">
        <v>45570</v>
      </c>
      <c r="C590" s="10" t="s">
        <v>1818</v>
      </c>
      <c r="D590" s="10" t="s">
        <v>1783</v>
      </c>
      <c r="E590" s="12">
        <v>5662.13</v>
      </c>
      <c r="F590" s="10" t="s">
        <v>2128</v>
      </c>
    </row>
    <row r="591" spans="1:6" x14ac:dyDescent="0.25">
      <c r="A591" s="13" t="s">
        <v>2456</v>
      </c>
      <c r="B591" s="14">
        <v>45589</v>
      </c>
      <c r="C591" s="13" t="s">
        <v>1818</v>
      </c>
      <c r="D591" s="13" t="s">
        <v>1786</v>
      </c>
      <c r="E591" s="15">
        <v>4900.82</v>
      </c>
      <c r="F591" s="13" t="s">
        <v>1824</v>
      </c>
    </row>
    <row r="592" spans="1:6" x14ac:dyDescent="0.25">
      <c r="A592" s="10" t="s">
        <v>2457</v>
      </c>
      <c r="B592" s="11">
        <v>45568</v>
      </c>
      <c r="C592" s="10" t="s">
        <v>1818</v>
      </c>
      <c r="D592" s="10" t="s">
        <v>1789</v>
      </c>
      <c r="E592" s="12">
        <v>3228.65</v>
      </c>
      <c r="F592" s="10" t="s">
        <v>1776</v>
      </c>
    </row>
    <row r="593" spans="1:6" x14ac:dyDescent="0.25">
      <c r="A593" s="13" t="s">
        <v>2458</v>
      </c>
      <c r="B593" s="14">
        <v>45583</v>
      </c>
      <c r="C593" s="13" t="s">
        <v>1818</v>
      </c>
      <c r="D593" s="13" t="s">
        <v>1792</v>
      </c>
      <c r="E593" s="15">
        <v>4807.3100000000004</v>
      </c>
      <c r="F593" s="13" t="s">
        <v>1979</v>
      </c>
    </row>
    <row r="594" spans="1:6" x14ac:dyDescent="0.25">
      <c r="A594" s="10" t="s">
        <v>2459</v>
      </c>
      <c r="B594" s="11">
        <v>45584</v>
      </c>
      <c r="C594" s="10" t="s">
        <v>1818</v>
      </c>
      <c r="D594" s="10" t="s">
        <v>1795</v>
      </c>
      <c r="E594" s="12">
        <v>1918.69</v>
      </c>
      <c r="F594" s="10" t="s">
        <v>1830</v>
      </c>
    </row>
    <row r="595" spans="1:6" x14ac:dyDescent="0.25">
      <c r="A595" s="13" t="s">
        <v>2460</v>
      </c>
      <c r="B595" s="14">
        <v>45586</v>
      </c>
      <c r="C595" s="13" t="s">
        <v>1818</v>
      </c>
      <c r="D595" s="13" t="s">
        <v>1797</v>
      </c>
      <c r="E595" s="15">
        <v>1822.94</v>
      </c>
      <c r="F595" s="13" t="s">
        <v>1904</v>
      </c>
    </row>
    <row r="596" spans="1:6" x14ac:dyDescent="0.25">
      <c r="A596" s="10" t="s">
        <v>2461</v>
      </c>
      <c r="B596" s="11">
        <v>45584</v>
      </c>
      <c r="C596" s="10" t="s">
        <v>1786</v>
      </c>
      <c r="D596" s="10" t="s">
        <v>1775</v>
      </c>
      <c r="E596" s="12">
        <v>71851.47</v>
      </c>
      <c r="F596" s="10" t="s">
        <v>1806</v>
      </c>
    </row>
    <row r="597" spans="1:6" x14ac:dyDescent="0.25">
      <c r="A597" s="13" t="s">
        <v>2462</v>
      </c>
      <c r="B597" s="14">
        <v>45592</v>
      </c>
      <c r="C597" s="13" t="s">
        <v>1786</v>
      </c>
      <c r="D597" s="13" t="s">
        <v>1778</v>
      </c>
      <c r="E597" s="15">
        <v>15140.98</v>
      </c>
      <c r="F597" s="13" t="s">
        <v>1810</v>
      </c>
    </row>
    <row r="598" spans="1:6" x14ac:dyDescent="0.25">
      <c r="A598" s="10" t="s">
        <v>2463</v>
      </c>
      <c r="B598" s="11">
        <v>45589</v>
      </c>
      <c r="C598" s="10" t="s">
        <v>1786</v>
      </c>
      <c r="D598" s="10" t="s">
        <v>1780</v>
      </c>
      <c r="E598" s="12">
        <v>5662.78</v>
      </c>
      <c r="F598" s="10" t="s">
        <v>1886</v>
      </c>
    </row>
    <row r="599" spans="1:6" x14ac:dyDescent="0.25">
      <c r="A599" s="13" t="s">
        <v>2464</v>
      </c>
      <c r="B599" s="14">
        <v>45582</v>
      </c>
      <c r="C599" s="13" t="s">
        <v>1786</v>
      </c>
      <c r="D599" s="13" t="s">
        <v>1783</v>
      </c>
      <c r="E599" s="15">
        <v>11196.97</v>
      </c>
      <c r="F599" s="13" t="s">
        <v>2040</v>
      </c>
    </row>
    <row r="600" spans="1:6" x14ac:dyDescent="0.25">
      <c r="A600" s="10" t="s">
        <v>2465</v>
      </c>
      <c r="B600" s="11">
        <v>45580</v>
      </c>
      <c r="C600" s="10" t="s">
        <v>1786</v>
      </c>
      <c r="D600" s="10" t="s">
        <v>1786</v>
      </c>
      <c r="E600" s="12">
        <v>10643.22</v>
      </c>
      <c r="F600" s="10" t="s">
        <v>1833</v>
      </c>
    </row>
    <row r="601" spans="1:6" x14ac:dyDescent="0.25">
      <c r="A601" s="13" t="s">
        <v>2466</v>
      </c>
      <c r="B601" s="14">
        <v>45575</v>
      </c>
      <c r="C601" s="13" t="s">
        <v>1786</v>
      </c>
      <c r="D601" s="13" t="s">
        <v>1789</v>
      </c>
      <c r="E601" s="15">
        <v>6652.06</v>
      </c>
      <c r="F601" s="13" t="s">
        <v>1977</v>
      </c>
    </row>
    <row r="602" spans="1:6" x14ac:dyDescent="0.25">
      <c r="A602" s="10" t="s">
        <v>2467</v>
      </c>
      <c r="B602" s="11">
        <v>45584</v>
      </c>
      <c r="C602" s="10" t="s">
        <v>1786</v>
      </c>
      <c r="D602" s="10" t="s">
        <v>1792</v>
      </c>
      <c r="E602" s="12">
        <v>12217</v>
      </c>
      <c r="F602" s="10" t="s">
        <v>1840</v>
      </c>
    </row>
    <row r="603" spans="1:6" x14ac:dyDescent="0.25">
      <c r="A603" s="13" t="s">
        <v>2468</v>
      </c>
      <c r="B603" s="14">
        <v>45582</v>
      </c>
      <c r="C603" s="13" t="s">
        <v>1786</v>
      </c>
      <c r="D603" s="13" t="s">
        <v>1795</v>
      </c>
      <c r="E603" s="15">
        <v>4123.8999999999996</v>
      </c>
      <c r="F603" s="13" t="s">
        <v>1787</v>
      </c>
    </row>
    <row r="604" spans="1:6" x14ac:dyDescent="0.25">
      <c r="A604" s="10" t="s">
        <v>2469</v>
      </c>
      <c r="B604" s="11">
        <v>45577</v>
      </c>
      <c r="C604" s="10" t="s">
        <v>1786</v>
      </c>
      <c r="D604" s="10" t="s">
        <v>1797</v>
      </c>
      <c r="E604" s="12">
        <v>3657.86</v>
      </c>
      <c r="F604" s="10" t="s">
        <v>2040</v>
      </c>
    </row>
    <row r="605" spans="1:6" x14ac:dyDescent="0.25">
      <c r="A605" s="13" t="s">
        <v>2470</v>
      </c>
      <c r="B605" s="14">
        <v>45582</v>
      </c>
      <c r="C605" s="13" t="s">
        <v>1792</v>
      </c>
      <c r="D605" s="13" t="s">
        <v>1775</v>
      </c>
      <c r="E605" s="15">
        <v>95226.31</v>
      </c>
      <c r="F605" s="13" t="s">
        <v>1985</v>
      </c>
    </row>
    <row r="606" spans="1:6" x14ac:dyDescent="0.25">
      <c r="A606" s="10" t="s">
        <v>2471</v>
      </c>
      <c r="B606" s="11">
        <v>45577</v>
      </c>
      <c r="C606" s="10" t="s">
        <v>1792</v>
      </c>
      <c r="D606" s="10" t="s">
        <v>1778</v>
      </c>
      <c r="E606" s="12">
        <v>17892.89</v>
      </c>
      <c r="F606" s="10" t="s">
        <v>2078</v>
      </c>
    </row>
    <row r="607" spans="1:6" x14ac:dyDescent="0.25">
      <c r="A607" s="13" t="s">
        <v>2472</v>
      </c>
      <c r="B607" s="14">
        <v>45581</v>
      </c>
      <c r="C607" s="13" t="s">
        <v>1792</v>
      </c>
      <c r="D607" s="13" t="s">
        <v>1780</v>
      </c>
      <c r="E607" s="15">
        <v>8987.49</v>
      </c>
      <c r="F607" s="13" t="s">
        <v>2024</v>
      </c>
    </row>
    <row r="608" spans="1:6" x14ac:dyDescent="0.25">
      <c r="A608" s="10" t="s">
        <v>2473</v>
      </c>
      <c r="B608" s="11">
        <v>45578</v>
      </c>
      <c r="C608" s="10" t="s">
        <v>1792</v>
      </c>
      <c r="D608" s="10" t="s">
        <v>1783</v>
      </c>
      <c r="E608" s="12">
        <v>15139.57</v>
      </c>
      <c r="F608" s="10" t="s">
        <v>1904</v>
      </c>
    </row>
    <row r="609" spans="1:6" x14ac:dyDescent="0.25">
      <c r="A609" s="13" t="s">
        <v>2474</v>
      </c>
      <c r="B609" s="14">
        <v>45577</v>
      </c>
      <c r="C609" s="13" t="s">
        <v>1792</v>
      </c>
      <c r="D609" s="13" t="s">
        <v>1786</v>
      </c>
      <c r="E609" s="15">
        <v>11047.66</v>
      </c>
      <c r="F609" s="13" t="s">
        <v>1790</v>
      </c>
    </row>
    <row r="610" spans="1:6" x14ac:dyDescent="0.25">
      <c r="A610" s="10" t="s">
        <v>2475</v>
      </c>
      <c r="B610" s="11">
        <v>45577</v>
      </c>
      <c r="C610" s="10" t="s">
        <v>1792</v>
      </c>
      <c r="D610" s="10" t="s">
        <v>1789</v>
      </c>
      <c r="E610" s="12">
        <v>8402.16</v>
      </c>
      <c r="F610" s="10" t="s">
        <v>1806</v>
      </c>
    </row>
    <row r="611" spans="1:6" x14ac:dyDescent="0.25">
      <c r="A611" s="13" t="s">
        <v>2476</v>
      </c>
      <c r="B611" s="14">
        <v>45572</v>
      </c>
      <c r="C611" s="13" t="s">
        <v>1792</v>
      </c>
      <c r="D611" s="13" t="s">
        <v>1792</v>
      </c>
      <c r="E611" s="15">
        <v>11843.69</v>
      </c>
      <c r="F611" s="13" t="s">
        <v>1828</v>
      </c>
    </row>
    <row r="612" spans="1:6" x14ac:dyDescent="0.25">
      <c r="A612" s="10" t="s">
        <v>2477</v>
      </c>
      <c r="B612" s="11">
        <v>45574</v>
      </c>
      <c r="C612" s="10" t="s">
        <v>1792</v>
      </c>
      <c r="D612" s="10" t="s">
        <v>1795</v>
      </c>
      <c r="E612" s="12">
        <v>5282.29</v>
      </c>
      <c r="F612" s="10" t="s">
        <v>1888</v>
      </c>
    </row>
    <row r="613" spans="1:6" x14ac:dyDescent="0.25">
      <c r="A613" s="13" t="s">
        <v>2478</v>
      </c>
      <c r="B613" s="14">
        <v>45576</v>
      </c>
      <c r="C613" s="13" t="s">
        <v>1792</v>
      </c>
      <c r="D613" s="13" t="s">
        <v>1797</v>
      </c>
      <c r="E613" s="15">
        <v>5518.25</v>
      </c>
      <c r="F613" s="13" t="s">
        <v>1776</v>
      </c>
    </row>
    <row r="614" spans="1:6" x14ac:dyDescent="0.25">
      <c r="A614" s="10" t="s">
        <v>2479</v>
      </c>
      <c r="B614" s="11">
        <v>45578</v>
      </c>
      <c r="C614" s="10" t="s">
        <v>1862</v>
      </c>
      <c r="D614" s="10" t="s">
        <v>1775</v>
      </c>
      <c r="E614" s="12">
        <v>32327.03</v>
      </c>
      <c r="F614" s="10" t="s">
        <v>1886</v>
      </c>
    </row>
    <row r="615" spans="1:6" x14ac:dyDescent="0.25">
      <c r="A615" s="13" t="s">
        <v>2480</v>
      </c>
      <c r="B615" s="14">
        <v>45566</v>
      </c>
      <c r="C615" s="13" t="s">
        <v>1862</v>
      </c>
      <c r="D615" s="13" t="s">
        <v>1778</v>
      </c>
      <c r="E615" s="15">
        <v>6567.87</v>
      </c>
      <c r="F615" s="13" t="s">
        <v>1850</v>
      </c>
    </row>
    <row r="616" spans="1:6" x14ac:dyDescent="0.25">
      <c r="A616" s="10" t="s">
        <v>2481</v>
      </c>
      <c r="B616" s="11">
        <v>45590</v>
      </c>
      <c r="C616" s="10" t="s">
        <v>1862</v>
      </c>
      <c r="D616" s="10" t="s">
        <v>1780</v>
      </c>
      <c r="E616" s="12">
        <v>3834.9</v>
      </c>
      <c r="F616" s="10" t="s">
        <v>1850</v>
      </c>
    </row>
    <row r="617" spans="1:6" x14ac:dyDescent="0.25">
      <c r="A617" s="13" t="s">
        <v>2482</v>
      </c>
      <c r="B617" s="14">
        <v>45567</v>
      </c>
      <c r="C617" s="13" t="s">
        <v>1862</v>
      </c>
      <c r="D617" s="13" t="s">
        <v>1783</v>
      </c>
      <c r="E617" s="15">
        <v>5492.08</v>
      </c>
      <c r="F617" s="13" t="s">
        <v>1800</v>
      </c>
    </row>
    <row r="618" spans="1:6" x14ac:dyDescent="0.25">
      <c r="A618" s="10" t="s">
        <v>2483</v>
      </c>
      <c r="B618" s="11">
        <v>45584</v>
      </c>
      <c r="C618" s="10" t="s">
        <v>1862</v>
      </c>
      <c r="D618" s="10" t="s">
        <v>1786</v>
      </c>
      <c r="E618" s="12">
        <v>6223.55</v>
      </c>
      <c r="F618" s="10" t="s">
        <v>1826</v>
      </c>
    </row>
    <row r="619" spans="1:6" x14ac:dyDescent="0.25">
      <c r="A619" s="13" t="s">
        <v>2484</v>
      </c>
      <c r="B619" s="14">
        <v>45590</v>
      </c>
      <c r="C619" s="13" t="s">
        <v>1862</v>
      </c>
      <c r="D619" s="13" t="s">
        <v>1789</v>
      </c>
      <c r="E619" s="15">
        <v>3936.87</v>
      </c>
      <c r="F619" s="13" t="s">
        <v>1830</v>
      </c>
    </row>
    <row r="620" spans="1:6" x14ac:dyDescent="0.25">
      <c r="A620" s="10" t="s">
        <v>2485</v>
      </c>
      <c r="B620" s="11">
        <v>45587</v>
      </c>
      <c r="C620" s="10" t="s">
        <v>1862</v>
      </c>
      <c r="D620" s="10" t="s">
        <v>1792</v>
      </c>
      <c r="E620" s="12">
        <v>5594</v>
      </c>
      <c r="F620" s="10" t="s">
        <v>1882</v>
      </c>
    </row>
    <row r="621" spans="1:6" x14ac:dyDescent="0.25">
      <c r="A621" s="13" t="s">
        <v>2486</v>
      </c>
      <c r="B621" s="14">
        <v>45573</v>
      </c>
      <c r="C621" s="13" t="s">
        <v>1862</v>
      </c>
      <c r="D621" s="13" t="s">
        <v>1795</v>
      </c>
      <c r="E621" s="15">
        <v>2044.55</v>
      </c>
      <c r="F621" s="13" t="s">
        <v>1901</v>
      </c>
    </row>
    <row r="622" spans="1:6" x14ac:dyDescent="0.25">
      <c r="A622" s="10" t="s">
        <v>2487</v>
      </c>
      <c r="B622" s="11">
        <v>45567</v>
      </c>
      <c r="C622" s="10" t="s">
        <v>1862</v>
      </c>
      <c r="D622" s="10" t="s">
        <v>1797</v>
      </c>
      <c r="E622" s="12">
        <v>2577.2199999999998</v>
      </c>
      <c r="F622" s="10" t="s">
        <v>1946</v>
      </c>
    </row>
    <row r="623" spans="1:6" x14ac:dyDescent="0.25">
      <c r="A623" s="13" t="s">
        <v>2488</v>
      </c>
      <c r="B623" s="14">
        <v>45589</v>
      </c>
      <c r="C623" s="13" t="s">
        <v>1877</v>
      </c>
      <c r="D623" s="13" t="s">
        <v>1775</v>
      </c>
      <c r="E623" s="15">
        <v>60877.120000000003</v>
      </c>
      <c r="F623" s="13" t="s">
        <v>1968</v>
      </c>
    </row>
    <row r="624" spans="1:6" x14ac:dyDescent="0.25">
      <c r="A624" s="10" t="s">
        <v>2489</v>
      </c>
      <c r="B624" s="11">
        <v>45590</v>
      </c>
      <c r="C624" s="10" t="s">
        <v>1877</v>
      </c>
      <c r="D624" s="10" t="s">
        <v>1778</v>
      </c>
      <c r="E624" s="12">
        <v>10130.01</v>
      </c>
      <c r="F624" s="10" t="s">
        <v>1859</v>
      </c>
    </row>
    <row r="625" spans="1:6" x14ac:dyDescent="0.25">
      <c r="A625" s="13" t="s">
        <v>2490</v>
      </c>
      <c r="B625" s="14">
        <v>45586</v>
      </c>
      <c r="C625" s="13" t="s">
        <v>1877</v>
      </c>
      <c r="D625" s="13" t="s">
        <v>1780</v>
      </c>
      <c r="E625" s="15">
        <v>6368.79</v>
      </c>
      <c r="F625" s="13" t="s">
        <v>2411</v>
      </c>
    </row>
    <row r="626" spans="1:6" x14ac:dyDescent="0.25">
      <c r="A626" s="10" t="s">
        <v>2491</v>
      </c>
      <c r="B626" s="11">
        <v>45590</v>
      </c>
      <c r="C626" s="10" t="s">
        <v>1877</v>
      </c>
      <c r="D626" s="10" t="s">
        <v>1783</v>
      </c>
      <c r="E626" s="12">
        <v>7733.47</v>
      </c>
      <c r="F626" s="10" t="s">
        <v>2024</v>
      </c>
    </row>
    <row r="627" spans="1:6" x14ac:dyDescent="0.25">
      <c r="A627" s="13" t="s">
        <v>2492</v>
      </c>
      <c r="B627" s="14">
        <v>45584</v>
      </c>
      <c r="C627" s="13" t="s">
        <v>1877</v>
      </c>
      <c r="D627" s="13" t="s">
        <v>1786</v>
      </c>
      <c r="E627" s="15">
        <v>9659.11</v>
      </c>
      <c r="F627" s="13" t="s">
        <v>1790</v>
      </c>
    </row>
    <row r="628" spans="1:6" x14ac:dyDescent="0.25">
      <c r="A628" s="10" t="s">
        <v>2493</v>
      </c>
      <c r="B628" s="11">
        <v>45592</v>
      </c>
      <c r="C628" s="10" t="s">
        <v>1877</v>
      </c>
      <c r="D628" s="10" t="s">
        <v>1789</v>
      </c>
      <c r="E628" s="12">
        <v>4867.3999999999996</v>
      </c>
      <c r="F628" s="10" t="s">
        <v>1968</v>
      </c>
    </row>
    <row r="629" spans="1:6" x14ac:dyDescent="0.25">
      <c r="A629" s="13" t="s">
        <v>2494</v>
      </c>
      <c r="B629" s="14">
        <v>45588</v>
      </c>
      <c r="C629" s="13" t="s">
        <v>1877</v>
      </c>
      <c r="D629" s="13" t="s">
        <v>1792</v>
      </c>
      <c r="E629" s="15">
        <v>8555.7099999999991</v>
      </c>
      <c r="F629" s="13" t="s">
        <v>1898</v>
      </c>
    </row>
    <row r="630" spans="1:6" x14ac:dyDescent="0.25">
      <c r="A630" s="10" t="s">
        <v>2495</v>
      </c>
      <c r="B630" s="11">
        <v>45591</v>
      </c>
      <c r="C630" s="10" t="s">
        <v>1877</v>
      </c>
      <c r="D630" s="10" t="s">
        <v>1795</v>
      </c>
      <c r="E630" s="12">
        <v>3563</v>
      </c>
      <c r="F630" s="10" t="s">
        <v>1852</v>
      </c>
    </row>
    <row r="631" spans="1:6" x14ac:dyDescent="0.25">
      <c r="A631" s="13" t="s">
        <v>2496</v>
      </c>
      <c r="B631" s="14">
        <v>45567</v>
      </c>
      <c r="C631" s="13" t="s">
        <v>1877</v>
      </c>
      <c r="D631" s="13" t="s">
        <v>1797</v>
      </c>
      <c r="E631" s="15">
        <v>3697.29</v>
      </c>
      <c r="F631" s="13" t="s">
        <v>2159</v>
      </c>
    </row>
    <row r="632" spans="1:6" x14ac:dyDescent="0.25">
      <c r="A632" s="10" t="s">
        <v>2497</v>
      </c>
      <c r="B632" s="11">
        <v>45611</v>
      </c>
      <c r="C632" s="10" t="s">
        <v>1774</v>
      </c>
      <c r="D632" s="10" t="s">
        <v>1775</v>
      </c>
      <c r="E632" s="12">
        <v>112151.99</v>
      </c>
      <c r="F632" s="10" t="s">
        <v>1990</v>
      </c>
    </row>
    <row r="633" spans="1:6" x14ac:dyDescent="0.25">
      <c r="A633" s="13" t="s">
        <v>2498</v>
      </c>
      <c r="B633" s="14">
        <v>45609</v>
      </c>
      <c r="C633" s="13" t="s">
        <v>1774</v>
      </c>
      <c r="D633" s="13" t="s">
        <v>1778</v>
      </c>
      <c r="E633" s="15">
        <v>17616.37</v>
      </c>
      <c r="F633" s="13" t="s">
        <v>1810</v>
      </c>
    </row>
    <row r="634" spans="1:6" x14ac:dyDescent="0.25">
      <c r="A634" s="10" t="s">
        <v>2499</v>
      </c>
      <c r="B634" s="11">
        <v>45616</v>
      </c>
      <c r="C634" s="10" t="s">
        <v>1774</v>
      </c>
      <c r="D634" s="10" t="s">
        <v>1780</v>
      </c>
      <c r="E634" s="12">
        <v>9001.69</v>
      </c>
      <c r="F634" s="10" t="s">
        <v>1800</v>
      </c>
    </row>
    <row r="635" spans="1:6" x14ac:dyDescent="0.25">
      <c r="A635" s="13" t="s">
        <v>2500</v>
      </c>
      <c r="B635" s="14">
        <v>45614</v>
      </c>
      <c r="C635" s="13" t="s">
        <v>1774</v>
      </c>
      <c r="D635" s="13" t="s">
        <v>1783</v>
      </c>
      <c r="E635" s="15">
        <v>12913.32</v>
      </c>
      <c r="F635" s="13" t="s">
        <v>1844</v>
      </c>
    </row>
    <row r="636" spans="1:6" x14ac:dyDescent="0.25">
      <c r="A636" s="10" t="s">
        <v>2501</v>
      </c>
      <c r="B636" s="11">
        <v>45606</v>
      </c>
      <c r="C636" s="10" t="s">
        <v>1774</v>
      </c>
      <c r="D636" s="10" t="s">
        <v>1786</v>
      </c>
      <c r="E636" s="12">
        <v>14229.37</v>
      </c>
      <c r="F636" s="10" t="s">
        <v>2074</v>
      </c>
    </row>
    <row r="637" spans="1:6" x14ac:dyDescent="0.25">
      <c r="A637" s="13" t="s">
        <v>2502</v>
      </c>
      <c r="B637" s="14">
        <v>45609</v>
      </c>
      <c r="C637" s="13" t="s">
        <v>1774</v>
      </c>
      <c r="D637" s="13" t="s">
        <v>1789</v>
      </c>
      <c r="E637" s="15">
        <v>10302.370000000001</v>
      </c>
      <c r="F637" s="13" t="s">
        <v>1977</v>
      </c>
    </row>
    <row r="638" spans="1:6" x14ac:dyDescent="0.25">
      <c r="A638" s="10" t="s">
        <v>2503</v>
      </c>
      <c r="B638" s="11">
        <v>45609</v>
      </c>
      <c r="C638" s="10" t="s">
        <v>1774</v>
      </c>
      <c r="D638" s="10" t="s">
        <v>1792</v>
      </c>
      <c r="E638" s="12">
        <v>15541.15</v>
      </c>
      <c r="F638" s="10" t="s">
        <v>1784</v>
      </c>
    </row>
    <row r="639" spans="1:6" x14ac:dyDescent="0.25">
      <c r="A639" s="13" t="s">
        <v>2504</v>
      </c>
      <c r="B639" s="14">
        <v>45615</v>
      </c>
      <c r="C639" s="13" t="s">
        <v>1774</v>
      </c>
      <c r="D639" s="13" t="s">
        <v>1795</v>
      </c>
      <c r="E639" s="15">
        <v>4932.2700000000004</v>
      </c>
      <c r="F639" s="13" t="s">
        <v>2078</v>
      </c>
    </row>
    <row r="640" spans="1:6" x14ac:dyDescent="0.25">
      <c r="A640" s="10" t="s">
        <v>2505</v>
      </c>
      <c r="B640" s="11">
        <v>45618</v>
      </c>
      <c r="C640" s="10" t="s">
        <v>1774</v>
      </c>
      <c r="D640" s="10" t="s">
        <v>1797</v>
      </c>
      <c r="E640" s="12">
        <v>5512.96</v>
      </c>
      <c r="F640" s="10" t="s">
        <v>1977</v>
      </c>
    </row>
    <row r="641" spans="1:6" x14ac:dyDescent="0.25">
      <c r="A641" s="13" t="s">
        <v>2506</v>
      </c>
      <c r="B641" s="14">
        <v>45601</v>
      </c>
      <c r="C641" s="13" t="s">
        <v>1799</v>
      </c>
      <c r="D641" s="13" t="s">
        <v>1775</v>
      </c>
      <c r="E641" s="15">
        <v>42347.01</v>
      </c>
      <c r="F641" s="13" t="s">
        <v>2162</v>
      </c>
    </row>
    <row r="642" spans="1:6" x14ac:dyDescent="0.25">
      <c r="A642" s="10" t="s">
        <v>2507</v>
      </c>
      <c r="B642" s="11">
        <v>45620</v>
      </c>
      <c r="C642" s="10" t="s">
        <v>1799</v>
      </c>
      <c r="D642" s="10" t="s">
        <v>1778</v>
      </c>
      <c r="E642" s="12">
        <v>9577.24</v>
      </c>
      <c r="F642" s="10" t="s">
        <v>1812</v>
      </c>
    </row>
    <row r="643" spans="1:6" x14ac:dyDescent="0.25">
      <c r="A643" s="13" t="s">
        <v>2508</v>
      </c>
      <c r="B643" s="14">
        <v>45615</v>
      </c>
      <c r="C643" s="13" t="s">
        <v>1799</v>
      </c>
      <c r="D643" s="13" t="s">
        <v>1780</v>
      </c>
      <c r="E643" s="15">
        <v>3901.61</v>
      </c>
      <c r="F643" s="13" t="s">
        <v>1856</v>
      </c>
    </row>
    <row r="644" spans="1:6" x14ac:dyDescent="0.25">
      <c r="A644" s="10" t="s">
        <v>2509</v>
      </c>
      <c r="B644" s="11">
        <v>45607</v>
      </c>
      <c r="C644" s="10" t="s">
        <v>1799</v>
      </c>
      <c r="D644" s="10" t="s">
        <v>1783</v>
      </c>
      <c r="E644" s="12">
        <v>7630.4</v>
      </c>
      <c r="F644" s="10" t="s">
        <v>1927</v>
      </c>
    </row>
    <row r="645" spans="1:6" x14ac:dyDescent="0.25">
      <c r="A645" s="13" t="s">
        <v>2510</v>
      </c>
      <c r="B645" s="14">
        <v>45606</v>
      </c>
      <c r="C645" s="13" t="s">
        <v>1799</v>
      </c>
      <c r="D645" s="13" t="s">
        <v>1786</v>
      </c>
      <c r="E645" s="15">
        <v>7653.15</v>
      </c>
      <c r="F645" s="13" t="s">
        <v>1924</v>
      </c>
    </row>
    <row r="646" spans="1:6" x14ac:dyDescent="0.25">
      <c r="A646" s="10" t="s">
        <v>2511</v>
      </c>
      <c r="B646" s="11">
        <v>45622</v>
      </c>
      <c r="C646" s="10" t="s">
        <v>1799</v>
      </c>
      <c r="D646" s="10" t="s">
        <v>1789</v>
      </c>
      <c r="E646" s="12">
        <v>4286.09</v>
      </c>
      <c r="F646" s="10" t="s">
        <v>2186</v>
      </c>
    </row>
    <row r="647" spans="1:6" x14ac:dyDescent="0.25">
      <c r="A647" s="13" t="s">
        <v>2512</v>
      </c>
      <c r="B647" s="14">
        <v>45601</v>
      </c>
      <c r="C647" s="13" t="s">
        <v>1799</v>
      </c>
      <c r="D647" s="13" t="s">
        <v>1792</v>
      </c>
      <c r="E647" s="15">
        <v>6597.83</v>
      </c>
      <c r="F647" s="13" t="s">
        <v>1844</v>
      </c>
    </row>
    <row r="648" spans="1:6" x14ac:dyDescent="0.25">
      <c r="A648" s="10" t="s">
        <v>2513</v>
      </c>
      <c r="B648" s="11">
        <v>45601</v>
      </c>
      <c r="C648" s="10" t="s">
        <v>1799</v>
      </c>
      <c r="D648" s="10" t="s">
        <v>1795</v>
      </c>
      <c r="E648" s="12">
        <v>2896.55</v>
      </c>
      <c r="F648" s="10" t="s">
        <v>2078</v>
      </c>
    </row>
    <row r="649" spans="1:6" x14ac:dyDescent="0.25">
      <c r="A649" s="13" t="s">
        <v>2514</v>
      </c>
      <c r="B649" s="14">
        <v>45608</v>
      </c>
      <c r="C649" s="13" t="s">
        <v>1799</v>
      </c>
      <c r="D649" s="13" t="s">
        <v>1797</v>
      </c>
      <c r="E649" s="15">
        <v>2387.09</v>
      </c>
      <c r="F649" s="13" t="s">
        <v>2113</v>
      </c>
    </row>
    <row r="650" spans="1:6" x14ac:dyDescent="0.25">
      <c r="A650" s="10" t="s">
        <v>2515</v>
      </c>
      <c r="B650" s="11">
        <v>45618</v>
      </c>
      <c r="C650" s="10" t="s">
        <v>1818</v>
      </c>
      <c r="D650" s="10" t="s">
        <v>1775</v>
      </c>
      <c r="E650" s="12">
        <v>39190.68</v>
      </c>
      <c r="F650" s="10" t="s">
        <v>1884</v>
      </c>
    </row>
    <row r="651" spans="1:6" x14ac:dyDescent="0.25">
      <c r="A651" s="13" t="s">
        <v>2516</v>
      </c>
      <c r="B651" s="14">
        <v>45611</v>
      </c>
      <c r="C651" s="13" t="s">
        <v>1818</v>
      </c>
      <c r="D651" s="13" t="s">
        <v>1778</v>
      </c>
      <c r="E651" s="15">
        <v>7799.58</v>
      </c>
      <c r="F651" s="13" t="s">
        <v>1793</v>
      </c>
    </row>
    <row r="652" spans="1:6" x14ac:dyDescent="0.25">
      <c r="A652" s="10" t="s">
        <v>2517</v>
      </c>
      <c r="B652" s="11">
        <v>45605</v>
      </c>
      <c r="C652" s="10" t="s">
        <v>1818</v>
      </c>
      <c r="D652" s="10" t="s">
        <v>1780</v>
      </c>
      <c r="E652" s="12">
        <v>3955.18</v>
      </c>
      <c r="F652" s="10" t="s">
        <v>1781</v>
      </c>
    </row>
    <row r="653" spans="1:6" x14ac:dyDescent="0.25">
      <c r="A653" s="13" t="s">
        <v>2518</v>
      </c>
      <c r="B653" s="14">
        <v>45615</v>
      </c>
      <c r="C653" s="13" t="s">
        <v>1818</v>
      </c>
      <c r="D653" s="13" t="s">
        <v>1783</v>
      </c>
      <c r="E653" s="15">
        <v>5779.52</v>
      </c>
      <c r="F653" s="13" t="s">
        <v>1875</v>
      </c>
    </row>
    <row r="654" spans="1:6" x14ac:dyDescent="0.25">
      <c r="A654" s="10" t="s">
        <v>2519</v>
      </c>
      <c r="B654" s="11">
        <v>45622</v>
      </c>
      <c r="C654" s="10" t="s">
        <v>1818</v>
      </c>
      <c r="D654" s="10" t="s">
        <v>1786</v>
      </c>
      <c r="E654" s="12">
        <v>6099.23</v>
      </c>
      <c r="F654" s="10" t="s">
        <v>1787</v>
      </c>
    </row>
    <row r="655" spans="1:6" x14ac:dyDescent="0.25">
      <c r="A655" s="13" t="s">
        <v>2520</v>
      </c>
      <c r="B655" s="14">
        <v>45599</v>
      </c>
      <c r="C655" s="13" t="s">
        <v>1818</v>
      </c>
      <c r="D655" s="13" t="s">
        <v>1789</v>
      </c>
      <c r="E655" s="15">
        <v>3851.33</v>
      </c>
      <c r="F655" s="13" t="s">
        <v>1924</v>
      </c>
    </row>
    <row r="656" spans="1:6" x14ac:dyDescent="0.25">
      <c r="A656" s="10" t="s">
        <v>2521</v>
      </c>
      <c r="B656" s="11">
        <v>45616</v>
      </c>
      <c r="C656" s="10" t="s">
        <v>1818</v>
      </c>
      <c r="D656" s="10" t="s">
        <v>1792</v>
      </c>
      <c r="E656" s="12">
        <v>4858.88</v>
      </c>
      <c r="F656" s="10" t="s">
        <v>1871</v>
      </c>
    </row>
    <row r="657" spans="1:6" x14ac:dyDescent="0.25">
      <c r="A657" s="13" t="s">
        <v>2522</v>
      </c>
      <c r="B657" s="14">
        <v>45602</v>
      </c>
      <c r="C657" s="13" t="s">
        <v>1818</v>
      </c>
      <c r="D657" s="13" t="s">
        <v>1795</v>
      </c>
      <c r="E657" s="15">
        <v>1688.73</v>
      </c>
      <c r="F657" s="13" t="s">
        <v>1790</v>
      </c>
    </row>
    <row r="658" spans="1:6" x14ac:dyDescent="0.25">
      <c r="A658" s="10" t="s">
        <v>2523</v>
      </c>
      <c r="B658" s="11">
        <v>45598</v>
      </c>
      <c r="C658" s="10" t="s">
        <v>1818</v>
      </c>
      <c r="D658" s="10" t="s">
        <v>1797</v>
      </c>
      <c r="E658" s="12">
        <v>1904.25</v>
      </c>
      <c r="F658" s="10" t="s">
        <v>1854</v>
      </c>
    </row>
    <row r="659" spans="1:6" x14ac:dyDescent="0.25">
      <c r="A659" s="13" t="s">
        <v>2524</v>
      </c>
      <c r="B659" s="14">
        <v>45618</v>
      </c>
      <c r="C659" s="13" t="s">
        <v>1786</v>
      </c>
      <c r="D659" s="13" t="s">
        <v>1775</v>
      </c>
      <c r="E659" s="15">
        <v>55970.34</v>
      </c>
      <c r="F659" s="13" t="s">
        <v>2005</v>
      </c>
    </row>
    <row r="660" spans="1:6" x14ac:dyDescent="0.25">
      <c r="A660" s="10" t="s">
        <v>2525</v>
      </c>
      <c r="B660" s="11">
        <v>45598</v>
      </c>
      <c r="C660" s="10" t="s">
        <v>1786</v>
      </c>
      <c r="D660" s="10" t="s">
        <v>1778</v>
      </c>
      <c r="E660" s="12">
        <v>13830.05</v>
      </c>
      <c r="F660" s="10" t="s">
        <v>1812</v>
      </c>
    </row>
    <row r="661" spans="1:6" x14ac:dyDescent="0.25">
      <c r="A661" s="13" t="s">
        <v>2526</v>
      </c>
      <c r="B661" s="14">
        <v>45617</v>
      </c>
      <c r="C661" s="13" t="s">
        <v>1786</v>
      </c>
      <c r="D661" s="13" t="s">
        <v>1780</v>
      </c>
      <c r="E661" s="15">
        <v>5942.04</v>
      </c>
      <c r="F661" s="13" t="s">
        <v>2062</v>
      </c>
    </row>
    <row r="662" spans="1:6" x14ac:dyDescent="0.25">
      <c r="A662" s="10" t="s">
        <v>2527</v>
      </c>
      <c r="B662" s="11">
        <v>45599</v>
      </c>
      <c r="C662" s="10" t="s">
        <v>1786</v>
      </c>
      <c r="D662" s="10" t="s">
        <v>1783</v>
      </c>
      <c r="E662" s="12">
        <v>9507.6299999999992</v>
      </c>
      <c r="F662" s="10" t="s">
        <v>1856</v>
      </c>
    </row>
    <row r="663" spans="1:6" x14ac:dyDescent="0.25">
      <c r="A663" s="13" t="s">
        <v>2528</v>
      </c>
      <c r="B663" s="14">
        <v>45616</v>
      </c>
      <c r="C663" s="13" t="s">
        <v>1786</v>
      </c>
      <c r="D663" s="13" t="s">
        <v>1786</v>
      </c>
      <c r="E663" s="15">
        <v>9327.8700000000008</v>
      </c>
      <c r="F663" s="13" t="s">
        <v>1958</v>
      </c>
    </row>
    <row r="664" spans="1:6" x14ac:dyDescent="0.25">
      <c r="A664" s="10" t="s">
        <v>2529</v>
      </c>
      <c r="B664" s="11">
        <v>45602</v>
      </c>
      <c r="C664" s="10" t="s">
        <v>1786</v>
      </c>
      <c r="D664" s="10" t="s">
        <v>1789</v>
      </c>
      <c r="E664" s="12">
        <v>7070.05</v>
      </c>
      <c r="F664" s="10" t="s">
        <v>2042</v>
      </c>
    </row>
    <row r="665" spans="1:6" x14ac:dyDescent="0.25">
      <c r="A665" s="13" t="s">
        <v>2530</v>
      </c>
      <c r="B665" s="14">
        <v>45600</v>
      </c>
      <c r="C665" s="13" t="s">
        <v>1786</v>
      </c>
      <c r="D665" s="13" t="s">
        <v>1792</v>
      </c>
      <c r="E665" s="15">
        <v>10966.47</v>
      </c>
      <c r="F665" s="13" t="s">
        <v>2040</v>
      </c>
    </row>
    <row r="666" spans="1:6" x14ac:dyDescent="0.25">
      <c r="A666" s="10" t="s">
        <v>2531</v>
      </c>
      <c r="B666" s="11">
        <v>45597</v>
      </c>
      <c r="C666" s="10" t="s">
        <v>1786</v>
      </c>
      <c r="D666" s="10" t="s">
        <v>1795</v>
      </c>
      <c r="E666" s="12">
        <v>4592.2299999999996</v>
      </c>
      <c r="F666" s="10" t="s">
        <v>1822</v>
      </c>
    </row>
    <row r="667" spans="1:6" x14ac:dyDescent="0.25">
      <c r="A667" s="13" t="s">
        <v>2532</v>
      </c>
      <c r="B667" s="14">
        <v>45609</v>
      </c>
      <c r="C667" s="13" t="s">
        <v>1786</v>
      </c>
      <c r="D667" s="13" t="s">
        <v>1797</v>
      </c>
      <c r="E667" s="15">
        <v>3668.56</v>
      </c>
      <c r="F667" s="13" t="s">
        <v>1784</v>
      </c>
    </row>
    <row r="668" spans="1:6" x14ac:dyDescent="0.25">
      <c r="A668" s="10" t="s">
        <v>2533</v>
      </c>
      <c r="B668" s="11">
        <v>45615</v>
      </c>
      <c r="C668" s="10" t="s">
        <v>1792</v>
      </c>
      <c r="D668" s="10" t="s">
        <v>1775</v>
      </c>
      <c r="E668" s="12">
        <v>86801.42</v>
      </c>
      <c r="F668" s="10" t="s">
        <v>1856</v>
      </c>
    </row>
    <row r="669" spans="1:6" x14ac:dyDescent="0.25">
      <c r="A669" s="13" t="s">
        <v>2534</v>
      </c>
      <c r="B669" s="14">
        <v>45597</v>
      </c>
      <c r="C669" s="13" t="s">
        <v>1792</v>
      </c>
      <c r="D669" s="13" t="s">
        <v>1778</v>
      </c>
      <c r="E669" s="15">
        <v>18730.169999999998</v>
      </c>
      <c r="F669" s="13" t="s">
        <v>1793</v>
      </c>
    </row>
    <row r="670" spans="1:6" x14ac:dyDescent="0.25">
      <c r="A670" s="10" t="s">
        <v>2535</v>
      </c>
      <c r="B670" s="11">
        <v>45618</v>
      </c>
      <c r="C670" s="10" t="s">
        <v>1792</v>
      </c>
      <c r="D670" s="10" t="s">
        <v>1780</v>
      </c>
      <c r="E670" s="12">
        <v>9219.91</v>
      </c>
      <c r="F670" s="10" t="s">
        <v>1904</v>
      </c>
    </row>
    <row r="671" spans="1:6" x14ac:dyDescent="0.25">
      <c r="A671" s="13" t="s">
        <v>2536</v>
      </c>
      <c r="B671" s="14">
        <v>45608</v>
      </c>
      <c r="C671" s="13" t="s">
        <v>1792</v>
      </c>
      <c r="D671" s="13" t="s">
        <v>1783</v>
      </c>
      <c r="E671" s="15">
        <v>12489.98</v>
      </c>
      <c r="F671" s="13" t="s">
        <v>2040</v>
      </c>
    </row>
    <row r="672" spans="1:6" x14ac:dyDescent="0.25">
      <c r="A672" s="10" t="s">
        <v>2537</v>
      </c>
      <c r="B672" s="11">
        <v>45605</v>
      </c>
      <c r="C672" s="10" t="s">
        <v>1792</v>
      </c>
      <c r="D672" s="10" t="s">
        <v>1786</v>
      </c>
      <c r="E672" s="12">
        <v>11281.66</v>
      </c>
      <c r="F672" s="10" t="s">
        <v>1990</v>
      </c>
    </row>
    <row r="673" spans="1:6" x14ac:dyDescent="0.25">
      <c r="A673" s="13" t="s">
        <v>2538</v>
      </c>
      <c r="B673" s="14">
        <v>45604</v>
      </c>
      <c r="C673" s="13" t="s">
        <v>1792</v>
      </c>
      <c r="D673" s="13" t="s">
        <v>1789</v>
      </c>
      <c r="E673" s="15">
        <v>7160.85</v>
      </c>
      <c r="F673" s="13" t="s">
        <v>2040</v>
      </c>
    </row>
    <row r="674" spans="1:6" x14ac:dyDescent="0.25">
      <c r="A674" s="10" t="s">
        <v>2539</v>
      </c>
      <c r="B674" s="11">
        <v>45621</v>
      </c>
      <c r="C674" s="10" t="s">
        <v>1792</v>
      </c>
      <c r="D674" s="10" t="s">
        <v>1792</v>
      </c>
      <c r="E674" s="12">
        <v>14057.83</v>
      </c>
      <c r="F674" s="10" t="s">
        <v>1800</v>
      </c>
    </row>
    <row r="675" spans="1:6" x14ac:dyDescent="0.25">
      <c r="A675" s="13" t="s">
        <v>2540</v>
      </c>
      <c r="B675" s="14">
        <v>45600</v>
      </c>
      <c r="C675" s="13" t="s">
        <v>1792</v>
      </c>
      <c r="D675" s="13" t="s">
        <v>1795</v>
      </c>
      <c r="E675" s="15">
        <v>4329.99</v>
      </c>
      <c r="F675" s="13" t="s">
        <v>1804</v>
      </c>
    </row>
    <row r="676" spans="1:6" x14ac:dyDescent="0.25">
      <c r="A676" s="10" t="s">
        <v>2541</v>
      </c>
      <c r="B676" s="11">
        <v>45612</v>
      </c>
      <c r="C676" s="10" t="s">
        <v>1792</v>
      </c>
      <c r="D676" s="10" t="s">
        <v>1797</v>
      </c>
      <c r="E676" s="12">
        <v>4950.6099999999997</v>
      </c>
      <c r="F676" s="10" t="s">
        <v>1826</v>
      </c>
    </row>
    <row r="677" spans="1:6" x14ac:dyDescent="0.25">
      <c r="A677" s="13" t="s">
        <v>2542</v>
      </c>
      <c r="B677" s="14">
        <v>45607</v>
      </c>
      <c r="C677" s="13" t="s">
        <v>1862</v>
      </c>
      <c r="D677" s="13" t="s">
        <v>1775</v>
      </c>
      <c r="E677" s="15">
        <v>33051.71</v>
      </c>
      <c r="F677" s="13" t="s">
        <v>1968</v>
      </c>
    </row>
    <row r="678" spans="1:6" x14ac:dyDescent="0.25">
      <c r="A678" s="10" t="s">
        <v>2543</v>
      </c>
      <c r="B678" s="11">
        <v>45602</v>
      </c>
      <c r="C678" s="10" t="s">
        <v>1862</v>
      </c>
      <c r="D678" s="10" t="s">
        <v>1778</v>
      </c>
      <c r="E678" s="12">
        <v>8146.77</v>
      </c>
      <c r="F678" s="10" t="s">
        <v>1863</v>
      </c>
    </row>
    <row r="679" spans="1:6" x14ac:dyDescent="0.25">
      <c r="A679" s="13" t="s">
        <v>2544</v>
      </c>
      <c r="B679" s="14">
        <v>45616</v>
      </c>
      <c r="C679" s="13" t="s">
        <v>1862</v>
      </c>
      <c r="D679" s="13" t="s">
        <v>1780</v>
      </c>
      <c r="E679" s="15">
        <v>3916.81</v>
      </c>
      <c r="F679" s="13" t="s">
        <v>1988</v>
      </c>
    </row>
    <row r="680" spans="1:6" x14ac:dyDescent="0.25">
      <c r="A680" s="10" t="s">
        <v>2545</v>
      </c>
      <c r="B680" s="11">
        <v>45615</v>
      </c>
      <c r="C680" s="10" t="s">
        <v>1862</v>
      </c>
      <c r="D680" s="10" t="s">
        <v>1783</v>
      </c>
      <c r="E680" s="12">
        <v>6837.02</v>
      </c>
      <c r="F680" s="10" t="s">
        <v>1838</v>
      </c>
    </row>
    <row r="681" spans="1:6" x14ac:dyDescent="0.25">
      <c r="A681" s="13" t="s">
        <v>2546</v>
      </c>
      <c r="B681" s="14">
        <v>45610</v>
      </c>
      <c r="C681" s="13" t="s">
        <v>1862</v>
      </c>
      <c r="D681" s="13" t="s">
        <v>1786</v>
      </c>
      <c r="E681" s="15">
        <v>6968.84</v>
      </c>
      <c r="F681" s="13" t="s">
        <v>1820</v>
      </c>
    </row>
    <row r="682" spans="1:6" x14ac:dyDescent="0.25">
      <c r="A682" s="10" t="s">
        <v>2547</v>
      </c>
      <c r="B682" s="11">
        <v>45607</v>
      </c>
      <c r="C682" s="10" t="s">
        <v>1862</v>
      </c>
      <c r="D682" s="10" t="s">
        <v>1789</v>
      </c>
      <c r="E682" s="12">
        <v>4445.26</v>
      </c>
      <c r="F682" s="10" t="s">
        <v>1871</v>
      </c>
    </row>
    <row r="683" spans="1:6" x14ac:dyDescent="0.25">
      <c r="A683" s="13" t="s">
        <v>2548</v>
      </c>
      <c r="B683" s="14">
        <v>45600</v>
      </c>
      <c r="C683" s="13" t="s">
        <v>1862</v>
      </c>
      <c r="D683" s="13" t="s">
        <v>1792</v>
      </c>
      <c r="E683" s="15">
        <v>5983.81</v>
      </c>
      <c r="F683" s="13" t="s">
        <v>1838</v>
      </c>
    </row>
    <row r="684" spans="1:6" x14ac:dyDescent="0.25">
      <c r="A684" s="10" t="s">
        <v>2549</v>
      </c>
      <c r="B684" s="11">
        <v>45607</v>
      </c>
      <c r="C684" s="10" t="s">
        <v>1862</v>
      </c>
      <c r="D684" s="10" t="s">
        <v>1795</v>
      </c>
      <c r="E684" s="12">
        <v>2687.15</v>
      </c>
      <c r="F684" s="10" t="s">
        <v>1939</v>
      </c>
    </row>
    <row r="685" spans="1:6" x14ac:dyDescent="0.25">
      <c r="A685" s="13" t="s">
        <v>2550</v>
      </c>
      <c r="B685" s="14">
        <v>45617</v>
      </c>
      <c r="C685" s="13" t="s">
        <v>1862</v>
      </c>
      <c r="D685" s="13" t="s">
        <v>1797</v>
      </c>
      <c r="E685" s="15">
        <v>2554.15</v>
      </c>
      <c r="F685" s="13" t="s">
        <v>1985</v>
      </c>
    </row>
    <row r="686" spans="1:6" x14ac:dyDescent="0.25">
      <c r="A686" s="10" t="s">
        <v>2551</v>
      </c>
      <c r="B686" s="11">
        <v>45614</v>
      </c>
      <c r="C686" s="10" t="s">
        <v>1877</v>
      </c>
      <c r="D686" s="10" t="s">
        <v>1775</v>
      </c>
      <c r="E686" s="12">
        <v>68881.06</v>
      </c>
      <c r="F686" s="10" t="s">
        <v>1990</v>
      </c>
    </row>
    <row r="687" spans="1:6" x14ac:dyDescent="0.25">
      <c r="A687" s="13" t="s">
        <v>2552</v>
      </c>
      <c r="B687" s="14">
        <v>45609</v>
      </c>
      <c r="C687" s="13" t="s">
        <v>1877</v>
      </c>
      <c r="D687" s="13" t="s">
        <v>1778</v>
      </c>
      <c r="E687" s="15">
        <v>12584.33</v>
      </c>
      <c r="F687" s="13" t="s">
        <v>1865</v>
      </c>
    </row>
    <row r="688" spans="1:6" x14ac:dyDescent="0.25">
      <c r="A688" s="10" t="s">
        <v>2553</v>
      </c>
      <c r="B688" s="11">
        <v>45619</v>
      </c>
      <c r="C688" s="10" t="s">
        <v>1877</v>
      </c>
      <c r="D688" s="10" t="s">
        <v>1780</v>
      </c>
      <c r="E688" s="12">
        <v>6067.84</v>
      </c>
      <c r="F688" s="10" t="s">
        <v>1990</v>
      </c>
    </row>
    <row r="689" spans="1:6" x14ac:dyDescent="0.25">
      <c r="A689" s="13" t="s">
        <v>2554</v>
      </c>
      <c r="B689" s="14">
        <v>45606</v>
      </c>
      <c r="C689" s="13" t="s">
        <v>1877</v>
      </c>
      <c r="D689" s="13" t="s">
        <v>1783</v>
      </c>
      <c r="E689" s="15">
        <v>8110.69</v>
      </c>
      <c r="F689" s="13" t="s">
        <v>2113</v>
      </c>
    </row>
    <row r="690" spans="1:6" x14ac:dyDescent="0.25">
      <c r="A690" s="10" t="s">
        <v>2555</v>
      </c>
      <c r="B690" s="11">
        <v>45600</v>
      </c>
      <c r="C690" s="10" t="s">
        <v>1877</v>
      </c>
      <c r="D690" s="10" t="s">
        <v>1786</v>
      </c>
      <c r="E690" s="12">
        <v>7979.26</v>
      </c>
      <c r="F690" s="10" t="s">
        <v>1806</v>
      </c>
    </row>
    <row r="691" spans="1:6" x14ac:dyDescent="0.25">
      <c r="A691" s="13" t="s">
        <v>2556</v>
      </c>
      <c r="B691" s="14">
        <v>45610</v>
      </c>
      <c r="C691" s="13" t="s">
        <v>1877</v>
      </c>
      <c r="D691" s="13" t="s">
        <v>1789</v>
      </c>
      <c r="E691" s="15">
        <v>5157.6499999999996</v>
      </c>
      <c r="F691" s="13" t="s">
        <v>1830</v>
      </c>
    </row>
    <row r="692" spans="1:6" x14ac:dyDescent="0.25">
      <c r="A692" s="10" t="s">
        <v>2557</v>
      </c>
      <c r="B692" s="11">
        <v>45614</v>
      </c>
      <c r="C692" s="10" t="s">
        <v>1877</v>
      </c>
      <c r="D692" s="10" t="s">
        <v>1792</v>
      </c>
      <c r="E692" s="12">
        <v>8583.68</v>
      </c>
      <c r="F692" s="10" t="s">
        <v>1820</v>
      </c>
    </row>
    <row r="693" spans="1:6" x14ac:dyDescent="0.25">
      <c r="A693" s="13" t="s">
        <v>2558</v>
      </c>
      <c r="B693" s="14">
        <v>45598</v>
      </c>
      <c r="C693" s="13" t="s">
        <v>1877</v>
      </c>
      <c r="D693" s="13" t="s">
        <v>1795</v>
      </c>
      <c r="E693" s="15">
        <v>3638.32</v>
      </c>
      <c r="F693" s="13" t="s">
        <v>1838</v>
      </c>
    </row>
    <row r="694" spans="1:6" x14ac:dyDescent="0.25">
      <c r="A694" s="10" t="s">
        <v>2559</v>
      </c>
      <c r="B694" s="11">
        <v>45607</v>
      </c>
      <c r="C694" s="10" t="s">
        <v>1877</v>
      </c>
      <c r="D694" s="10" t="s">
        <v>1797</v>
      </c>
      <c r="E694" s="12">
        <v>3277.63</v>
      </c>
      <c r="F694" s="10" t="s">
        <v>1810</v>
      </c>
    </row>
    <row r="695" spans="1:6" x14ac:dyDescent="0.25">
      <c r="A695" s="13" t="s">
        <v>2560</v>
      </c>
      <c r="B695" s="14">
        <v>45627</v>
      </c>
      <c r="C695" s="13" t="s">
        <v>1774</v>
      </c>
      <c r="D695" s="13" t="s">
        <v>1775</v>
      </c>
      <c r="E695" s="15">
        <v>109648.77</v>
      </c>
      <c r="F695" s="13" t="s">
        <v>1800</v>
      </c>
    </row>
    <row r="696" spans="1:6" x14ac:dyDescent="0.25">
      <c r="A696" s="10" t="s">
        <v>2561</v>
      </c>
      <c r="B696" s="11">
        <v>45632</v>
      </c>
      <c r="C696" s="10" t="s">
        <v>1774</v>
      </c>
      <c r="D696" s="10" t="s">
        <v>1778</v>
      </c>
      <c r="E696" s="12">
        <v>20276.72</v>
      </c>
      <c r="F696" s="10" t="s">
        <v>1804</v>
      </c>
    </row>
    <row r="697" spans="1:6" x14ac:dyDescent="0.25">
      <c r="A697" s="13" t="s">
        <v>2562</v>
      </c>
      <c r="B697" s="14">
        <v>45631</v>
      </c>
      <c r="C697" s="13" t="s">
        <v>1774</v>
      </c>
      <c r="D697" s="13" t="s">
        <v>1780</v>
      </c>
      <c r="E697" s="15">
        <v>11196.24</v>
      </c>
      <c r="F697" s="13" t="s">
        <v>1886</v>
      </c>
    </row>
    <row r="698" spans="1:6" x14ac:dyDescent="0.25">
      <c r="A698" s="10" t="s">
        <v>2563</v>
      </c>
      <c r="B698" s="11">
        <v>45642</v>
      </c>
      <c r="C698" s="10" t="s">
        <v>1774</v>
      </c>
      <c r="D698" s="10" t="s">
        <v>1783</v>
      </c>
      <c r="E698" s="12">
        <v>18637.03</v>
      </c>
      <c r="F698" s="10" t="s">
        <v>1828</v>
      </c>
    </row>
    <row r="699" spans="1:6" x14ac:dyDescent="0.25">
      <c r="A699" s="13" t="s">
        <v>2564</v>
      </c>
      <c r="B699" s="14">
        <v>45629</v>
      </c>
      <c r="C699" s="13" t="s">
        <v>1774</v>
      </c>
      <c r="D699" s="13" t="s">
        <v>1786</v>
      </c>
      <c r="E699" s="15">
        <v>16976.259999999998</v>
      </c>
      <c r="F699" s="13" t="s">
        <v>1844</v>
      </c>
    </row>
    <row r="700" spans="1:6" x14ac:dyDescent="0.25">
      <c r="A700" s="10" t="s">
        <v>2565</v>
      </c>
      <c r="B700" s="11">
        <v>45642</v>
      </c>
      <c r="C700" s="10" t="s">
        <v>1774</v>
      </c>
      <c r="D700" s="10" t="s">
        <v>1789</v>
      </c>
      <c r="E700" s="12">
        <v>8187.61</v>
      </c>
      <c r="F700" s="10" t="s">
        <v>1901</v>
      </c>
    </row>
    <row r="701" spans="1:6" x14ac:dyDescent="0.25">
      <c r="A701" s="13" t="s">
        <v>2566</v>
      </c>
      <c r="B701" s="14">
        <v>45631</v>
      </c>
      <c r="C701" s="13" t="s">
        <v>1774</v>
      </c>
      <c r="D701" s="13" t="s">
        <v>1792</v>
      </c>
      <c r="E701" s="15">
        <v>17476.38</v>
      </c>
      <c r="F701" s="13" t="s">
        <v>1800</v>
      </c>
    </row>
    <row r="702" spans="1:6" x14ac:dyDescent="0.25">
      <c r="A702" s="10" t="s">
        <v>2567</v>
      </c>
      <c r="B702" s="11">
        <v>45642</v>
      </c>
      <c r="C702" s="10" t="s">
        <v>1774</v>
      </c>
      <c r="D702" s="10" t="s">
        <v>1795</v>
      </c>
      <c r="E702" s="12">
        <v>5620.92</v>
      </c>
      <c r="F702" s="10" t="s">
        <v>1867</v>
      </c>
    </row>
    <row r="703" spans="1:6" x14ac:dyDescent="0.25">
      <c r="A703" s="13" t="s">
        <v>2568</v>
      </c>
      <c r="B703" s="14">
        <v>45642</v>
      </c>
      <c r="C703" s="13" t="s">
        <v>1774</v>
      </c>
      <c r="D703" s="13" t="s">
        <v>1797</v>
      </c>
      <c r="E703" s="15">
        <v>5328.47</v>
      </c>
      <c r="F703" s="13" t="s">
        <v>1776</v>
      </c>
    </row>
    <row r="704" spans="1:6" x14ac:dyDescent="0.25">
      <c r="A704" s="10" t="s">
        <v>2569</v>
      </c>
      <c r="B704" s="11">
        <v>45629</v>
      </c>
      <c r="C704" s="10" t="s">
        <v>1799</v>
      </c>
      <c r="D704" s="10" t="s">
        <v>1775</v>
      </c>
      <c r="E704" s="12">
        <v>49635.61</v>
      </c>
      <c r="F704" s="10" t="s">
        <v>1822</v>
      </c>
    </row>
    <row r="705" spans="1:6" x14ac:dyDescent="0.25">
      <c r="A705" s="13" t="s">
        <v>2570</v>
      </c>
      <c r="B705" s="14">
        <v>45648</v>
      </c>
      <c r="C705" s="13" t="s">
        <v>1799</v>
      </c>
      <c r="D705" s="13" t="s">
        <v>1778</v>
      </c>
      <c r="E705" s="15">
        <v>7765.07</v>
      </c>
      <c r="F705" s="13" t="s">
        <v>1830</v>
      </c>
    </row>
    <row r="706" spans="1:6" x14ac:dyDescent="0.25">
      <c r="A706" s="10" t="s">
        <v>2571</v>
      </c>
      <c r="B706" s="11">
        <v>45651</v>
      </c>
      <c r="C706" s="10" t="s">
        <v>1799</v>
      </c>
      <c r="D706" s="10" t="s">
        <v>1780</v>
      </c>
      <c r="E706" s="12">
        <v>4101.12</v>
      </c>
      <c r="F706" s="10" t="s">
        <v>2128</v>
      </c>
    </row>
    <row r="707" spans="1:6" x14ac:dyDescent="0.25">
      <c r="A707" s="13" t="s">
        <v>2572</v>
      </c>
      <c r="B707" s="14">
        <v>45650</v>
      </c>
      <c r="C707" s="13" t="s">
        <v>1799</v>
      </c>
      <c r="D707" s="13" t="s">
        <v>1783</v>
      </c>
      <c r="E707" s="15">
        <v>7977.91</v>
      </c>
      <c r="F707" s="13" t="s">
        <v>1886</v>
      </c>
    </row>
    <row r="708" spans="1:6" x14ac:dyDescent="0.25">
      <c r="A708" s="10" t="s">
        <v>2573</v>
      </c>
      <c r="B708" s="11">
        <v>45645</v>
      </c>
      <c r="C708" s="10" t="s">
        <v>1799</v>
      </c>
      <c r="D708" s="10" t="s">
        <v>1786</v>
      </c>
      <c r="E708" s="12">
        <v>7064.44</v>
      </c>
      <c r="F708" s="10" t="s">
        <v>1958</v>
      </c>
    </row>
    <row r="709" spans="1:6" x14ac:dyDescent="0.25">
      <c r="A709" s="13" t="s">
        <v>2574</v>
      </c>
      <c r="B709" s="14">
        <v>45648</v>
      </c>
      <c r="C709" s="13" t="s">
        <v>1799</v>
      </c>
      <c r="D709" s="13" t="s">
        <v>1789</v>
      </c>
      <c r="E709" s="15">
        <v>4374.47</v>
      </c>
      <c r="F709" s="13" t="s">
        <v>1833</v>
      </c>
    </row>
    <row r="710" spans="1:6" x14ac:dyDescent="0.25">
      <c r="A710" s="10" t="s">
        <v>2575</v>
      </c>
      <c r="B710" s="11">
        <v>45646</v>
      </c>
      <c r="C710" s="10" t="s">
        <v>1799</v>
      </c>
      <c r="D710" s="10" t="s">
        <v>1792</v>
      </c>
      <c r="E710" s="12">
        <v>5611.49</v>
      </c>
      <c r="F710" s="10" t="s">
        <v>2113</v>
      </c>
    </row>
    <row r="711" spans="1:6" x14ac:dyDescent="0.25">
      <c r="A711" s="13" t="s">
        <v>2576</v>
      </c>
      <c r="B711" s="14">
        <v>45628</v>
      </c>
      <c r="C711" s="13" t="s">
        <v>1799</v>
      </c>
      <c r="D711" s="13" t="s">
        <v>1795</v>
      </c>
      <c r="E711" s="15">
        <v>2499.85</v>
      </c>
      <c r="F711" s="13" t="s">
        <v>1859</v>
      </c>
    </row>
    <row r="712" spans="1:6" x14ac:dyDescent="0.25">
      <c r="A712" s="10" t="s">
        <v>2577</v>
      </c>
      <c r="B712" s="11">
        <v>45632</v>
      </c>
      <c r="C712" s="10" t="s">
        <v>1799</v>
      </c>
      <c r="D712" s="10" t="s">
        <v>1797</v>
      </c>
      <c r="E712" s="12">
        <v>2180.4</v>
      </c>
      <c r="F712" s="10" t="s">
        <v>2186</v>
      </c>
    </row>
    <row r="713" spans="1:6" x14ac:dyDescent="0.25">
      <c r="A713" s="13" t="s">
        <v>2578</v>
      </c>
      <c r="B713" s="14">
        <v>45627</v>
      </c>
      <c r="C713" s="13" t="s">
        <v>1818</v>
      </c>
      <c r="D713" s="13" t="s">
        <v>1775</v>
      </c>
      <c r="E713" s="15">
        <v>31397.07</v>
      </c>
      <c r="F713" s="13" t="s">
        <v>1960</v>
      </c>
    </row>
    <row r="714" spans="1:6" x14ac:dyDescent="0.25">
      <c r="A714" s="10" t="s">
        <v>2579</v>
      </c>
      <c r="B714" s="11">
        <v>45650</v>
      </c>
      <c r="C714" s="10" t="s">
        <v>1818</v>
      </c>
      <c r="D714" s="10" t="s">
        <v>1778</v>
      </c>
      <c r="E714" s="12">
        <v>7997.78</v>
      </c>
      <c r="F714" s="10" t="s">
        <v>1840</v>
      </c>
    </row>
    <row r="715" spans="1:6" x14ac:dyDescent="0.25">
      <c r="A715" s="13" t="s">
        <v>2580</v>
      </c>
      <c r="B715" s="14">
        <v>45647</v>
      </c>
      <c r="C715" s="13" t="s">
        <v>1818</v>
      </c>
      <c r="D715" s="13" t="s">
        <v>1780</v>
      </c>
      <c r="E715" s="15">
        <v>4115.45</v>
      </c>
      <c r="F715" s="13" t="s">
        <v>1985</v>
      </c>
    </row>
    <row r="716" spans="1:6" x14ac:dyDescent="0.25">
      <c r="A716" s="10" t="s">
        <v>2581</v>
      </c>
      <c r="B716" s="11">
        <v>45633</v>
      </c>
      <c r="C716" s="10" t="s">
        <v>1818</v>
      </c>
      <c r="D716" s="10" t="s">
        <v>1783</v>
      </c>
      <c r="E716" s="12">
        <v>6141.66</v>
      </c>
      <c r="F716" s="10" t="s">
        <v>1884</v>
      </c>
    </row>
    <row r="717" spans="1:6" x14ac:dyDescent="0.25">
      <c r="A717" s="13" t="s">
        <v>2582</v>
      </c>
      <c r="B717" s="14">
        <v>45640</v>
      </c>
      <c r="C717" s="13" t="s">
        <v>1818</v>
      </c>
      <c r="D717" s="13" t="s">
        <v>1786</v>
      </c>
      <c r="E717" s="15">
        <v>5801.81</v>
      </c>
      <c r="F717" s="13" t="s">
        <v>1790</v>
      </c>
    </row>
    <row r="718" spans="1:6" x14ac:dyDescent="0.25">
      <c r="A718" s="10" t="s">
        <v>2583</v>
      </c>
      <c r="B718" s="11">
        <v>45637</v>
      </c>
      <c r="C718" s="10" t="s">
        <v>1818</v>
      </c>
      <c r="D718" s="10" t="s">
        <v>1789</v>
      </c>
      <c r="E718" s="12">
        <v>3425.56</v>
      </c>
      <c r="F718" s="10" t="s">
        <v>2093</v>
      </c>
    </row>
    <row r="719" spans="1:6" x14ac:dyDescent="0.25">
      <c r="A719" s="13" t="s">
        <v>2584</v>
      </c>
      <c r="B719" s="14">
        <v>45647</v>
      </c>
      <c r="C719" s="13" t="s">
        <v>1818</v>
      </c>
      <c r="D719" s="13" t="s">
        <v>1792</v>
      </c>
      <c r="E719" s="15">
        <v>6539.01</v>
      </c>
      <c r="F719" s="13" t="s">
        <v>1800</v>
      </c>
    </row>
    <row r="720" spans="1:6" x14ac:dyDescent="0.25">
      <c r="A720" s="10" t="s">
        <v>2585</v>
      </c>
      <c r="B720" s="11">
        <v>45627</v>
      </c>
      <c r="C720" s="10" t="s">
        <v>1818</v>
      </c>
      <c r="D720" s="10" t="s">
        <v>1795</v>
      </c>
      <c r="E720" s="12">
        <v>2472.9499999999998</v>
      </c>
      <c r="F720" s="10" t="s">
        <v>1886</v>
      </c>
    </row>
    <row r="721" spans="1:6" x14ac:dyDescent="0.25">
      <c r="A721" s="13" t="s">
        <v>2586</v>
      </c>
      <c r="B721" s="14">
        <v>45637</v>
      </c>
      <c r="C721" s="13" t="s">
        <v>1818</v>
      </c>
      <c r="D721" s="13" t="s">
        <v>1797</v>
      </c>
      <c r="E721" s="15">
        <v>2196.86</v>
      </c>
      <c r="F721" s="13" t="s">
        <v>1812</v>
      </c>
    </row>
    <row r="722" spans="1:6" x14ac:dyDescent="0.25">
      <c r="A722" s="10" t="s">
        <v>2587</v>
      </c>
      <c r="B722" s="11">
        <v>45642</v>
      </c>
      <c r="C722" s="10" t="s">
        <v>1786</v>
      </c>
      <c r="D722" s="10" t="s">
        <v>1775</v>
      </c>
      <c r="E722" s="12">
        <v>74072.710000000006</v>
      </c>
      <c r="F722" s="10" t="s">
        <v>1824</v>
      </c>
    </row>
    <row r="723" spans="1:6" x14ac:dyDescent="0.25">
      <c r="A723" s="13" t="s">
        <v>2588</v>
      </c>
      <c r="B723" s="14">
        <v>45631</v>
      </c>
      <c r="C723" s="13" t="s">
        <v>1786</v>
      </c>
      <c r="D723" s="13" t="s">
        <v>1778</v>
      </c>
      <c r="E723" s="15">
        <v>14500.58</v>
      </c>
      <c r="F723" s="13" t="s">
        <v>2062</v>
      </c>
    </row>
    <row r="724" spans="1:6" x14ac:dyDescent="0.25">
      <c r="A724" s="10" t="s">
        <v>2589</v>
      </c>
      <c r="B724" s="11">
        <v>45643</v>
      </c>
      <c r="C724" s="10" t="s">
        <v>1786</v>
      </c>
      <c r="D724" s="10" t="s">
        <v>1780</v>
      </c>
      <c r="E724" s="12">
        <v>6996.87</v>
      </c>
      <c r="F724" s="10" t="s">
        <v>2093</v>
      </c>
    </row>
    <row r="725" spans="1:6" x14ac:dyDescent="0.25">
      <c r="A725" s="13" t="s">
        <v>2590</v>
      </c>
      <c r="B725" s="14">
        <v>45637</v>
      </c>
      <c r="C725" s="13" t="s">
        <v>1786</v>
      </c>
      <c r="D725" s="13" t="s">
        <v>1783</v>
      </c>
      <c r="E725" s="15">
        <v>12763.04</v>
      </c>
      <c r="F725" s="13" t="s">
        <v>1863</v>
      </c>
    </row>
    <row r="726" spans="1:6" x14ac:dyDescent="0.25">
      <c r="A726" s="10" t="s">
        <v>2591</v>
      </c>
      <c r="B726" s="11">
        <v>45639</v>
      </c>
      <c r="C726" s="10" t="s">
        <v>1786</v>
      </c>
      <c r="D726" s="10" t="s">
        <v>1786</v>
      </c>
      <c r="E726" s="12">
        <v>9542.2099999999991</v>
      </c>
      <c r="F726" s="10" t="s">
        <v>1822</v>
      </c>
    </row>
    <row r="727" spans="1:6" x14ac:dyDescent="0.25">
      <c r="A727" s="13" t="s">
        <v>2592</v>
      </c>
      <c r="B727" s="14">
        <v>45634</v>
      </c>
      <c r="C727" s="13" t="s">
        <v>1786</v>
      </c>
      <c r="D727" s="13" t="s">
        <v>1789</v>
      </c>
      <c r="E727" s="15">
        <v>5959.2</v>
      </c>
      <c r="F727" s="13" t="s">
        <v>1884</v>
      </c>
    </row>
    <row r="728" spans="1:6" x14ac:dyDescent="0.25">
      <c r="A728" s="10" t="s">
        <v>2593</v>
      </c>
      <c r="B728" s="11">
        <v>45632</v>
      </c>
      <c r="C728" s="10" t="s">
        <v>1786</v>
      </c>
      <c r="D728" s="10" t="s">
        <v>1792</v>
      </c>
      <c r="E728" s="12">
        <v>10719.7</v>
      </c>
      <c r="F728" s="10" t="s">
        <v>1816</v>
      </c>
    </row>
    <row r="729" spans="1:6" x14ac:dyDescent="0.25">
      <c r="A729" s="13" t="s">
        <v>2594</v>
      </c>
      <c r="B729" s="14">
        <v>45636</v>
      </c>
      <c r="C729" s="13" t="s">
        <v>1786</v>
      </c>
      <c r="D729" s="13" t="s">
        <v>1795</v>
      </c>
      <c r="E729" s="15">
        <v>3726.49</v>
      </c>
      <c r="F729" s="13" t="s">
        <v>1871</v>
      </c>
    </row>
    <row r="730" spans="1:6" x14ac:dyDescent="0.25">
      <c r="A730" s="10" t="s">
        <v>2595</v>
      </c>
      <c r="B730" s="11">
        <v>45629</v>
      </c>
      <c r="C730" s="10" t="s">
        <v>1786</v>
      </c>
      <c r="D730" s="10" t="s">
        <v>1797</v>
      </c>
      <c r="E730" s="12">
        <v>4853.58</v>
      </c>
      <c r="F730" s="10" t="s">
        <v>1859</v>
      </c>
    </row>
    <row r="731" spans="1:6" x14ac:dyDescent="0.25">
      <c r="A731" s="13" t="s">
        <v>2596</v>
      </c>
      <c r="B731" s="14">
        <v>45648</v>
      </c>
      <c r="C731" s="13" t="s">
        <v>1792</v>
      </c>
      <c r="D731" s="13" t="s">
        <v>1775</v>
      </c>
      <c r="E731" s="15">
        <v>70381.600000000006</v>
      </c>
      <c r="F731" s="13" t="s">
        <v>1901</v>
      </c>
    </row>
    <row r="732" spans="1:6" x14ac:dyDescent="0.25">
      <c r="A732" s="10" t="s">
        <v>2597</v>
      </c>
      <c r="B732" s="11">
        <v>45644</v>
      </c>
      <c r="C732" s="10" t="s">
        <v>1792</v>
      </c>
      <c r="D732" s="10" t="s">
        <v>1778</v>
      </c>
      <c r="E732" s="12">
        <v>20045.37</v>
      </c>
      <c r="F732" s="10" t="s">
        <v>1814</v>
      </c>
    </row>
    <row r="733" spans="1:6" x14ac:dyDescent="0.25">
      <c r="A733" s="13" t="s">
        <v>2598</v>
      </c>
      <c r="B733" s="14">
        <v>45645</v>
      </c>
      <c r="C733" s="13" t="s">
        <v>1792</v>
      </c>
      <c r="D733" s="13" t="s">
        <v>1780</v>
      </c>
      <c r="E733" s="15">
        <v>7658.9</v>
      </c>
      <c r="F733" s="13" t="s">
        <v>1856</v>
      </c>
    </row>
    <row r="734" spans="1:6" x14ac:dyDescent="0.25">
      <c r="A734" s="10" t="s">
        <v>2599</v>
      </c>
      <c r="B734" s="11">
        <v>45644</v>
      </c>
      <c r="C734" s="10" t="s">
        <v>1792</v>
      </c>
      <c r="D734" s="10" t="s">
        <v>1783</v>
      </c>
      <c r="E734" s="12">
        <v>11596.36</v>
      </c>
      <c r="F734" s="10" t="s">
        <v>1787</v>
      </c>
    </row>
    <row r="735" spans="1:6" x14ac:dyDescent="0.25">
      <c r="A735" s="13" t="s">
        <v>2600</v>
      </c>
      <c r="B735" s="14">
        <v>45641</v>
      </c>
      <c r="C735" s="13" t="s">
        <v>1792</v>
      </c>
      <c r="D735" s="13" t="s">
        <v>1786</v>
      </c>
      <c r="E735" s="15">
        <v>11837.73</v>
      </c>
      <c r="F735" s="13" t="s">
        <v>1804</v>
      </c>
    </row>
    <row r="736" spans="1:6" x14ac:dyDescent="0.25">
      <c r="A736" s="10" t="s">
        <v>2601</v>
      </c>
      <c r="B736" s="11">
        <v>45632</v>
      </c>
      <c r="C736" s="10" t="s">
        <v>1792</v>
      </c>
      <c r="D736" s="10" t="s">
        <v>1789</v>
      </c>
      <c r="E736" s="12">
        <v>9903.01</v>
      </c>
      <c r="F736" s="10" t="s">
        <v>2005</v>
      </c>
    </row>
    <row r="737" spans="1:6" x14ac:dyDescent="0.25">
      <c r="A737" s="13" t="s">
        <v>2602</v>
      </c>
      <c r="B737" s="14">
        <v>45633</v>
      </c>
      <c r="C737" s="13" t="s">
        <v>1792</v>
      </c>
      <c r="D737" s="13" t="s">
        <v>1792</v>
      </c>
      <c r="E737" s="15">
        <v>13496.36</v>
      </c>
      <c r="F737" s="13" t="s">
        <v>1935</v>
      </c>
    </row>
    <row r="738" spans="1:6" x14ac:dyDescent="0.25">
      <c r="A738" s="10" t="s">
        <v>2603</v>
      </c>
      <c r="B738" s="11">
        <v>45646</v>
      </c>
      <c r="C738" s="10" t="s">
        <v>1792</v>
      </c>
      <c r="D738" s="10" t="s">
        <v>1795</v>
      </c>
      <c r="E738" s="12">
        <v>4832.92</v>
      </c>
      <c r="F738" s="10" t="s">
        <v>2162</v>
      </c>
    </row>
    <row r="739" spans="1:6" x14ac:dyDescent="0.25">
      <c r="A739" s="13" t="s">
        <v>2604</v>
      </c>
      <c r="B739" s="14">
        <v>45650</v>
      </c>
      <c r="C739" s="13" t="s">
        <v>1792</v>
      </c>
      <c r="D739" s="13" t="s">
        <v>1797</v>
      </c>
      <c r="E739" s="15">
        <v>4695.16</v>
      </c>
      <c r="F739" s="13" t="s">
        <v>1814</v>
      </c>
    </row>
    <row r="740" spans="1:6" x14ac:dyDescent="0.25">
      <c r="A740" s="10" t="s">
        <v>2605</v>
      </c>
      <c r="B740" s="11">
        <v>45627</v>
      </c>
      <c r="C740" s="10" t="s">
        <v>1862</v>
      </c>
      <c r="D740" s="10" t="s">
        <v>1775</v>
      </c>
      <c r="E740" s="12">
        <v>33755.81</v>
      </c>
      <c r="F740" s="10" t="s">
        <v>1865</v>
      </c>
    </row>
    <row r="741" spans="1:6" x14ac:dyDescent="0.25">
      <c r="A741" s="13" t="s">
        <v>2606</v>
      </c>
      <c r="B741" s="14">
        <v>45649</v>
      </c>
      <c r="C741" s="13" t="s">
        <v>1862</v>
      </c>
      <c r="D741" s="13" t="s">
        <v>1778</v>
      </c>
      <c r="E741" s="15">
        <v>6846.65</v>
      </c>
      <c r="F741" s="13" t="s">
        <v>1816</v>
      </c>
    </row>
    <row r="742" spans="1:6" x14ac:dyDescent="0.25">
      <c r="A742" s="10" t="s">
        <v>2607</v>
      </c>
      <c r="B742" s="11">
        <v>45633</v>
      </c>
      <c r="C742" s="10" t="s">
        <v>1862</v>
      </c>
      <c r="D742" s="10" t="s">
        <v>1780</v>
      </c>
      <c r="E742" s="12">
        <v>3967.91</v>
      </c>
      <c r="F742" s="10" t="s">
        <v>1941</v>
      </c>
    </row>
    <row r="743" spans="1:6" x14ac:dyDescent="0.25">
      <c r="A743" s="13" t="s">
        <v>2608</v>
      </c>
      <c r="B743" s="14">
        <v>45646</v>
      </c>
      <c r="C743" s="13" t="s">
        <v>1862</v>
      </c>
      <c r="D743" s="13" t="s">
        <v>1783</v>
      </c>
      <c r="E743" s="15">
        <v>5760.11</v>
      </c>
      <c r="F743" s="13" t="s">
        <v>2024</v>
      </c>
    </row>
    <row r="744" spans="1:6" x14ac:dyDescent="0.25">
      <c r="A744" s="10" t="s">
        <v>2609</v>
      </c>
      <c r="B744" s="11">
        <v>45627</v>
      </c>
      <c r="C744" s="10" t="s">
        <v>1862</v>
      </c>
      <c r="D744" s="10" t="s">
        <v>1786</v>
      </c>
      <c r="E744" s="12">
        <v>7038.41</v>
      </c>
      <c r="F744" s="10" t="s">
        <v>2128</v>
      </c>
    </row>
    <row r="745" spans="1:6" x14ac:dyDescent="0.25">
      <c r="A745" s="13" t="s">
        <v>2610</v>
      </c>
      <c r="B745" s="14">
        <v>45640</v>
      </c>
      <c r="C745" s="13" t="s">
        <v>1862</v>
      </c>
      <c r="D745" s="13" t="s">
        <v>1789</v>
      </c>
      <c r="E745" s="15">
        <v>4327.01</v>
      </c>
      <c r="F745" s="13" t="s">
        <v>1810</v>
      </c>
    </row>
    <row r="746" spans="1:6" x14ac:dyDescent="0.25">
      <c r="A746" s="10" t="s">
        <v>2611</v>
      </c>
      <c r="B746" s="11">
        <v>45652</v>
      </c>
      <c r="C746" s="10" t="s">
        <v>1862</v>
      </c>
      <c r="D746" s="10" t="s">
        <v>1792</v>
      </c>
      <c r="E746" s="12">
        <v>5901.76</v>
      </c>
      <c r="F746" s="10" t="s">
        <v>1826</v>
      </c>
    </row>
    <row r="747" spans="1:6" x14ac:dyDescent="0.25">
      <c r="A747" s="13" t="s">
        <v>2612</v>
      </c>
      <c r="B747" s="14">
        <v>45636</v>
      </c>
      <c r="C747" s="13" t="s">
        <v>1862</v>
      </c>
      <c r="D747" s="13" t="s">
        <v>1795</v>
      </c>
      <c r="E747" s="15">
        <v>2510.46</v>
      </c>
      <c r="F747" s="13" t="s">
        <v>1997</v>
      </c>
    </row>
    <row r="748" spans="1:6" x14ac:dyDescent="0.25">
      <c r="A748" s="10" t="s">
        <v>2613</v>
      </c>
      <c r="B748" s="11">
        <v>45644</v>
      </c>
      <c r="C748" s="10" t="s">
        <v>1862</v>
      </c>
      <c r="D748" s="10" t="s">
        <v>1797</v>
      </c>
      <c r="E748" s="12">
        <v>2244.52</v>
      </c>
      <c r="F748" s="10" t="s">
        <v>2040</v>
      </c>
    </row>
    <row r="749" spans="1:6" x14ac:dyDescent="0.25">
      <c r="A749" s="13" t="s">
        <v>2614</v>
      </c>
      <c r="B749" s="14">
        <v>45631</v>
      </c>
      <c r="C749" s="13" t="s">
        <v>1877</v>
      </c>
      <c r="D749" s="13" t="s">
        <v>1775</v>
      </c>
      <c r="E749" s="15">
        <v>71676.92</v>
      </c>
      <c r="F749" s="13" t="s">
        <v>2128</v>
      </c>
    </row>
    <row r="750" spans="1:6" x14ac:dyDescent="0.25">
      <c r="A750" s="10" t="s">
        <v>2615</v>
      </c>
      <c r="B750" s="11">
        <v>45646</v>
      </c>
      <c r="C750" s="10" t="s">
        <v>1877</v>
      </c>
      <c r="D750" s="10" t="s">
        <v>1778</v>
      </c>
      <c r="E750" s="12">
        <v>10691.05</v>
      </c>
      <c r="F750" s="10" t="s">
        <v>1990</v>
      </c>
    </row>
    <row r="751" spans="1:6" x14ac:dyDescent="0.25">
      <c r="A751" s="13" t="s">
        <v>2616</v>
      </c>
      <c r="B751" s="14">
        <v>45648</v>
      </c>
      <c r="C751" s="13" t="s">
        <v>1877</v>
      </c>
      <c r="D751" s="13" t="s">
        <v>1780</v>
      </c>
      <c r="E751" s="15">
        <v>6358.11</v>
      </c>
      <c r="F751" s="13" t="s">
        <v>1888</v>
      </c>
    </row>
    <row r="752" spans="1:6" x14ac:dyDescent="0.25">
      <c r="A752" s="10" t="s">
        <v>2617</v>
      </c>
      <c r="B752" s="11">
        <v>45636</v>
      </c>
      <c r="C752" s="10" t="s">
        <v>1877</v>
      </c>
      <c r="D752" s="10" t="s">
        <v>1783</v>
      </c>
      <c r="E752" s="12">
        <v>9514.15</v>
      </c>
      <c r="F752" s="10" t="s">
        <v>2128</v>
      </c>
    </row>
    <row r="753" spans="1:6" x14ac:dyDescent="0.25">
      <c r="A753" s="13" t="s">
        <v>2618</v>
      </c>
      <c r="B753" s="14">
        <v>45652</v>
      </c>
      <c r="C753" s="13" t="s">
        <v>1877</v>
      </c>
      <c r="D753" s="13" t="s">
        <v>1786</v>
      </c>
      <c r="E753" s="15">
        <v>9439.93</v>
      </c>
      <c r="F753" s="13" t="s">
        <v>1787</v>
      </c>
    </row>
    <row r="754" spans="1:6" x14ac:dyDescent="0.25">
      <c r="A754" s="10" t="s">
        <v>2619</v>
      </c>
      <c r="B754" s="11">
        <v>45650</v>
      </c>
      <c r="C754" s="10" t="s">
        <v>1877</v>
      </c>
      <c r="D754" s="10" t="s">
        <v>1789</v>
      </c>
      <c r="E754" s="12">
        <v>6642.94</v>
      </c>
      <c r="F754" s="10" t="s">
        <v>1924</v>
      </c>
    </row>
    <row r="755" spans="1:6" x14ac:dyDescent="0.25">
      <c r="A755" s="13" t="s">
        <v>2620</v>
      </c>
      <c r="B755" s="14">
        <v>45628</v>
      </c>
      <c r="C755" s="13" t="s">
        <v>1877</v>
      </c>
      <c r="D755" s="13" t="s">
        <v>1792</v>
      </c>
      <c r="E755" s="15">
        <v>11460.08</v>
      </c>
      <c r="F755" s="13" t="s">
        <v>1844</v>
      </c>
    </row>
    <row r="756" spans="1:6" x14ac:dyDescent="0.25">
      <c r="A756" s="10" t="s">
        <v>2621</v>
      </c>
      <c r="B756" s="11">
        <v>45648</v>
      </c>
      <c r="C756" s="10" t="s">
        <v>1877</v>
      </c>
      <c r="D756" s="10" t="s">
        <v>1795</v>
      </c>
      <c r="E756" s="12">
        <v>3597.46</v>
      </c>
      <c r="F756" s="10" t="s">
        <v>1790</v>
      </c>
    </row>
    <row r="757" spans="1:6" x14ac:dyDescent="0.25">
      <c r="A757" s="13" t="s">
        <v>2622</v>
      </c>
      <c r="B757" s="14">
        <v>45653</v>
      </c>
      <c r="C757" s="13" t="s">
        <v>1877</v>
      </c>
      <c r="D757" s="13" t="s">
        <v>1797</v>
      </c>
      <c r="E757" s="15">
        <v>3850.1</v>
      </c>
      <c r="F757" s="13" t="s">
        <v>1871</v>
      </c>
    </row>
    <row r="758" spans="1:6" x14ac:dyDescent="0.25">
      <c r="A758" s="10" t="s">
        <v>2623</v>
      </c>
      <c r="B758" s="11">
        <v>45682</v>
      </c>
      <c r="C758" s="10" t="s">
        <v>1774</v>
      </c>
      <c r="D758" s="10" t="s">
        <v>1775</v>
      </c>
      <c r="E758" s="12">
        <v>110660.25</v>
      </c>
      <c r="F758" s="10" t="s">
        <v>1784</v>
      </c>
    </row>
    <row r="759" spans="1:6" x14ac:dyDescent="0.25">
      <c r="A759" s="13" t="s">
        <v>2624</v>
      </c>
      <c r="B759" s="14">
        <v>45663</v>
      </c>
      <c r="C759" s="13" t="s">
        <v>1774</v>
      </c>
      <c r="D759" s="13" t="s">
        <v>1778</v>
      </c>
      <c r="E759" s="15">
        <v>23270.14</v>
      </c>
      <c r="F759" s="13" t="s">
        <v>1804</v>
      </c>
    </row>
    <row r="760" spans="1:6" x14ac:dyDescent="0.25">
      <c r="A760" s="10" t="s">
        <v>2625</v>
      </c>
      <c r="B760" s="11">
        <v>45659</v>
      </c>
      <c r="C760" s="10" t="s">
        <v>1774</v>
      </c>
      <c r="D760" s="10" t="s">
        <v>1780</v>
      </c>
      <c r="E760" s="12">
        <v>9586.7800000000007</v>
      </c>
      <c r="F760" s="10" t="s">
        <v>1822</v>
      </c>
    </row>
    <row r="761" spans="1:6" x14ac:dyDescent="0.25">
      <c r="A761" s="13" t="s">
        <v>2626</v>
      </c>
      <c r="B761" s="14">
        <v>45660</v>
      </c>
      <c r="C761" s="13" t="s">
        <v>1774</v>
      </c>
      <c r="D761" s="13" t="s">
        <v>1783</v>
      </c>
      <c r="E761" s="15">
        <v>17125.5</v>
      </c>
      <c r="F761" s="13" t="s">
        <v>1968</v>
      </c>
    </row>
    <row r="762" spans="1:6" x14ac:dyDescent="0.25">
      <c r="A762" s="10" t="s">
        <v>2627</v>
      </c>
      <c r="B762" s="11">
        <v>45666</v>
      </c>
      <c r="C762" s="10" t="s">
        <v>1774</v>
      </c>
      <c r="D762" s="10" t="s">
        <v>1786</v>
      </c>
      <c r="E762" s="12">
        <v>18431.7</v>
      </c>
      <c r="F762" s="10" t="s">
        <v>1833</v>
      </c>
    </row>
    <row r="763" spans="1:6" x14ac:dyDescent="0.25">
      <c r="A763" s="13" t="s">
        <v>2628</v>
      </c>
      <c r="B763" s="14">
        <v>45666</v>
      </c>
      <c r="C763" s="13" t="s">
        <v>1774</v>
      </c>
      <c r="D763" s="13" t="s">
        <v>1789</v>
      </c>
      <c r="E763" s="15">
        <v>9678.2099999999991</v>
      </c>
      <c r="F763" s="13" t="s">
        <v>2040</v>
      </c>
    </row>
    <row r="764" spans="1:6" x14ac:dyDescent="0.25">
      <c r="A764" s="10" t="s">
        <v>2629</v>
      </c>
      <c r="B764" s="11">
        <v>45676</v>
      </c>
      <c r="C764" s="10" t="s">
        <v>1774</v>
      </c>
      <c r="D764" s="10" t="s">
        <v>1792</v>
      </c>
      <c r="E764" s="12">
        <v>15489.88</v>
      </c>
      <c r="F764" s="10" t="s">
        <v>1806</v>
      </c>
    </row>
    <row r="765" spans="1:6" x14ac:dyDescent="0.25">
      <c r="A765" s="13" t="s">
        <v>2630</v>
      </c>
      <c r="B765" s="14">
        <v>45675</v>
      </c>
      <c r="C765" s="13" t="s">
        <v>1774</v>
      </c>
      <c r="D765" s="13" t="s">
        <v>1795</v>
      </c>
      <c r="E765" s="15">
        <v>6537.74</v>
      </c>
      <c r="F765" s="13" t="s">
        <v>1787</v>
      </c>
    </row>
    <row r="766" spans="1:6" x14ac:dyDescent="0.25">
      <c r="A766" s="10" t="s">
        <v>2631</v>
      </c>
      <c r="B766" s="11">
        <v>45684</v>
      </c>
      <c r="C766" s="10" t="s">
        <v>1774</v>
      </c>
      <c r="D766" s="10" t="s">
        <v>1797</v>
      </c>
      <c r="E766" s="12">
        <v>5745.95</v>
      </c>
      <c r="F766" s="10" t="s">
        <v>1985</v>
      </c>
    </row>
    <row r="767" spans="1:6" x14ac:dyDescent="0.25">
      <c r="A767" s="13" t="s">
        <v>2632</v>
      </c>
      <c r="B767" s="14">
        <v>45682</v>
      </c>
      <c r="C767" s="13" t="s">
        <v>1799</v>
      </c>
      <c r="D767" s="13" t="s">
        <v>1775</v>
      </c>
      <c r="E767" s="15">
        <v>50287</v>
      </c>
      <c r="F767" s="13" t="s">
        <v>1808</v>
      </c>
    </row>
    <row r="768" spans="1:6" x14ac:dyDescent="0.25">
      <c r="A768" s="10" t="s">
        <v>2633</v>
      </c>
      <c r="B768" s="11">
        <v>45663</v>
      </c>
      <c r="C768" s="10" t="s">
        <v>1799</v>
      </c>
      <c r="D768" s="10" t="s">
        <v>1778</v>
      </c>
      <c r="E768" s="12">
        <v>9041.5499999999993</v>
      </c>
      <c r="F768" s="10" t="s">
        <v>2042</v>
      </c>
    </row>
    <row r="769" spans="1:6" x14ac:dyDescent="0.25">
      <c r="A769" s="13" t="s">
        <v>2634</v>
      </c>
      <c r="B769" s="14">
        <v>45672</v>
      </c>
      <c r="C769" s="13" t="s">
        <v>1799</v>
      </c>
      <c r="D769" s="13" t="s">
        <v>1780</v>
      </c>
      <c r="E769" s="15">
        <v>4620.1000000000004</v>
      </c>
      <c r="F769" s="13" t="s">
        <v>1824</v>
      </c>
    </row>
    <row r="770" spans="1:6" x14ac:dyDescent="0.25">
      <c r="A770" s="10" t="s">
        <v>2635</v>
      </c>
      <c r="B770" s="11">
        <v>45666</v>
      </c>
      <c r="C770" s="10" t="s">
        <v>1799</v>
      </c>
      <c r="D770" s="10" t="s">
        <v>1783</v>
      </c>
      <c r="E770" s="12">
        <v>7521.18</v>
      </c>
      <c r="F770" s="10" t="s">
        <v>1939</v>
      </c>
    </row>
    <row r="771" spans="1:6" x14ac:dyDescent="0.25">
      <c r="A771" s="13" t="s">
        <v>2636</v>
      </c>
      <c r="B771" s="14">
        <v>45675</v>
      </c>
      <c r="C771" s="13" t="s">
        <v>1799</v>
      </c>
      <c r="D771" s="13" t="s">
        <v>1786</v>
      </c>
      <c r="E771" s="15">
        <v>8162.55</v>
      </c>
      <c r="F771" s="13" t="s">
        <v>2074</v>
      </c>
    </row>
    <row r="772" spans="1:6" x14ac:dyDescent="0.25">
      <c r="A772" s="10" t="s">
        <v>2637</v>
      </c>
      <c r="B772" s="11">
        <v>45665</v>
      </c>
      <c r="C772" s="10" t="s">
        <v>1799</v>
      </c>
      <c r="D772" s="10" t="s">
        <v>1789</v>
      </c>
      <c r="E772" s="12">
        <v>4080.72</v>
      </c>
      <c r="F772" s="10" t="s">
        <v>1806</v>
      </c>
    </row>
    <row r="773" spans="1:6" x14ac:dyDescent="0.25">
      <c r="A773" s="13" t="s">
        <v>2638</v>
      </c>
      <c r="B773" s="14">
        <v>45673</v>
      </c>
      <c r="C773" s="13" t="s">
        <v>1799</v>
      </c>
      <c r="D773" s="13" t="s">
        <v>1792</v>
      </c>
      <c r="E773" s="15">
        <v>6918.81</v>
      </c>
      <c r="F773" s="13" t="s">
        <v>1854</v>
      </c>
    </row>
    <row r="774" spans="1:6" x14ac:dyDescent="0.25">
      <c r="A774" s="10" t="s">
        <v>2639</v>
      </c>
      <c r="B774" s="11">
        <v>45666</v>
      </c>
      <c r="C774" s="10" t="s">
        <v>1799</v>
      </c>
      <c r="D774" s="10" t="s">
        <v>1795</v>
      </c>
      <c r="E774" s="12">
        <v>2440</v>
      </c>
      <c r="F774" s="10" t="s">
        <v>2074</v>
      </c>
    </row>
    <row r="775" spans="1:6" x14ac:dyDescent="0.25">
      <c r="A775" s="13" t="s">
        <v>2640</v>
      </c>
      <c r="B775" s="14">
        <v>45668</v>
      </c>
      <c r="C775" s="13" t="s">
        <v>1799</v>
      </c>
      <c r="D775" s="13" t="s">
        <v>1797</v>
      </c>
      <c r="E775" s="15">
        <v>2584.71</v>
      </c>
      <c r="F775" s="13" t="s">
        <v>1927</v>
      </c>
    </row>
    <row r="776" spans="1:6" x14ac:dyDescent="0.25">
      <c r="A776" s="10" t="s">
        <v>2641</v>
      </c>
      <c r="B776" s="11">
        <v>45672</v>
      </c>
      <c r="C776" s="10" t="s">
        <v>1818</v>
      </c>
      <c r="D776" s="10" t="s">
        <v>1775</v>
      </c>
      <c r="E776" s="12">
        <v>40039.699999999997</v>
      </c>
      <c r="F776" s="10" t="s">
        <v>1884</v>
      </c>
    </row>
    <row r="777" spans="1:6" x14ac:dyDescent="0.25">
      <c r="A777" s="13" t="s">
        <v>2642</v>
      </c>
      <c r="B777" s="14">
        <v>45662</v>
      </c>
      <c r="C777" s="13" t="s">
        <v>1818</v>
      </c>
      <c r="D777" s="13" t="s">
        <v>1778</v>
      </c>
      <c r="E777" s="15">
        <v>6696.52</v>
      </c>
      <c r="F777" s="13" t="s">
        <v>1875</v>
      </c>
    </row>
    <row r="778" spans="1:6" x14ac:dyDescent="0.25">
      <c r="A778" s="10" t="s">
        <v>2643</v>
      </c>
      <c r="B778" s="11">
        <v>45676</v>
      </c>
      <c r="C778" s="10" t="s">
        <v>1818</v>
      </c>
      <c r="D778" s="10" t="s">
        <v>1780</v>
      </c>
      <c r="E778" s="12">
        <v>4377.3100000000004</v>
      </c>
      <c r="F778" s="10" t="s">
        <v>1790</v>
      </c>
    </row>
    <row r="779" spans="1:6" x14ac:dyDescent="0.25">
      <c r="A779" s="13" t="s">
        <v>2644</v>
      </c>
      <c r="B779" s="14">
        <v>45662</v>
      </c>
      <c r="C779" s="13" t="s">
        <v>1818</v>
      </c>
      <c r="D779" s="13" t="s">
        <v>1783</v>
      </c>
      <c r="E779" s="15">
        <v>6199.32</v>
      </c>
      <c r="F779" s="13" t="s">
        <v>1880</v>
      </c>
    </row>
    <row r="780" spans="1:6" x14ac:dyDescent="0.25">
      <c r="A780" s="10" t="s">
        <v>2645</v>
      </c>
      <c r="B780" s="11">
        <v>45684</v>
      </c>
      <c r="C780" s="10" t="s">
        <v>1818</v>
      </c>
      <c r="D780" s="10" t="s">
        <v>1786</v>
      </c>
      <c r="E780" s="12">
        <v>5083.1000000000004</v>
      </c>
      <c r="F780" s="10" t="s">
        <v>1838</v>
      </c>
    </row>
    <row r="781" spans="1:6" x14ac:dyDescent="0.25">
      <c r="A781" s="13" t="s">
        <v>2646</v>
      </c>
      <c r="B781" s="14">
        <v>45664</v>
      </c>
      <c r="C781" s="13" t="s">
        <v>1818</v>
      </c>
      <c r="D781" s="13" t="s">
        <v>1789</v>
      </c>
      <c r="E781" s="15">
        <v>3919.43</v>
      </c>
      <c r="F781" s="13" t="s">
        <v>1970</v>
      </c>
    </row>
    <row r="782" spans="1:6" x14ac:dyDescent="0.25">
      <c r="A782" s="10" t="s">
        <v>2647</v>
      </c>
      <c r="B782" s="11">
        <v>45665</v>
      </c>
      <c r="C782" s="10" t="s">
        <v>1818</v>
      </c>
      <c r="D782" s="10" t="s">
        <v>1792</v>
      </c>
      <c r="E782" s="12">
        <v>6085.32</v>
      </c>
      <c r="F782" s="10" t="s">
        <v>1875</v>
      </c>
    </row>
    <row r="783" spans="1:6" x14ac:dyDescent="0.25">
      <c r="A783" s="13" t="s">
        <v>2648</v>
      </c>
      <c r="B783" s="14">
        <v>45683</v>
      </c>
      <c r="C783" s="13" t="s">
        <v>1818</v>
      </c>
      <c r="D783" s="13" t="s">
        <v>1795</v>
      </c>
      <c r="E783" s="15">
        <v>2051.2800000000002</v>
      </c>
      <c r="F783" s="13" t="s">
        <v>2093</v>
      </c>
    </row>
    <row r="784" spans="1:6" x14ac:dyDescent="0.25">
      <c r="A784" s="10" t="s">
        <v>2649</v>
      </c>
      <c r="B784" s="11">
        <v>45664</v>
      </c>
      <c r="C784" s="10" t="s">
        <v>1818</v>
      </c>
      <c r="D784" s="10" t="s">
        <v>1797</v>
      </c>
      <c r="E784" s="12">
        <v>2257.75</v>
      </c>
      <c r="F784" s="10" t="s">
        <v>1810</v>
      </c>
    </row>
    <row r="785" spans="1:6" x14ac:dyDescent="0.25">
      <c r="A785" s="13" t="s">
        <v>2650</v>
      </c>
      <c r="B785" s="14">
        <v>45661</v>
      </c>
      <c r="C785" s="13" t="s">
        <v>1786</v>
      </c>
      <c r="D785" s="13" t="s">
        <v>1775</v>
      </c>
      <c r="E785" s="15">
        <v>69866.37</v>
      </c>
      <c r="F785" s="13" t="s">
        <v>1941</v>
      </c>
    </row>
    <row r="786" spans="1:6" x14ac:dyDescent="0.25">
      <c r="A786" s="10" t="s">
        <v>2651</v>
      </c>
      <c r="B786" s="11">
        <v>45676</v>
      </c>
      <c r="C786" s="10" t="s">
        <v>1786</v>
      </c>
      <c r="D786" s="10" t="s">
        <v>1778</v>
      </c>
      <c r="E786" s="12">
        <v>13841.73</v>
      </c>
      <c r="F786" s="10" t="s">
        <v>1822</v>
      </c>
    </row>
    <row r="787" spans="1:6" x14ac:dyDescent="0.25">
      <c r="A787" s="13" t="s">
        <v>2652</v>
      </c>
      <c r="B787" s="14">
        <v>45669</v>
      </c>
      <c r="C787" s="13" t="s">
        <v>1786</v>
      </c>
      <c r="D787" s="13" t="s">
        <v>1780</v>
      </c>
      <c r="E787" s="15">
        <v>7573.54</v>
      </c>
      <c r="F787" s="13" t="s">
        <v>1979</v>
      </c>
    </row>
    <row r="788" spans="1:6" x14ac:dyDescent="0.25">
      <c r="A788" s="10" t="s">
        <v>2653</v>
      </c>
      <c r="B788" s="11">
        <v>45684</v>
      </c>
      <c r="C788" s="10" t="s">
        <v>1786</v>
      </c>
      <c r="D788" s="10" t="s">
        <v>1783</v>
      </c>
      <c r="E788" s="12">
        <v>12303.49</v>
      </c>
      <c r="F788" s="10" t="s">
        <v>1865</v>
      </c>
    </row>
    <row r="789" spans="1:6" x14ac:dyDescent="0.25">
      <c r="A789" s="13" t="s">
        <v>2654</v>
      </c>
      <c r="B789" s="14">
        <v>45674</v>
      </c>
      <c r="C789" s="13" t="s">
        <v>1786</v>
      </c>
      <c r="D789" s="13" t="s">
        <v>1786</v>
      </c>
      <c r="E789" s="15">
        <v>9987.94</v>
      </c>
      <c r="F789" s="13" t="s">
        <v>2192</v>
      </c>
    </row>
    <row r="790" spans="1:6" x14ac:dyDescent="0.25">
      <c r="A790" s="10" t="s">
        <v>2655</v>
      </c>
      <c r="B790" s="11">
        <v>45662</v>
      </c>
      <c r="C790" s="10" t="s">
        <v>1786</v>
      </c>
      <c r="D790" s="10" t="s">
        <v>1789</v>
      </c>
      <c r="E790" s="12">
        <v>8304.24</v>
      </c>
      <c r="F790" s="10" t="s">
        <v>2042</v>
      </c>
    </row>
    <row r="791" spans="1:6" x14ac:dyDescent="0.25">
      <c r="A791" s="13" t="s">
        <v>2656</v>
      </c>
      <c r="B791" s="14">
        <v>45678</v>
      </c>
      <c r="C791" s="13" t="s">
        <v>1786</v>
      </c>
      <c r="D791" s="13" t="s">
        <v>1792</v>
      </c>
      <c r="E791" s="15">
        <v>12120.92</v>
      </c>
      <c r="F791" s="13" t="s">
        <v>2074</v>
      </c>
    </row>
    <row r="792" spans="1:6" x14ac:dyDescent="0.25">
      <c r="A792" s="10" t="s">
        <v>2657</v>
      </c>
      <c r="B792" s="11">
        <v>45683</v>
      </c>
      <c r="C792" s="10" t="s">
        <v>1786</v>
      </c>
      <c r="D792" s="10" t="s">
        <v>1795</v>
      </c>
      <c r="E792" s="12">
        <v>4268.49</v>
      </c>
      <c r="F792" s="10" t="s">
        <v>1985</v>
      </c>
    </row>
    <row r="793" spans="1:6" x14ac:dyDescent="0.25">
      <c r="A793" s="13" t="s">
        <v>2658</v>
      </c>
      <c r="B793" s="14">
        <v>45662</v>
      </c>
      <c r="C793" s="13" t="s">
        <v>1786</v>
      </c>
      <c r="D793" s="13" t="s">
        <v>1797</v>
      </c>
      <c r="E793" s="15">
        <v>3601.42</v>
      </c>
      <c r="F793" s="13" t="s">
        <v>1884</v>
      </c>
    </row>
    <row r="794" spans="1:6" x14ac:dyDescent="0.25">
      <c r="A794" s="10" t="s">
        <v>2659</v>
      </c>
      <c r="B794" s="11">
        <v>45676</v>
      </c>
      <c r="C794" s="10" t="s">
        <v>1792</v>
      </c>
      <c r="D794" s="10" t="s">
        <v>1775</v>
      </c>
      <c r="E794" s="12">
        <v>82196.350000000006</v>
      </c>
      <c r="F794" s="10" t="s">
        <v>1886</v>
      </c>
    </row>
    <row r="795" spans="1:6" x14ac:dyDescent="0.25">
      <c r="A795" s="13" t="s">
        <v>2660</v>
      </c>
      <c r="B795" s="14">
        <v>45684</v>
      </c>
      <c r="C795" s="13" t="s">
        <v>1792</v>
      </c>
      <c r="D795" s="13" t="s">
        <v>1778</v>
      </c>
      <c r="E795" s="15">
        <v>16705.62</v>
      </c>
      <c r="F795" s="13" t="s">
        <v>1958</v>
      </c>
    </row>
    <row r="796" spans="1:6" x14ac:dyDescent="0.25">
      <c r="A796" s="10" t="s">
        <v>2661</v>
      </c>
      <c r="B796" s="11">
        <v>45676</v>
      </c>
      <c r="C796" s="10" t="s">
        <v>1792</v>
      </c>
      <c r="D796" s="10" t="s">
        <v>1780</v>
      </c>
      <c r="E796" s="12">
        <v>8668.75</v>
      </c>
      <c r="F796" s="10" t="s">
        <v>1888</v>
      </c>
    </row>
    <row r="797" spans="1:6" x14ac:dyDescent="0.25">
      <c r="A797" s="13" t="s">
        <v>2662</v>
      </c>
      <c r="B797" s="14">
        <v>45665</v>
      </c>
      <c r="C797" s="13" t="s">
        <v>1792</v>
      </c>
      <c r="D797" s="13" t="s">
        <v>1783</v>
      </c>
      <c r="E797" s="15">
        <v>15112.28</v>
      </c>
      <c r="F797" s="13" t="s">
        <v>1820</v>
      </c>
    </row>
    <row r="798" spans="1:6" x14ac:dyDescent="0.25">
      <c r="A798" s="10" t="s">
        <v>2663</v>
      </c>
      <c r="B798" s="11">
        <v>45661</v>
      </c>
      <c r="C798" s="10" t="s">
        <v>1792</v>
      </c>
      <c r="D798" s="10" t="s">
        <v>1786</v>
      </c>
      <c r="E798" s="12">
        <v>14030.04</v>
      </c>
      <c r="F798" s="10" t="s">
        <v>1939</v>
      </c>
    </row>
    <row r="799" spans="1:6" x14ac:dyDescent="0.25">
      <c r="A799" s="13" t="s">
        <v>2664</v>
      </c>
      <c r="B799" s="14">
        <v>45680</v>
      </c>
      <c r="C799" s="13" t="s">
        <v>1792</v>
      </c>
      <c r="D799" s="13" t="s">
        <v>1789</v>
      </c>
      <c r="E799" s="15">
        <v>9543.66</v>
      </c>
      <c r="F799" s="13" t="s">
        <v>1997</v>
      </c>
    </row>
    <row r="800" spans="1:6" x14ac:dyDescent="0.25">
      <c r="A800" s="10" t="s">
        <v>2665</v>
      </c>
      <c r="B800" s="11">
        <v>45660</v>
      </c>
      <c r="C800" s="10" t="s">
        <v>1792</v>
      </c>
      <c r="D800" s="10" t="s">
        <v>1792</v>
      </c>
      <c r="E800" s="12">
        <v>13037.15</v>
      </c>
      <c r="F800" s="10" t="s">
        <v>2162</v>
      </c>
    </row>
    <row r="801" spans="1:6" x14ac:dyDescent="0.25">
      <c r="A801" s="13" t="s">
        <v>2666</v>
      </c>
      <c r="B801" s="14">
        <v>45662</v>
      </c>
      <c r="C801" s="13" t="s">
        <v>1792</v>
      </c>
      <c r="D801" s="13" t="s">
        <v>1795</v>
      </c>
      <c r="E801" s="15">
        <v>6084.16</v>
      </c>
      <c r="F801" s="13" t="s">
        <v>1970</v>
      </c>
    </row>
    <row r="802" spans="1:6" x14ac:dyDescent="0.25">
      <c r="A802" s="10" t="s">
        <v>2667</v>
      </c>
      <c r="B802" s="11">
        <v>45679</v>
      </c>
      <c r="C802" s="10" t="s">
        <v>1792</v>
      </c>
      <c r="D802" s="10" t="s">
        <v>1797</v>
      </c>
      <c r="E802" s="12">
        <v>5233.62</v>
      </c>
      <c r="F802" s="10" t="s">
        <v>1979</v>
      </c>
    </row>
    <row r="803" spans="1:6" x14ac:dyDescent="0.25">
      <c r="A803" s="13" t="s">
        <v>2668</v>
      </c>
      <c r="B803" s="14">
        <v>45683</v>
      </c>
      <c r="C803" s="13" t="s">
        <v>1862</v>
      </c>
      <c r="D803" s="13" t="s">
        <v>1775</v>
      </c>
      <c r="E803" s="15">
        <v>39601.879999999997</v>
      </c>
      <c r="F803" s="13" t="s">
        <v>2159</v>
      </c>
    </row>
    <row r="804" spans="1:6" x14ac:dyDescent="0.25">
      <c r="A804" s="10" t="s">
        <v>2669</v>
      </c>
      <c r="B804" s="11">
        <v>45660</v>
      </c>
      <c r="C804" s="10" t="s">
        <v>1862</v>
      </c>
      <c r="D804" s="10" t="s">
        <v>1778</v>
      </c>
      <c r="E804" s="12">
        <v>7973.57</v>
      </c>
      <c r="F804" s="10" t="s">
        <v>2192</v>
      </c>
    </row>
    <row r="805" spans="1:6" x14ac:dyDescent="0.25">
      <c r="A805" s="13" t="s">
        <v>2670</v>
      </c>
      <c r="B805" s="14">
        <v>45669</v>
      </c>
      <c r="C805" s="13" t="s">
        <v>1862</v>
      </c>
      <c r="D805" s="13" t="s">
        <v>1780</v>
      </c>
      <c r="E805" s="15">
        <v>3894.99</v>
      </c>
      <c r="F805" s="13" t="s">
        <v>2078</v>
      </c>
    </row>
    <row r="806" spans="1:6" x14ac:dyDescent="0.25">
      <c r="A806" s="10" t="s">
        <v>2671</v>
      </c>
      <c r="B806" s="11">
        <v>45662</v>
      </c>
      <c r="C806" s="10" t="s">
        <v>1862</v>
      </c>
      <c r="D806" s="10" t="s">
        <v>1783</v>
      </c>
      <c r="E806" s="12">
        <v>7284.94</v>
      </c>
      <c r="F806" s="10" t="s">
        <v>2005</v>
      </c>
    </row>
    <row r="807" spans="1:6" x14ac:dyDescent="0.25">
      <c r="A807" s="13" t="s">
        <v>2672</v>
      </c>
      <c r="B807" s="14">
        <v>45669</v>
      </c>
      <c r="C807" s="13" t="s">
        <v>1862</v>
      </c>
      <c r="D807" s="13" t="s">
        <v>1786</v>
      </c>
      <c r="E807" s="15">
        <v>7900.04</v>
      </c>
      <c r="F807" s="13" t="s">
        <v>1977</v>
      </c>
    </row>
    <row r="808" spans="1:6" x14ac:dyDescent="0.25">
      <c r="A808" s="10" t="s">
        <v>2673</v>
      </c>
      <c r="B808" s="11">
        <v>45672</v>
      </c>
      <c r="C808" s="10" t="s">
        <v>1862</v>
      </c>
      <c r="D808" s="10" t="s">
        <v>1789</v>
      </c>
      <c r="E808" s="12">
        <v>3838.22</v>
      </c>
      <c r="F808" s="10" t="s">
        <v>1985</v>
      </c>
    </row>
    <row r="809" spans="1:6" x14ac:dyDescent="0.25">
      <c r="A809" s="13" t="s">
        <v>2674</v>
      </c>
      <c r="B809" s="14">
        <v>45666</v>
      </c>
      <c r="C809" s="13" t="s">
        <v>1862</v>
      </c>
      <c r="D809" s="13" t="s">
        <v>1792</v>
      </c>
      <c r="E809" s="15">
        <v>7837.65</v>
      </c>
      <c r="F809" s="13" t="s">
        <v>1997</v>
      </c>
    </row>
    <row r="810" spans="1:6" x14ac:dyDescent="0.25">
      <c r="A810" s="10" t="s">
        <v>2675</v>
      </c>
      <c r="B810" s="11">
        <v>45658</v>
      </c>
      <c r="C810" s="10" t="s">
        <v>1862</v>
      </c>
      <c r="D810" s="10" t="s">
        <v>1795</v>
      </c>
      <c r="E810" s="12">
        <v>2911.45</v>
      </c>
      <c r="F810" s="10" t="s">
        <v>1935</v>
      </c>
    </row>
    <row r="811" spans="1:6" x14ac:dyDescent="0.25">
      <c r="A811" s="13" t="s">
        <v>2676</v>
      </c>
      <c r="B811" s="14">
        <v>45666</v>
      </c>
      <c r="C811" s="13" t="s">
        <v>1862</v>
      </c>
      <c r="D811" s="13" t="s">
        <v>1797</v>
      </c>
      <c r="E811" s="15">
        <v>2940.51</v>
      </c>
      <c r="F811" s="13" t="s">
        <v>2042</v>
      </c>
    </row>
    <row r="812" spans="1:6" x14ac:dyDescent="0.25">
      <c r="A812" s="10" t="s">
        <v>2677</v>
      </c>
      <c r="B812" s="11">
        <v>45678</v>
      </c>
      <c r="C812" s="10" t="s">
        <v>1877</v>
      </c>
      <c r="D812" s="10" t="s">
        <v>1775</v>
      </c>
      <c r="E812" s="12">
        <v>68941.070000000007</v>
      </c>
      <c r="F812" s="10" t="s">
        <v>1958</v>
      </c>
    </row>
    <row r="813" spans="1:6" x14ac:dyDescent="0.25">
      <c r="A813" s="13" t="s">
        <v>2678</v>
      </c>
      <c r="B813" s="14">
        <v>45658</v>
      </c>
      <c r="C813" s="13" t="s">
        <v>1877</v>
      </c>
      <c r="D813" s="13" t="s">
        <v>1778</v>
      </c>
      <c r="E813" s="15">
        <v>10936.78</v>
      </c>
      <c r="F813" s="13" t="s">
        <v>1820</v>
      </c>
    </row>
    <row r="814" spans="1:6" x14ac:dyDescent="0.25">
      <c r="A814" s="10" t="s">
        <v>2679</v>
      </c>
      <c r="B814" s="11">
        <v>45665</v>
      </c>
      <c r="C814" s="10" t="s">
        <v>1877</v>
      </c>
      <c r="D814" s="10" t="s">
        <v>1780</v>
      </c>
      <c r="E814" s="12">
        <v>7657.36</v>
      </c>
      <c r="F814" s="10" t="s">
        <v>1958</v>
      </c>
    </row>
    <row r="815" spans="1:6" x14ac:dyDescent="0.25">
      <c r="A815" s="13" t="s">
        <v>2680</v>
      </c>
      <c r="B815" s="14">
        <v>45667</v>
      </c>
      <c r="C815" s="13" t="s">
        <v>1877</v>
      </c>
      <c r="D815" s="13" t="s">
        <v>1783</v>
      </c>
      <c r="E815" s="15">
        <v>12061.84</v>
      </c>
      <c r="F815" s="13" t="s">
        <v>2005</v>
      </c>
    </row>
    <row r="816" spans="1:6" x14ac:dyDescent="0.25">
      <c r="A816" s="10" t="s">
        <v>2681</v>
      </c>
      <c r="B816" s="11">
        <v>45679</v>
      </c>
      <c r="C816" s="10" t="s">
        <v>1877</v>
      </c>
      <c r="D816" s="10" t="s">
        <v>1786</v>
      </c>
      <c r="E816" s="12">
        <v>9107.14</v>
      </c>
      <c r="F816" s="10" t="s">
        <v>2162</v>
      </c>
    </row>
    <row r="817" spans="1:6" x14ac:dyDescent="0.25">
      <c r="A817" s="13" t="s">
        <v>2682</v>
      </c>
      <c r="B817" s="14">
        <v>45659</v>
      </c>
      <c r="C817" s="13" t="s">
        <v>1877</v>
      </c>
      <c r="D817" s="13" t="s">
        <v>1789</v>
      </c>
      <c r="E817" s="15">
        <v>6245.57</v>
      </c>
      <c r="F817" s="13" t="s">
        <v>1793</v>
      </c>
    </row>
    <row r="818" spans="1:6" x14ac:dyDescent="0.25">
      <c r="A818" s="10" t="s">
        <v>2683</v>
      </c>
      <c r="B818" s="11">
        <v>45661</v>
      </c>
      <c r="C818" s="10" t="s">
        <v>1877</v>
      </c>
      <c r="D818" s="10" t="s">
        <v>1792</v>
      </c>
      <c r="E818" s="12">
        <v>10005.6</v>
      </c>
      <c r="F818" s="10" t="s">
        <v>2078</v>
      </c>
    </row>
    <row r="819" spans="1:6" x14ac:dyDescent="0.25">
      <c r="A819" s="13" t="s">
        <v>2684</v>
      </c>
      <c r="B819" s="14">
        <v>45674</v>
      </c>
      <c r="C819" s="13" t="s">
        <v>1877</v>
      </c>
      <c r="D819" s="13" t="s">
        <v>1795</v>
      </c>
      <c r="E819" s="15">
        <v>4223.66</v>
      </c>
      <c r="F819" s="13" t="s">
        <v>2186</v>
      </c>
    </row>
    <row r="820" spans="1:6" x14ac:dyDescent="0.25">
      <c r="A820" s="10" t="s">
        <v>2685</v>
      </c>
      <c r="B820" s="11">
        <v>45678</v>
      </c>
      <c r="C820" s="10" t="s">
        <v>1877</v>
      </c>
      <c r="D820" s="10" t="s">
        <v>1797</v>
      </c>
      <c r="E820" s="12">
        <v>4163.6899999999996</v>
      </c>
      <c r="F820" s="10" t="s">
        <v>1985</v>
      </c>
    </row>
    <row r="821" spans="1:6" x14ac:dyDescent="0.25">
      <c r="A821" s="13" t="s">
        <v>2686</v>
      </c>
      <c r="B821" s="14">
        <v>45705</v>
      </c>
      <c r="C821" s="13" t="s">
        <v>1774</v>
      </c>
      <c r="D821" s="13" t="s">
        <v>1775</v>
      </c>
      <c r="E821" s="15">
        <v>120841.2</v>
      </c>
      <c r="F821" s="13" t="s">
        <v>1901</v>
      </c>
    </row>
    <row r="822" spans="1:6" x14ac:dyDescent="0.25">
      <c r="A822" s="10" t="s">
        <v>2687</v>
      </c>
      <c r="B822" s="11">
        <v>45689</v>
      </c>
      <c r="C822" s="10" t="s">
        <v>1774</v>
      </c>
      <c r="D822" s="10" t="s">
        <v>1778</v>
      </c>
      <c r="E822" s="12">
        <v>24109.82</v>
      </c>
      <c r="F822" s="10" t="s">
        <v>1970</v>
      </c>
    </row>
    <row r="823" spans="1:6" x14ac:dyDescent="0.25">
      <c r="A823" s="13" t="s">
        <v>2688</v>
      </c>
      <c r="B823" s="14">
        <v>45690</v>
      </c>
      <c r="C823" s="13" t="s">
        <v>1774</v>
      </c>
      <c r="D823" s="13" t="s">
        <v>1780</v>
      </c>
      <c r="E823" s="15">
        <v>10495.98</v>
      </c>
      <c r="F823" s="13" t="s">
        <v>1898</v>
      </c>
    </row>
    <row r="824" spans="1:6" x14ac:dyDescent="0.25">
      <c r="A824" s="10" t="s">
        <v>2689</v>
      </c>
      <c r="B824" s="11">
        <v>45700</v>
      </c>
      <c r="C824" s="10" t="s">
        <v>1774</v>
      </c>
      <c r="D824" s="10" t="s">
        <v>1783</v>
      </c>
      <c r="E824" s="12">
        <v>19719.82</v>
      </c>
      <c r="F824" s="10" t="s">
        <v>1990</v>
      </c>
    </row>
    <row r="825" spans="1:6" x14ac:dyDescent="0.25">
      <c r="A825" s="13" t="s">
        <v>2690</v>
      </c>
      <c r="B825" s="14">
        <v>45704</v>
      </c>
      <c r="C825" s="13" t="s">
        <v>1774</v>
      </c>
      <c r="D825" s="13" t="s">
        <v>1786</v>
      </c>
      <c r="E825" s="15">
        <v>18693.64</v>
      </c>
      <c r="F825" s="13" t="s">
        <v>1939</v>
      </c>
    </row>
    <row r="826" spans="1:6" x14ac:dyDescent="0.25">
      <c r="A826" s="10" t="s">
        <v>2691</v>
      </c>
      <c r="B826" s="11">
        <v>45715</v>
      </c>
      <c r="C826" s="10" t="s">
        <v>1774</v>
      </c>
      <c r="D826" s="10" t="s">
        <v>1789</v>
      </c>
      <c r="E826" s="12">
        <v>12747.99</v>
      </c>
      <c r="F826" s="10" t="s">
        <v>1924</v>
      </c>
    </row>
    <row r="827" spans="1:6" x14ac:dyDescent="0.25">
      <c r="A827" s="13" t="s">
        <v>2692</v>
      </c>
      <c r="B827" s="14">
        <v>45711</v>
      </c>
      <c r="C827" s="13" t="s">
        <v>1774</v>
      </c>
      <c r="D827" s="13" t="s">
        <v>1792</v>
      </c>
      <c r="E827" s="15">
        <v>19108.29</v>
      </c>
      <c r="F827" s="13" t="s">
        <v>1806</v>
      </c>
    </row>
    <row r="828" spans="1:6" x14ac:dyDescent="0.25">
      <c r="A828" s="10" t="s">
        <v>2693</v>
      </c>
      <c r="B828" s="11">
        <v>45699</v>
      </c>
      <c r="C828" s="10" t="s">
        <v>1774</v>
      </c>
      <c r="D828" s="10" t="s">
        <v>1795</v>
      </c>
      <c r="E828" s="12">
        <v>6585.27</v>
      </c>
      <c r="F828" s="10" t="s">
        <v>1863</v>
      </c>
    </row>
    <row r="829" spans="1:6" x14ac:dyDescent="0.25">
      <c r="A829" s="13" t="s">
        <v>2694</v>
      </c>
      <c r="B829" s="14">
        <v>45708</v>
      </c>
      <c r="C829" s="13" t="s">
        <v>1774</v>
      </c>
      <c r="D829" s="13" t="s">
        <v>1797</v>
      </c>
      <c r="E829" s="15">
        <v>7745.64</v>
      </c>
      <c r="F829" s="13" t="s">
        <v>2128</v>
      </c>
    </row>
    <row r="830" spans="1:6" x14ac:dyDescent="0.25">
      <c r="A830" s="10" t="s">
        <v>2695</v>
      </c>
      <c r="B830" s="11">
        <v>45706</v>
      </c>
      <c r="C830" s="10" t="s">
        <v>1799</v>
      </c>
      <c r="D830" s="10" t="s">
        <v>1775</v>
      </c>
      <c r="E830" s="12">
        <v>43285.11</v>
      </c>
      <c r="F830" s="10" t="s">
        <v>1958</v>
      </c>
    </row>
    <row r="831" spans="1:6" x14ac:dyDescent="0.25">
      <c r="A831" s="13" t="s">
        <v>2696</v>
      </c>
      <c r="B831" s="14">
        <v>45712</v>
      </c>
      <c r="C831" s="13" t="s">
        <v>1799</v>
      </c>
      <c r="D831" s="13" t="s">
        <v>1778</v>
      </c>
      <c r="E831" s="15">
        <v>9186.2900000000009</v>
      </c>
      <c r="F831" s="13" t="s">
        <v>1946</v>
      </c>
    </row>
    <row r="832" spans="1:6" x14ac:dyDescent="0.25">
      <c r="A832" s="10" t="s">
        <v>2697</v>
      </c>
      <c r="B832" s="11">
        <v>45710</v>
      </c>
      <c r="C832" s="10" t="s">
        <v>1799</v>
      </c>
      <c r="D832" s="10" t="s">
        <v>1780</v>
      </c>
      <c r="E832" s="12">
        <v>5449.11</v>
      </c>
      <c r="F832" s="10" t="s">
        <v>1833</v>
      </c>
    </row>
    <row r="833" spans="1:6" x14ac:dyDescent="0.25">
      <c r="A833" s="13" t="s">
        <v>2698</v>
      </c>
      <c r="B833" s="14">
        <v>45690</v>
      </c>
      <c r="C833" s="13" t="s">
        <v>1799</v>
      </c>
      <c r="D833" s="13" t="s">
        <v>1783</v>
      </c>
      <c r="E833" s="15">
        <v>7485.16</v>
      </c>
      <c r="F833" s="13" t="s">
        <v>1886</v>
      </c>
    </row>
    <row r="834" spans="1:6" x14ac:dyDescent="0.25">
      <c r="A834" s="10" t="s">
        <v>2699</v>
      </c>
      <c r="B834" s="11">
        <v>45691</v>
      </c>
      <c r="C834" s="10" t="s">
        <v>1799</v>
      </c>
      <c r="D834" s="10" t="s">
        <v>1786</v>
      </c>
      <c r="E834" s="12">
        <v>7269.73</v>
      </c>
      <c r="F834" s="10" t="s">
        <v>1917</v>
      </c>
    </row>
    <row r="835" spans="1:6" x14ac:dyDescent="0.25">
      <c r="A835" s="13" t="s">
        <v>2700</v>
      </c>
      <c r="B835" s="14">
        <v>45706</v>
      </c>
      <c r="C835" s="13" t="s">
        <v>1799</v>
      </c>
      <c r="D835" s="13" t="s">
        <v>1789</v>
      </c>
      <c r="E835" s="15">
        <v>4054.31</v>
      </c>
      <c r="F835" s="13" t="s">
        <v>2005</v>
      </c>
    </row>
    <row r="836" spans="1:6" x14ac:dyDescent="0.25">
      <c r="A836" s="10" t="s">
        <v>2701</v>
      </c>
      <c r="B836" s="11">
        <v>45699</v>
      </c>
      <c r="C836" s="10" t="s">
        <v>1799</v>
      </c>
      <c r="D836" s="10" t="s">
        <v>1792</v>
      </c>
      <c r="E836" s="12">
        <v>7290.84</v>
      </c>
      <c r="F836" s="10" t="s">
        <v>2192</v>
      </c>
    </row>
    <row r="837" spans="1:6" x14ac:dyDescent="0.25">
      <c r="A837" s="13" t="s">
        <v>2702</v>
      </c>
      <c r="B837" s="14">
        <v>45708</v>
      </c>
      <c r="C837" s="13" t="s">
        <v>1799</v>
      </c>
      <c r="D837" s="13" t="s">
        <v>1795</v>
      </c>
      <c r="E837" s="15">
        <v>2681.25</v>
      </c>
      <c r="F837" s="13" t="s">
        <v>1901</v>
      </c>
    </row>
    <row r="838" spans="1:6" x14ac:dyDescent="0.25">
      <c r="A838" s="10" t="s">
        <v>2703</v>
      </c>
      <c r="B838" s="11">
        <v>45714</v>
      </c>
      <c r="C838" s="10" t="s">
        <v>1799</v>
      </c>
      <c r="D838" s="10" t="s">
        <v>1797</v>
      </c>
      <c r="E838" s="12">
        <v>3082.87</v>
      </c>
      <c r="F838" s="10" t="s">
        <v>1990</v>
      </c>
    </row>
    <row r="839" spans="1:6" x14ac:dyDescent="0.25">
      <c r="A839" s="13" t="s">
        <v>2704</v>
      </c>
      <c r="B839" s="14">
        <v>45709</v>
      </c>
      <c r="C839" s="13" t="s">
        <v>1818</v>
      </c>
      <c r="D839" s="13" t="s">
        <v>1775</v>
      </c>
      <c r="E839" s="15">
        <v>38795.58</v>
      </c>
      <c r="F839" s="13" t="s">
        <v>1891</v>
      </c>
    </row>
    <row r="840" spans="1:6" x14ac:dyDescent="0.25">
      <c r="A840" s="10" t="s">
        <v>2705</v>
      </c>
      <c r="B840" s="11">
        <v>45710</v>
      </c>
      <c r="C840" s="10" t="s">
        <v>1818</v>
      </c>
      <c r="D840" s="10" t="s">
        <v>1778</v>
      </c>
      <c r="E840" s="12">
        <v>8408.4</v>
      </c>
      <c r="F840" s="10" t="s">
        <v>1822</v>
      </c>
    </row>
    <row r="841" spans="1:6" x14ac:dyDescent="0.25">
      <c r="A841" s="13" t="s">
        <v>2706</v>
      </c>
      <c r="B841" s="14">
        <v>45690</v>
      </c>
      <c r="C841" s="13" t="s">
        <v>1818</v>
      </c>
      <c r="D841" s="13" t="s">
        <v>1780</v>
      </c>
      <c r="E841" s="15">
        <v>4183.6400000000003</v>
      </c>
      <c r="F841" s="13" t="s">
        <v>1850</v>
      </c>
    </row>
    <row r="842" spans="1:6" x14ac:dyDescent="0.25">
      <c r="A842" s="10" t="s">
        <v>2707</v>
      </c>
      <c r="B842" s="11">
        <v>45691</v>
      </c>
      <c r="C842" s="10" t="s">
        <v>1818</v>
      </c>
      <c r="D842" s="10" t="s">
        <v>1783</v>
      </c>
      <c r="E842" s="12">
        <v>5171.46</v>
      </c>
      <c r="F842" s="10" t="s">
        <v>1806</v>
      </c>
    </row>
    <row r="843" spans="1:6" x14ac:dyDescent="0.25">
      <c r="A843" s="13" t="s">
        <v>2708</v>
      </c>
      <c r="B843" s="14">
        <v>45692</v>
      </c>
      <c r="C843" s="13" t="s">
        <v>1818</v>
      </c>
      <c r="D843" s="13" t="s">
        <v>1786</v>
      </c>
      <c r="E843" s="15">
        <v>6764.47</v>
      </c>
      <c r="F843" s="13" t="s">
        <v>1875</v>
      </c>
    </row>
    <row r="844" spans="1:6" x14ac:dyDescent="0.25">
      <c r="A844" s="10" t="s">
        <v>2709</v>
      </c>
      <c r="B844" s="11">
        <v>45704</v>
      </c>
      <c r="C844" s="10" t="s">
        <v>1818</v>
      </c>
      <c r="D844" s="10" t="s">
        <v>1789</v>
      </c>
      <c r="E844" s="12">
        <v>3539.43</v>
      </c>
      <c r="F844" s="10" t="s">
        <v>2411</v>
      </c>
    </row>
    <row r="845" spans="1:6" x14ac:dyDescent="0.25">
      <c r="A845" s="13" t="s">
        <v>2710</v>
      </c>
      <c r="B845" s="14">
        <v>45711</v>
      </c>
      <c r="C845" s="13" t="s">
        <v>1818</v>
      </c>
      <c r="D845" s="13" t="s">
        <v>1792</v>
      </c>
      <c r="E845" s="15">
        <v>6872.33</v>
      </c>
      <c r="F845" s="13" t="s">
        <v>1852</v>
      </c>
    </row>
    <row r="846" spans="1:6" x14ac:dyDescent="0.25">
      <c r="A846" s="10" t="s">
        <v>2711</v>
      </c>
      <c r="B846" s="11">
        <v>45700</v>
      </c>
      <c r="C846" s="10" t="s">
        <v>1818</v>
      </c>
      <c r="D846" s="10" t="s">
        <v>1795</v>
      </c>
      <c r="E846" s="12">
        <v>2525.59</v>
      </c>
      <c r="F846" s="10" t="s">
        <v>1927</v>
      </c>
    </row>
    <row r="847" spans="1:6" x14ac:dyDescent="0.25">
      <c r="A847" s="13" t="s">
        <v>2712</v>
      </c>
      <c r="B847" s="14">
        <v>45691</v>
      </c>
      <c r="C847" s="13" t="s">
        <v>1818</v>
      </c>
      <c r="D847" s="13" t="s">
        <v>1797</v>
      </c>
      <c r="E847" s="15">
        <v>2252.56</v>
      </c>
      <c r="F847" s="13" t="s">
        <v>1939</v>
      </c>
    </row>
    <row r="848" spans="1:6" x14ac:dyDescent="0.25">
      <c r="A848" s="10" t="s">
        <v>2713</v>
      </c>
      <c r="B848" s="11">
        <v>45697</v>
      </c>
      <c r="C848" s="10" t="s">
        <v>1786</v>
      </c>
      <c r="D848" s="10" t="s">
        <v>1775</v>
      </c>
      <c r="E848" s="12">
        <v>86941.9</v>
      </c>
      <c r="F848" s="10" t="s">
        <v>1833</v>
      </c>
    </row>
    <row r="849" spans="1:6" x14ac:dyDescent="0.25">
      <c r="A849" s="13" t="s">
        <v>2714</v>
      </c>
      <c r="B849" s="14">
        <v>45693</v>
      </c>
      <c r="C849" s="13" t="s">
        <v>1786</v>
      </c>
      <c r="D849" s="13" t="s">
        <v>1778</v>
      </c>
      <c r="E849" s="15">
        <v>12654.91</v>
      </c>
      <c r="F849" s="13" t="s">
        <v>1812</v>
      </c>
    </row>
    <row r="850" spans="1:6" x14ac:dyDescent="0.25">
      <c r="A850" s="10" t="s">
        <v>2715</v>
      </c>
      <c r="B850" s="11">
        <v>45702</v>
      </c>
      <c r="C850" s="10" t="s">
        <v>1786</v>
      </c>
      <c r="D850" s="10" t="s">
        <v>1780</v>
      </c>
      <c r="E850" s="12">
        <v>6803.29</v>
      </c>
      <c r="F850" s="10" t="s">
        <v>1880</v>
      </c>
    </row>
    <row r="851" spans="1:6" x14ac:dyDescent="0.25">
      <c r="A851" s="13" t="s">
        <v>2716</v>
      </c>
      <c r="B851" s="14">
        <v>45691</v>
      </c>
      <c r="C851" s="13" t="s">
        <v>1786</v>
      </c>
      <c r="D851" s="13" t="s">
        <v>1783</v>
      </c>
      <c r="E851" s="15">
        <v>14016.11</v>
      </c>
      <c r="F851" s="13" t="s">
        <v>2113</v>
      </c>
    </row>
    <row r="852" spans="1:6" x14ac:dyDescent="0.25">
      <c r="A852" s="10" t="s">
        <v>2717</v>
      </c>
      <c r="B852" s="11">
        <v>45709</v>
      </c>
      <c r="C852" s="10" t="s">
        <v>1786</v>
      </c>
      <c r="D852" s="10" t="s">
        <v>1786</v>
      </c>
      <c r="E852" s="12">
        <v>11328.6</v>
      </c>
      <c r="F852" s="10" t="s">
        <v>1781</v>
      </c>
    </row>
    <row r="853" spans="1:6" x14ac:dyDescent="0.25">
      <c r="A853" s="13" t="s">
        <v>2718</v>
      </c>
      <c r="B853" s="14">
        <v>45689</v>
      </c>
      <c r="C853" s="13" t="s">
        <v>1786</v>
      </c>
      <c r="D853" s="13" t="s">
        <v>1789</v>
      </c>
      <c r="E853" s="15">
        <v>6342.39</v>
      </c>
      <c r="F853" s="13" t="s">
        <v>1880</v>
      </c>
    </row>
    <row r="854" spans="1:6" x14ac:dyDescent="0.25">
      <c r="A854" s="10" t="s">
        <v>2719</v>
      </c>
      <c r="B854" s="11">
        <v>45710</v>
      </c>
      <c r="C854" s="10" t="s">
        <v>1786</v>
      </c>
      <c r="D854" s="10" t="s">
        <v>1792</v>
      </c>
      <c r="E854" s="12">
        <v>10265.459999999999</v>
      </c>
      <c r="F854" s="10" t="s">
        <v>1990</v>
      </c>
    </row>
    <row r="855" spans="1:6" x14ac:dyDescent="0.25">
      <c r="A855" s="13" t="s">
        <v>2720</v>
      </c>
      <c r="B855" s="14">
        <v>45709</v>
      </c>
      <c r="C855" s="13" t="s">
        <v>1786</v>
      </c>
      <c r="D855" s="13" t="s">
        <v>1795</v>
      </c>
      <c r="E855" s="15">
        <v>5170.8500000000004</v>
      </c>
      <c r="F855" s="13" t="s">
        <v>2074</v>
      </c>
    </row>
    <row r="856" spans="1:6" x14ac:dyDescent="0.25">
      <c r="A856" s="10" t="s">
        <v>2721</v>
      </c>
      <c r="B856" s="11">
        <v>45689</v>
      </c>
      <c r="C856" s="10" t="s">
        <v>1786</v>
      </c>
      <c r="D856" s="10" t="s">
        <v>1797</v>
      </c>
      <c r="E856" s="12">
        <v>4895.32</v>
      </c>
      <c r="F856" s="10" t="s">
        <v>1970</v>
      </c>
    </row>
    <row r="857" spans="1:6" x14ac:dyDescent="0.25">
      <c r="A857" s="13" t="s">
        <v>2722</v>
      </c>
      <c r="B857" s="14">
        <v>45709</v>
      </c>
      <c r="C857" s="13" t="s">
        <v>1792</v>
      </c>
      <c r="D857" s="13" t="s">
        <v>1775</v>
      </c>
      <c r="E857" s="15">
        <v>104752.19</v>
      </c>
      <c r="F857" s="13" t="s">
        <v>1830</v>
      </c>
    </row>
    <row r="858" spans="1:6" x14ac:dyDescent="0.25">
      <c r="A858" s="10" t="s">
        <v>2723</v>
      </c>
      <c r="B858" s="11">
        <v>45691</v>
      </c>
      <c r="C858" s="10" t="s">
        <v>1792</v>
      </c>
      <c r="D858" s="10" t="s">
        <v>1778</v>
      </c>
      <c r="E858" s="12">
        <v>16802.82</v>
      </c>
      <c r="F858" s="10" t="s">
        <v>1906</v>
      </c>
    </row>
    <row r="859" spans="1:6" x14ac:dyDescent="0.25">
      <c r="A859" s="13" t="s">
        <v>2724</v>
      </c>
      <c r="B859" s="14">
        <v>45707</v>
      </c>
      <c r="C859" s="13" t="s">
        <v>1792</v>
      </c>
      <c r="D859" s="13" t="s">
        <v>1780</v>
      </c>
      <c r="E859" s="15">
        <v>8022.11</v>
      </c>
      <c r="F859" s="13" t="s">
        <v>1787</v>
      </c>
    </row>
    <row r="860" spans="1:6" x14ac:dyDescent="0.25">
      <c r="A860" s="10" t="s">
        <v>2725</v>
      </c>
      <c r="B860" s="11">
        <v>45696</v>
      </c>
      <c r="C860" s="10" t="s">
        <v>1792</v>
      </c>
      <c r="D860" s="10" t="s">
        <v>1783</v>
      </c>
      <c r="E860" s="12">
        <v>13556.19</v>
      </c>
      <c r="F860" s="10" t="s">
        <v>1904</v>
      </c>
    </row>
    <row r="861" spans="1:6" x14ac:dyDescent="0.25">
      <c r="A861" s="13" t="s">
        <v>2726</v>
      </c>
      <c r="B861" s="14">
        <v>45698</v>
      </c>
      <c r="C861" s="13" t="s">
        <v>1792</v>
      </c>
      <c r="D861" s="13" t="s">
        <v>1786</v>
      </c>
      <c r="E861" s="15">
        <v>16905.599999999999</v>
      </c>
      <c r="F861" s="13" t="s">
        <v>1935</v>
      </c>
    </row>
    <row r="862" spans="1:6" x14ac:dyDescent="0.25">
      <c r="A862" s="10" t="s">
        <v>2727</v>
      </c>
      <c r="B862" s="11">
        <v>45700</v>
      </c>
      <c r="C862" s="10" t="s">
        <v>1792</v>
      </c>
      <c r="D862" s="10" t="s">
        <v>1789</v>
      </c>
      <c r="E862" s="12">
        <v>9110.7099999999991</v>
      </c>
      <c r="F862" s="10" t="s">
        <v>2128</v>
      </c>
    </row>
    <row r="863" spans="1:6" x14ac:dyDescent="0.25">
      <c r="A863" s="13" t="s">
        <v>2728</v>
      </c>
      <c r="B863" s="14">
        <v>45694</v>
      </c>
      <c r="C863" s="13" t="s">
        <v>1792</v>
      </c>
      <c r="D863" s="13" t="s">
        <v>1792</v>
      </c>
      <c r="E863" s="15">
        <v>13289.47</v>
      </c>
      <c r="F863" s="13" t="s">
        <v>1970</v>
      </c>
    </row>
    <row r="864" spans="1:6" x14ac:dyDescent="0.25">
      <c r="A864" s="10" t="s">
        <v>2729</v>
      </c>
      <c r="B864" s="11">
        <v>45713</v>
      </c>
      <c r="C864" s="10" t="s">
        <v>1792</v>
      </c>
      <c r="D864" s="10" t="s">
        <v>1795</v>
      </c>
      <c r="E864" s="12">
        <v>6020.76</v>
      </c>
      <c r="F864" s="10" t="s">
        <v>1844</v>
      </c>
    </row>
    <row r="865" spans="1:6" x14ac:dyDescent="0.25">
      <c r="A865" s="13" t="s">
        <v>2730</v>
      </c>
      <c r="B865" s="14">
        <v>45694</v>
      </c>
      <c r="C865" s="13" t="s">
        <v>1792</v>
      </c>
      <c r="D865" s="13" t="s">
        <v>1797</v>
      </c>
      <c r="E865" s="15">
        <v>6347.64</v>
      </c>
      <c r="F865" s="13" t="s">
        <v>1917</v>
      </c>
    </row>
    <row r="866" spans="1:6" x14ac:dyDescent="0.25">
      <c r="A866" s="10" t="s">
        <v>2731</v>
      </c>
      <c r="B866" s="11">
        <v>45709</v>
      </c>
      <c r="C866" s="10" t="s">
        <v>1862</v>
      </c>
      <c r="D866" s="10" t="s">
        <v>1775</v>
      </c>
      <c r="E866" s="12">
        <v>46665.17</v>
      </c>
      <c r="F866" s="10" t="s">
        <v>2078</v>
      </c>
    </row>
    <row r="867" spans="1:6" x14ac:dyDescent="0.25">
      <c r="A867" s="13" t="s">
        <v>2732</v>
      </c>
      <c r="B867" s="14">
        <v>45689</v>
      </c>
      <c r="C867" s="13" t="s">
        <v>1862</v>
      </c>
      <c r="D867" s="13" t="s">
        <v>1778</v>
      </c>
      <c r="E867" s="15">
        <v>7392.91</v>
      </c>
      <c r="F867" s="13" t="s">
        <v>1793</v>
      </c>
    </row>
    <row r="868" spans="1:6" x14ac:dyDescent="0.25">
      <c r="A868" s="10" t="s">
        <v>2733</v>
      </c>
      <c r="B868" s="11">
        <v>45700</v>
      </c>
      <c r="C868" s="10" t="s">
        <v>1862</v>
      </c>
      <c r="D868" s="10" t="s">
        <v>1780</v>
      </c>
      <c r="E868" s="12">
        <v>5111.3999999999996</v>
      </c>
      <c r="F868" s="10" t="s">
        <v>1824</v>
      </c>
    </row>
    <row r="869" spans="1:6" x14ac:dyDescent="0.25">
      <c r="A869" s="13" t="s">
        <v>2734</v>
      </c>
      <c r="B869" s="14">
        <v>45708</v>
      </c>
      <c r="C869" s="13" t="s">
        <v>1862</v>
      </c>
      <c r="D869" s="13" t="s">
        <v>1783</v>
      </c>
      <c r="E869" s="15">
        <v>7930.63</v>
      </c>
      <c r="F869" s="13" t="s">
        <v>1924</v>
      </c>
    </row>
    <row r="870" spans="1:6" x14ac:dyDescent="0.25">
      <c r="A870" s="10" t="s">
        <v>2735</v>
      </c>
      <c r="B870" s="11">
        <v>45706</v>
      </c>
      <c r="C870" s="10" t="s">
        <v>1862</v>
      </c>
      <c r="D870" s="10" t="s">
        <v>1786</v>
      </c>
      <c r="E870" s="12">
        <v>7205.44</v>
      </c>
      <c r="F870" s="10" t="s">
        <v>1882</v>
      </c>
    </row>
    <row r="871" spans="1:6" x14ac:dyDescent="0.25">
      <c r="A871" s="13" t="s">
        <v>2736</v>
      </c>
      <c r="B871" s="14">
        <v>45711</v>
      </c>
      <c r="C871" s="13" t="s">
        <v>1862</v>
      </c>
      <c r="D871" s="13" t="s">
        <v>1789</v>
      </c>
      <c r="E871" s="15">
        <v>4743.1099999999997</v>
      </c>
      <c r="F871" s="13" t="s">
        <v>1852</v>
      </c>
    </row>
    <row r="872" spans="1:6" x14ac:dyDescent="0.25">
      <c r="A872" s="10" t="s">
        <v>2737</v>
      </c>
      <c r="B872" s="11">
        <v>45689</v>
      </c>
      <c r="C872" s="10" t="s">
        <v>1862</v>
      </c>
      <c r="D872" s="10" t="s">
        <v>1792</v>
      </c>
      <c r="E872" s="12">
        <v>8156.7</v>
      </c>
      <c r="F872" s="10" t="s">
        <v>1863</v>
      </c>
    </row>
    <row r="873" spans="1:6" x14ac:dyDescent="0.25">
      <c r="A873" s="13" t="s">
        <v>2738</v>
      </c>
      <c r="B873" s="14">
        <v>45707</v>
      </c>
      <c r="C873" s="13" t="s">
        <v>1862</v>
      </c>
      <c r="D873" s="13" t="s">
        <v>1795</v>
      </c>
      <c r="E873" s="15">
        <v>2361.14</v>
      </c>
      <c r="F873" s="13" t="s">
        <v>1784</v>
      </c>
    </row>
    <row r="874" spans="1:6" x14ac:dyDescent="0.25">
      <c r="A874" s="10" t="s">
        <v>2739</v>
      </c>
      <c r="B874" s="11">
        <v>45700</v>
      </c>
      <c r="C874" s="10" t="s">
        <v>1862</v>
      </c>
      <c r="D874" s="10" t="s">
        <v>1797</v>
      </c>
      <c r="E874" s="12">
        <v>2662.67</v>
      </c>
      <c r="F874" s="10" t="s">
        <v>1958</v>
      </c>
    </row>
    <row r="875" spans="1:6" x14ac:dyDescent="0.25">
      <c r="A875" s="13" t="s">
        <v>2740</v>
      </c>
      <c r="B875" s="14">
        <v>45713</v>
      </c>
      <c r="C875" s="13" t="s">
        <v>1877</v>
      </c>
      <c r="D875" s="13" t="s">
        <v>1775</v>
      </c>
      <c r="E875" s="15">
        <v>69568.350000000006</v>
      </c>
      <c r="F875" s="13" t="s">
        <v>1884</v>
      </c>
    </row>
    <row r="876" spans="1:6" x14ac:dyDescent="0.25">
      <c r="A876" s="10" t="s">
        <v>2741</v>
      </c>
      <c r="B876" s="11">
        <v>45697</v>
      </c>
      <c r="C876" s="10" t="s">
        <v>1877</v>
      </c>
      <c r="D876" s="10" t="s">
        <v>1778</v>
      </c>
      <c r="E876" s="12">
        <v>11780.86</v>
      </c>
      <c r="F876" s="10" t="s">
        <v>2093</v>
      </c>
    </row>
    <row r="877" spans="1:6" x14ac:dyDescent="0.25">
      <c r="A877" s="13" t="s">
        <v>2742</v>
      </c>
      <c r="B877" s="14">
        <v>45697</v>
      </c>
      <c r="C877" s="13" t="s">
        <v>1877</v>
      </c>
      <c r="D877" s="13" t="s">
        <v>1780</v>
      </c>
      <c r="E877" s="15">
        <v>6417.94</v>
      </c>
      <c r="F877" s="13" t="s">
        <v>1852</v>
      </c>
    </row>
    <row r="878" spans="1:6" x14ac:dyDescent="0.25">
      <c r="A878" s="10" t="s">
        <v>2743</v>
      </c>
      <c r="B878" s="11">
        <v>45700</v>
      </c>
      <c r="C878" s="10" t="s">
        <v>1877</v>
      </c>
      <c r="D878" s="10" t="s">
        <v>1783</v>
      </c>
      <c r="E878" s="12">
        <v>10613.1</v>
      </c>
      <c r="F878" s="10" t="s">
        <v>1880</v>
      </c>
    </row>
    <row r="879" spans="1:6" x14ac:dyDescent="0.25">
      <c r="A879" s="13" t="s">
        <v>2744</v>
      </c>
      <c r="B879" s="14">
        <v>45712</v>
      </c>
      <c r="C879" s="13" t="s">
        <v>1877</v>
      </c>
      <c r="D879" s="13" t="s">
        <v>1786</v>
      </c>
      <c r="E879" s="15">
        <v>9764.08</v>
      </c>
      <c r="F879" s="13" t="s">
        <v>1960</v>
      </c>
    </row>
    <row r="880" spans="1:6" x14ac:dyDescent="0.25">
      <c r="A880" s="10" t="s">
        <v>2745</v>
      </c>
      <c r="B880" s="11">
        <v>45703</v>
      </c>
      <c r="C880" s="10" t="s">
        <v>1877</v>
      </c>
      <c r="D880" s="10" t="s">
        <v>1789</v>
      </c>
      <c r="E880" s="12">
        <v>7158.36</v>
      </c>
      <c r="F880" s="10" t="s">
        <v>1787</v>
      </c>
    </row>
    <row r="881" spans="1:6" x14ac:dyDescent="0.25">
      <c r="A881" s="13" t="s">
        <v>2746</v>
      </c>
      <c r="B881" s="14">
        <v>45694</v>
      </c>
      <c r="C881" s="13" t="s">
        <v>1877</v>
      </c>
      <c r="D881" s="13" t="s">
        <v>1792</v>
      </c>
      <c r="E881" s="15">
        <v>11797.29</v>
      </c>
      <c r="F881" s="13" t="s">
        <v>2186</v>
      </c>
    </row>
    <row r="882" spans="1:6" x14ac:dyDescent="0.25">
      <c r="A882" s="10" t="s">
        <v>2747</v>
      </c>
      <c r="B882" s="11">
        <v>45699</v>
      </c>
      <c r="C882" s="10" t="s">
        <v>1877</v>
      </c>
      <c r="D882" s="10" t="s">
        <v>1795</v>
      </c>
      <c r="E882" s="12">
        <v>3961.05</v>
      </c>
      <c r="F882" s="10" t="s">
        <v>1822</v>
      </c>
    </row>
    <row r="883" spans="1:6" x14ac:dyDescent="0.25">
      <c r="A883" s="13" t="s">
        <v>2748</v>
      </c>
      <c r="B883" s="14">
        <v>45692</v>
      </c>
      <c r="C883" s="13" t="s">
        <v>1877</v>
      </c>
      <c r="D883" s="13" t="s">
        <v>1797</v>
      </c>
      <c r="E883" s="15">
        <v>4090.12</v>
      </c>
      <c r="F883" s="13" t="s">
        <v>1970</v>
      </c>
    </row>
    <row r="884" spans="1:6" x14ac:dyDescent="0.25">
      <c r="A884" s="10" t="s">
        <v>2749</v>
      </c>
      <c r="B884" s="11">
        <v>45739</v>
      </c>
      <c r="C884" s="10" t="s">
        <v>1774</v>
      </c>
      <c r="D884" s="10" t="s">
        <v>1775</v>
      </c>
      <c r="E884" s="12">
        <v>98005.68</v>
      </c>
      <c r="F884" s="10" t="s">
        <v>1833</v>
      </c>
    </row>
    <row r="885" spans="1:6" x14ac:dyDescent="0.25">
      <c r="A885" s="13" t="s">
        <v>2750</v>
      </c>
      <c r="B885" s="14">
        <v>45726</v>
      </c>
      <c r="C885" s="13" t="s">
        <v>1774</v>
      </c>
      <c r="D885" s="13" t="s">
        <v>1778</v>
      </c>
      <c r="E885" s="15">
        <v>20123.34</v>
      </c>
      <c r="F885" s="13" t="s">
        <v>1802</v>
      </c>
    </row>
    <row r="886" spans="1:6" x14ac:dyDescent="0.25">
      <c r="A886" s="10" t="s">
        <v>2751</v>
      </c>
      <c r="B886" s="11">
        <v>45725</v>
      </c>
      <c r="C886" s="10" t="s">
        <v>1774</v>
      </c>
      <c r="D886" s="10" t="s">
        <v>1780</v>
      </c>
      <c r="E886" s="12">
        <v>13353.56</v>
      </c>
      <c r="F886" s="10" t="s">
        <v>1787</v>
      </c>
    </row>
    <row r="887" spans="1:6" x14ac:dyDescent="0.25">
      <c r="A887" s="13" t="s">
        <v>2752</v>
      </c>
      <c r="B887" s="14">
        <v>45732</v>
      </c>
      <c r="C887" s="13" t="s">
        <v>1774</v>
      </c>
      <c r="D887" s="13" t="s">
        <v>1783</v>
      </c>
      <c r="E887" s="15">
        <v>17790.830000000002</v>
      </c>
      <c r="F887" s="13" t="s">
        <v>1970</v>
      </c>
    </row>
    <row r="888" spans="1:6" x14ac:dyDescent="0.25">
      <c r="A888" s="10" t="s">
        <v>2753</v>
      </c>
      <c r="B888" s="11">
        <v>45720</v>
      </c>
      <c r="C888" s="10" t="s">
        <v>1774</v>
      </c>
      <c r="D888" s="10" t="s">
        <v>1786</v>
      </c>
      <c r="E888" s="12">
        <v>19366.060000000001</v>
      </c>
      <c r="F888" s="10" t="s">
        <v>1781</v>
      </c>
    </row>
    <row r="889" spans="1:6" x14ac:dyDescent="0.25">
      <c r="A889" s="13" t="s">
        <v>2754</v>
      </c>
      <c r="B889" s="14">
        <v>45718</v>
      </c>
      <c r="C889" s="13" t="s">
        <v>1774</v>
      </c>
      <c r="D889" s="13" t="s">
        <v>1789</v>
      </c>
      <c r="E889" s="15">
        <v>11194.55</v>
      </c>
      <c r="F889" s="13" t="s">
        <v>1800</v>
      </c>
    </row>
    <row r="890" spans="1:6" x14ac:dyDescent="0.25">
      <c r="A890" s="10" t="s">
        <v>2755</v>
      </c>
      <c r="B890" s="11">
        <v>45717</v>
      </c>
      <c r="C890" s="10" t="s">
        <v>1774</v>
      </c>
      <c r="D890" s="10" t="s">
        <v>1792</v>
      </c>
      <c r="E890" s="12">
        <v>15369.01</v>
      </c>
      <c r="F890" s="10" t="s">
        <v>1880</v>
      </c>
    </row>
    <row r="891" spans="1:6" x14ac:dyDescent="0.25">
      <c r="A891" s="13" t="s">
        <v>2756</v>
      </c>
      <c r="B891" s="14">
        <v>45736</v>
      </c>
      <c r="C891" s="13" t="s">
        <v>1774</v>
      </c>
      <c r="D891" s="13" t="s">
        <v>1795</v>
      </c>
      <c r="E891" s="15">
        <v>6962.23</v>
      </c>
      <c r="F891" s="13" t="s">
        <v>2093</v>
      </c>
    </row>
    <row r="892" spans="1:6" x14ac:dyDescent="0.25">
      <c r="A892" s="10" t="s">
        <v>2757</v>
      </c>
      <c r="B892" s="11">
        <v>45740</v>
      </c>
      <c r="C892" s="10" t="s">
        <v>1774</v>
      </c>
      <c r="D892" s="10" t="s">
        <v>1797</v>
      </c>
      <c r="E892" s="12">
        <v>8035.03</v>
      </c>
      <c r="F892" s="10" t="s">
        <v>1882</v>
      </c>
    </row>
    <row r="893" spans="1:6" x14ac:dyDescent="0.25">
      <c r="A893" s="13" t="s">
        <v>2758</v>
      </c>
      <c r="B893" s="14">
        <v>45733</v>
      </c>
      <c r="C893" s="13" t="s">
        <v>1799</v>
      </c>
      <c r="D893" s="13" t="s">
        <v>1775</v>
      </c>
      <c r="E893" s="15">
        <v>48963.81</v>
      </c>
      <c r="F893" s="13" t="s">
        <v>2005</v>
      </c>
    </row>
    <row r="894" spans="1:6" x14ac:dyDescent="0.25">
      <c r="A894" s="10" t="s">
        <v>2759</v>
      </c>
      <c r="B894" s="11">
        <v>45731</v>
      </c>
      <c r="C894" s="10" t="s">
        <v>1799</v>
      </c>
      <c r="D894" s="10" t="s">
        <v>1778</v>
      </c>
      <c r="E894" s="12">
        <v>10090.15</v>
      </c>
      <c r="F894" s="10" t="s">
        <v>2186</v>
      </c>
    </row>
    <row r="895" spans="1:6" x14ac:dyDescent="0.25">
      <c r="A895" s="13" t="s">
        <v>2760</v>
      </c>
      <c r="B895" s="14">
        <v>45743</v>
      </c>
      <c r="C895" s="13" t="s">
        <v>1799</v>
      </c>
      <c r="D895" s="13" t="s">
        <v>1780</v>
      </c>
      <c r="E895" s="15">
        <v>5650.89</v>
      </c>
      <c r="F895" s="13" t="s">
        <v>2186</v>
      </c>
    </row>
    <row r="896" spans="1:6" x14ac:dyDescent="0.25">
      <c r="A896" s="10" t="s">
        <v>2761</v>
      </c>
      <c r="B896" s="11">
        <v>45725</v>
      </c>
      <c r="C896" s="10" t="s">
        <v>1799</v>
      </c>
      <c r="D896" s="10" t="s">
        <v>1783</v>
      </c>
      <c r="E896" s="12">
        <v>6947.53</v>
      </c>
      <c r="F896" s="10" t="s">
        <v>1828</v>
      </c>
    </row>
    <row r="897" spans="1:6" x14ac:dyDescent="0.25">
      <c r="A897" s="13" t="s">
        <v>2762</v>
      </c>
      <c r="B897" s="14">
        <v>45735</v>
      </c>
      <c r="C897" s="13" t="s">
        <v>1799</v>
      </c>
      <c r="D897" s="13" t="s">
        <v>1786</v>
      </c>
      <c r="E897" s="15">
        <v>8894.23</v>
      </c>
      <c r="F897" s="13" t="s">
        <v>1904</v>
      </c>
    </row>
    <row r="898" spans="1:6" x14ac:dyDescent="0.25">
      <c r="A898" s="10" t="s">
        <v>2763</v>
      </c>
      <c r="B898" s="11">
        <v>45720</v>
      </c>
      <c r="C898" s="10" t="s">
        <v>1799</v>
      </c>
      <c r="D898" s="10" t="s">
        <v>1789</v>
      </c>
      <c r="E898" s="12">
        <v>5216.6899999999996</v>
      </c>
      <c r="F898" s="10" t="s">
        <v>1917</v>
      </c>
    </row>
    <row r="899" spans="1:6" x14ac:dyDescent="0.25">
      <c r="A899" s="13" t="s">
        <v>2764</v>
      </c>
      <c r="B899" s="14">
        <v>45734</v>
      </c>
      <c r="C899" s="13" t="s">
        <v>1799</v>
      </c>
      <c r="D899" s="13" t="s">
        <v>1792</v>
      </c>
      <c r="E899" s="15">
        <v>8209.33</v>
      </c>
      <c r="F899" s="13" t="s">
        <v>2072</v>
      </c>
    </row>
    <row r="900" spans="1:6" x14ac:dyDescent="0.25">
      <c r="A900" s="10" t="s">
        <v>2765</v>
      </c>
      <c r="B900" s="11">
        <v>45724</v>
      </c>
      <c r="C900" s="10" t="s">
        <v>1799</v>
      </c>
      <c r="D900" s="10" t="s">
        <v>1795</v>
      </c>
      <c r="E900" s="12">
        <v>2499.54</v>
      </c>
      <c r="F900" s="10" t="s">
        <v>2186</v>
      </c>
    </row>
    <row r="901" spans="1:6" x14ac:dyDescent="0.25">
      <c r="A901" s="13" t="s">
        <v>2766</v>
      </c>
      <c r="B901" s="14">
        <v>45742</v>
      </c>
      <c r="C901" s="13" t="s">
        <v>1799</v>
      </c>
      <c r="D901" s="13" t="s">
        <v>1797</v>
      </c>
      <c r="E901" s="15">
        <v>3401.87</v>
      </c>
      <c r="F901" s="13" t="s">
        <v>1865</v>
      </c>
    </row>
    <row r="902" spans="1:6" x14ac:dyDescent="0.25">
      <c r="A902" s="10" t="s">
        <v>2767</v>
      </c>
      <c r="B902" s="11">
        <v>45718</v>
      </c>
      <c r="C902" s="10" t="s">
        <v>1818</v>
      </c>
      <c r="D902" s="10" t="s">
        <v>1775</v>
      </c>
      <c r="E902" s="12">
        <v>38311.25</v>
      </c>
      <c r="F902" s="10" t="s">
        <v>1808</v>
      </c>
    </row>
    <row r="903" spans="1:6" x14ac:dyDescent="0.25">
      <c r="A903" s="13" t="s">
        <v>2768</v>
      </c>
      <c r="B903" s="14">
        <v>45717</v>
      </c>
      <c r="C903" s="13" t="s">
        <v>1818</v>
      </c>
      <c r="D903" s="13" t="s">
        <v>1778</v>
      </c>
      <c r="E903" s="15">
        <v>7504.48</v>
      </c>
      <c r="F903" s="13" t="s">
        <v>1826</v>
      </c>
    </row>
    <row r="904" spans="1:6" x14ac:dyDescent="0.25">
      <c r="A904" s="10" t="s">
        <v>2769</v>
      </c>
      <c r="B904" s="11">
        <v>45734</v>
      </c>
      <c r="C904" s="10" t="s">
        <v>1818</v>
      </c>
      <c r="D904" s="10" t="s">
        <v>1780</v>
      </c>
      <c r="E904" s="12">
        <v>4303.33</v>
      </c>
      <c r="F904" s="10" t="s">
        <v>1939</v>
      </c>
    </row>
    <row r="905" spans="1:6" x14ac:dyDescent="0.25">
      <c r="A905" s="13" t="s">
        <v>2770</v>
      </c>
      <c r="B905" s="14">
        <v>45725</v>
      </c>
      <c r="C905" s="13" t="s">
        <v>1818</v>
      </c>
      <c r="D905" s="13" t="s">
        <v>1783</v>
      </c>
      <c r="E905" s="15">
        <v>6150.38</v>
      </c>
      <c r="F905" s="13" t="s">
        <v>1854</v>
      </c>
    </row>
    <row r="906" spans="1:6" x14ac:dyDescent="0.25">
      <c r="A906" s="10" t="s">
        <v>2771</v>
      </c>
      <c r="B906" s="11">
        <v>45732</v>
      </c>
      <c r="C906" s="10" t="s">
        <v>1818</v>
      </c>
      <c r="D906" s="10" t="s">
        <v>1786</v>
      </c>
      <c r="E906" s="12">
        <v>7200.35</v>
      </c>
      <c r="F906" s="10" t="s">
        <v>2062</v>
      </c>
    </row>
    <row r="907" spans="1:6" x14ac:dyDescent="0.25">
      <c r="A907" s="13" t="s">
        <v>2772</v>
      </c>
      <c r="B907" s="14">
        <v>45732</v>
      </c>
      <c r="C907" s="13" t="s">
        <v>1818</v>
      </c>
      <c r="D907" s="13" t="s">
        <v>1789</v>
      </c>
      <c r="E907" s="15">
        <v>4755.54</v>
      </c>
      <c r="F907" s="13" t="s">
        <v>1886</v>
      </c>
    </row>
    <row r="908" spans="1:6" x14ac:dyDescent="0.25">
      <c r="A908" s="10" t="s">
        <v>2773</v>
      </c>
      <c r="B908" s="11">
        <v>45722</v>
      </c>
      <c r="C908" s="10" t="s">
        <v>1818</v>
      </c>
      <c r="D908" s="10" t="s">
        <v>1792</v>
      </c>
      <c r="E908" s="12">
        <v>5364.62</v>
      </c>
      <c r="F908" s="10" t="s">
        <v>1810</v>
      </c>
    </row>
    <row r="909" spans="1:6" x14ac:dyDescent="0.25">
      <c r="A909" s="13" t="s">
        <v>2774</v>
      </c>
      <c r="B909" s="14">
        <v>45729</v>
      </c>
      <c r="C909" s="13" t="s">
        <v>1818</v>
      </c>
      <c r="D909" s="13" t="s">
        <v>1795</v>
      </c>
      <c r="E909" s="15">
        <v>2781.26</v>
      </c>
      <c r="F909" s="13" t="s">
        <v>1906</v>
      </c>
    </row>
    <row r="910" spans="1:6" x14ac:dyDescent="0.25">
      <c r="A910" s="10" t="s">
        <v>2775</v>
      </c>
      <c r="B910" s="11">
        <v>45734</v>
      </c>
      <c r="C910" s="10" t="s">
        <v>1818</v>
      </c>
      <c r="D910" s="10" t="s">
        <v>1797</v>
      </c>
      <c r="E910" s="12">
        <v>2676.4</v>
      </c>
      <c r="F910" s="10" t="s">
        <v>2159</v>
      </c>
    </row>
    <row r="911" spans="1:6" x14ac:dyDescent="0.25">
      <c r="A911" s="13" t="s">
        <v>2776</v>
      </c>
      <c r="B911" s="14">
        <v>45727</v>
      </c>
      <c r="C911" s="13" t="s">
        <v>1786</v>
      </c>
      <c r="D911" s="13" t="s">
        <v>1775</v>
      </c>
      <c r="E911" s="15">
        <v>76522.899999999994</v>
      </c>
      <c r="F911" s="13" t="s">
        <v>1882</v>
      </c>
    </row>
    <row r="912" spans="1:6" x14ac:dyDescent="0.25">
      <c r="A912" s="10" t="s">
        <v>2777</v>
      </c>
      <c r="B912" s="11">
        <v>45722</v>
      </c>
      <c r="C912" s="10" t="s">
        <v>1786</v>
      </c>
      <c r="D912" s="10" t="s">
        <v>1778</v>
      </c>
      <c r="E912" s="12">
        <v>18237.45</v>
      </c>
      <c r="F912" s="10" t="s">
        <v>2005</v>
      </c>
    </row>
    <row r="913" spans="1:6" x14ac:dyDescent="0.25">
      <c r="A913" s="13" t="s">
        <v>2778</v>
      </c>
      <c r="B913" s="14">
        <v>45735</v>
      </c>
      <c r="C913" s="13" t="s">
        <v>1786</v>
      </c>
      <c r="D913" s="13" t="s">
        <v>1780</v>
      </c>
      <c r="E913" s="15">
        <v>8626.9699999999993</v>
      </c>
      <c r="F913" s="13" t="s">
        <v>1812</v>
      </c>
    </row>
    <row r="914" spans="1:6" x14ac:dyDescent="0.25">
      <c r="A914" s="10" t="s">
        <v>2779</v>
      </c>
      <c r="B914" s="11">
        <v>45729</v>
      </c>
      <c r="C914" s="10" t="s">
        <v>1786</v>
      </c>
      <c r="D914" s="10" t="s">
        <v>1783</v>
      </c>
      <c r="E914" s="12">
        <v>11794.59</v>
      </c>
      <c r="F914" s="10" t="s">
        <v>1822</v>
      </c>
    </row>
    <row r="915" spans="1:6" x14ac:dyDescent="0.25">
      <c r="A915" s="13" t="s">
        <v>2780</v>
      </c>
      <c r="B915" s="14">
        <v>45737</v>
      </c>
      <c r="C915" s="13" t="s">
        <v>1786</v>
      </c>
      <c r="D915" s="13" t="s">
        <v>1786</v>
      </c>
      <c r="E915" s="15">
        <v>14255.02</v>
      </c>
      <c r="F915" s="13" t="s">
        <v>1988</v>
      </c>
    </row>
    <row r="916" spans="1:6" x14ac:dyDescent="0.25">
      <c r="A916" s="10" t="s">
        <v>2781</v>
      </c>
      <c r="B916" s="11">
        <v>45733</v>
      </c>
      <c r="C916" s="10" t="s">
        <v>1786</v>
      </c>
      <c r="D916" s="10" t="s">
        <v>1789</v>
      </c>
      <c r="E916" s="12">
        <v>7690.48</v>
      </c>
      <c r="F916" s="10" t="s">
        <v>1904</v>
      </c>
    </row>
    <row r="917" spans="1:6" x14ac:dyDescent="0.25">
      <c r="A917" s="13" t="s">
        <v>2782</v>
      </c>
      <c r="B917" s="14">
        <v>45725</v>
      </c>
      <c r="C917" s="13" t="s">
        <v>1786</v>
      </c>
      <c r="D917" s="13" t="s">
        <v>1792</v>
      </c>
      <c r="E917" s="15">
        <v>10836.79</v>
      </c>
      <c r="F917" s="13" t="s">
        <v>1882</v>
      </c>
    </row>
    <row r="918" spans="1:6" x14ac:dyDescent="0.25">
      <c r="A918" s="10" t="s">
        <v>2783</v>
      </c>
      <c r="B918" s="11">
        <v>45733</v>
      </c>
      <c r="C918" s="10" t="s">
        <v>1786</v>
      </c>
      <c r="D918" s="10" t="s">
        <v>1795</v>
      </c>
      <c r="E918" s="12">
        <v>5478.67</v>
      </c>
      <c r="F918" s="10" t="s">
        <v>1808</v>
      </c>
    </row>
    <row r="919" spans="1:6" x14ac:dyDescent="0.25">
      <c r="A919" s="13" t="s">
        <v>2784</v>
      </c>
      <c r="B919" s="14">
        <v>45724</v>
      </c>
      <c r="C919" s="13" t="s">
        <v>1786</v>
      </c>
      <c r="D919" s="13" t="s">
        <v>1797</v>
      </c>
      <c r="E919" s="15">
        <v>4136.17</v>
      </c>
      <c r="F919" s="13" t="s">
        <v>1939</v>
      </c>
    </row>
    <row r="920" spans="1:6" x14ac:dyDescent="0.25">
      <c r="A920" s="10" t="s">
        <v>2785</v>
      </c>
      <c r="B920" s="11">
        <v>45730</v>
      </c>
      <c r="C920" s="10" t="s">
        <v>1792</v>
      </c>
      <c r="D920" s="10" t="s">
        <v>1775</v>
      </c>
      <c r="E920" s="12">
        <v>87156.96</v>
      </c>
      <c r="F920" s="10" t="s">
        <v>1898</v>
      </c>
    </row>
    <row r="921" spans="1:6" x14ac:dyDescent="0.25">
      <c r="A921" s="13" t="s">
        <v>2786</v>
      </c>
      <c r="B921" s="14">
        <v>45725</v>
      </c>
      <c r="C921" s="13" t="s">
        <v>1792</v>
      </c>
      <c r="D921" s="13" t="s">
        <v>1778</v>
      </c>
      <c r="E921" s="15">
        <v>22742.82</v>
      </c>
      <c r="F921" s="13" t="s">
        <v>1838</v>
      </c>
    </row>
    <row r="922" spans="1:6" x14ac:dyDescent="0.25">
      <c r="A922" s="10" t="s">
        <v>2787</v>
      </c>
      <c r="B922" s="11">
        <v>45735</v>
      </c>
      <c r="C922" s="10" t="s">
        <v>1792</v>
      </c>
      <c r="D922" s="10" t="s">
        <v>1780</v>
      </c>
      <c r="E922" s="12">
        <v>10327.67</v>
      </c>
      <c r="F922" s="10" t="s">
        <v>1854</v>
      </c>
    </row>
    <row r="923" spans="1:6" x14ac:dyDescent="0.25">
      <c r="A923" s="13" t="s">
        <v>2788</v>
      </c>
      <c r="B923" s="14">
        <v>45729</v>
      </c>
      <c r="C923" s="13" t="s">
        <v>1792</v>
      </c>
      <c r="D923" s="13" t="s">
        <v>1783</v>
      </c>
      <c r="E923" s="15">
        <v>18008.59</v>
      </c>
      <c r="F923" s="13" t="s">
        <v>1977</v>
      </c>
    </row>
    <row r="924" spans="1:6" x14ac:dyDescent="0.25">
      <c r="A924" s="10" t="s">
        <v>2789</v>
      </c>
      <c r="B924" s="11">
        <v>45726</v>
      </c>
      <c r="C924" s="10" t="s">
        <v>1792</v>
      </c>
      <c r="D924" s="10" t="s">
        <v>1786</v>
      </c>
      <c r="E924" s="12">
        <v>16539.32</v>
      </c>
      <c r="F924" s="10" t="s">
        <v>1826</v>
      </c>
    </row>
    <row r="925" spans="1:6" x14ac:dyDescent="0.25">
      <c r="A925" s="13" t="s">
        <v>2790</v>
      </c>
      <c r="B925" s="14">
        <v>45732</v>
      </c>
      <c r="C925" s="13" t="s">
        <v>1792</v>
      </c>
      <c r="D925" s="13" t="s">
        <v>1789</v>
      </c>
      <c r="E925" s="15">
        <v>10318.94</v>
      </c>
      <c r="F925" s="13" t="s">
        <v>1917</v>
      </c>
    </row>
    <row r="926" spans="1:6" x14ac:dyDescent="0.25">
      <c r="A926" s="10" t="s">
        <v>2791</v>
      </c>
      <c r="B926" s="11">
        <v>45718</v>
      </c>
      <c r="C926" s="10" t="s">
        <v>1792</v>
      </c>
      <c r="D926" s="10" t="s">
        <v>1792</v>
      </c>
      <c r="E926" s="12">
        <v>15025.88</v>
      </c>
      <c r="F926" s="10" t="s">
        <v>1917</v>
      </c>
    </row>
    <row r="927" spans="1:6" x14ac:dyDescent="0.25">
      <c r="A927" s="13" t="s">
        <v>2792</v>
      </c>
      <c r="B927" s="14">
        <v>45737</v>
      </c>
      <c r="C927" s="13" t="s">
        <v>1792</v>
      </c>
      <c r="D927" s="13" t="s">
        <v>1795</v>
      </c>
      <c r="E927" s="15">
        <v>5915.14</v>
      </c>
      <c r="F927" s="13" t="s">
        <v>1844</v>
      </c>
    </row>
    <row r="928" spans="1:6" x14ac:dyDescent="0.25">
      <c r="A928" s="10" t="s">
        <v>2793</v>
      </c>
      <c r="B928" s="11">
        <v>45723</v>
      </c>
      <c r="C928" s="10" t="s">
        <v>1792</v>
      </c>
      <c r="D928" s="10" t="s">
        <v>1797</v>
      </c>
      <c r="E928" s="12">
        <v>5758.06</v>
      </c>
      <c r="F928" s="10" t="s">
        <v>1979</v>
      </c>
    </row>
    <row r="929" spans="1:6" x14ac:dyDescent="0.25">
      <c r="A929" s="13" t="s">
        <v>2794</v>
      </c>
      <c r="B929" s="14">
        <v>45738</v>
      </c>
      <c r="C929" s="13" t="s">
        <v>1862</v>
      </c>
      <c r="D929" s="13" t="s">
        <v>1775</v>
      </c>
      <c r="E929" s="15">
        <v>44792.639999999999</v>
      </c>
      <c r="F929" s="13" t="s">
        <v>1810</v>
      </c>
    </row>
    <row r="930" spans="1:6" x14ac:dyDescent="0.25">
      <c r="A930" s="10" t="s">
        <v>2795</v>
      </c>
      <c r="B930" s="11">
        <v>45727</v>
      </c>
      <c r="C930" s="10" t="s">
        <v>1862</v>
      </c>
      <c r="D930" s="10" t="s">
        <v>1778</v>
      </c>
      <c r="E930" s="12">
        <v>8514.66</v>
      </c>
      <c r="F930" s="10" t="s">
        <v>2062</v>
      </c>
    </row>
    <row r="931" spans="1:6" x14ac:dyDescent="0.25">
      <c r="A931" s="13" t="s">
        <v>2796</v>
      </c>
      <c r="B931" s="14">
        <v>45729</v>
      </c>
      <c r="C931" s="13" t="s">
        <v>1862</v>
      </c>
      <c r="D931" s="13" t="s">
        <v>1780</v>
      </c>
      <c r="E931" s="15">
        <v>5106.1400000000003</v>
      </c>
      <c r="F931" s="13" t="s">
        <v>1871</v>
      </c>
    </row>
    <row r="932" spans="1:6" x14ac:dyDescent="0.25">
      <c r="A932" s="10" t="s">
        <v>2797</v>
      </c>
      <c r="B932" s="11">
        <v>45738</v>
      </c>
      <c r="C932" s="10" t="s">
        <v>1862</v>
      </c>
      <c r="D932" s="10" t="s">
        <v>1783</v>
      </c>
      <c r="E932" s="12">
        <v>6804.52</v>
      </c>
      <c r="F932" s="10" t="s">
        <v>1979</v>
      </c>
    </row>
    <row r="933" spans="1:6" x14ac:dyDescent="0.25">
      <c r="A933" s="13" t="s">
        <v>2798</v>
      </c>
      <c r="B933" s="14">
        <v>45739</v>
      </c>
      <c r="C933" s="13" t="s">
        <v>1862</v>
      </c>
      <c r="D933" s="13" t="s">
        <v>1786</v>
      </c>
      <c r="E933" s="15">
        <v>6110.01</v>
      </c>
      <c r="F933" s="13" t="s">
        <v>2005</v>
      </c>
    </row>
    <row r="934" spans="1:6" x14ac:dyDescent="0.25">
      <c r="A934" s="10" t="s">
        <v>2799</v>
      </c>
      <c r="B934" s="11">
        <v>45738</v>
      </c>
      <c r="C934" s="10" t="s">
        <v>1862</v>
      </c>
      <c r="D934" s="10" t="s">
        <v>1789</v>
      </c>
      <c r="E934" s="12">
        <v>5161.62</v>
      </c>
      <c r="F934" s="10" t="s">
        <v>1854</v>
      </c>
    </row>
    <row r="935" spans="1:6" x14ac:dyDescent="0.25">
      <c r="A935" s="13" t="s">
        <v>2800</v>
      </c>
      <c r="B935" s="14">
        <v>45735</v>
      </c>
      <c r="C935" s="13" t="s">
        <v>1862</v>
      </c>
      <c r="D935" s="13" t="s">
        <v>1792</v>
      </c>
      <c r="E935" s="15">
        <v>8116.81</v>
      </c>
      <c r="F935" s="13" t="s">
        <v>1826</v>
      </c>
    </row>
    <row r="936" spans="1:6" x14ac:dyDescent="0.25">
      <c r="A936" s="10" t="s">
        <v>2801</v>
      </c>
      <c r="B936" s="11">
        <v>45737</v>
      </c>
      <c r="C936" s="10" t="s">
        <v>1862</v>
      </c>
      <c r="D936" s="10" t="s">
        <v>1795</v>
      </c>
      <c r="E936" s="12">
        <v>3211.7</v>
      </c>
      <c r="F936" s="10" t="s">
        <v>2162</v>
      </c>
    </row>
    <row r="937" spans="1:6" x14ac:dyDescent="0.25">
      <c r="A937" s="13" t="s">
        <v>2802</v>
      </c>
      <c r="B937" s="14">
        <v>45720</v>
      </c>
      <c r="C937" s="13" t="s">
        <v>1862</v>
      </c>
      <c r="D937" s="13" t="s">
        <v>1797</v>
      </c>
      <c r="E937" s="15">
        <v>3069.32</v>
      </c>
      <c r="F937" s="13" t="s">
        <v>1800</v>
      </c>
    </row>
    <row r="938" spans="1:6" x14ac:dyDescent="0.25">
      <c r="A938" s="10" t="s">
        <v>2803</v>
      </c>
      <c r="B938" s="11">
        <v>45731</v>
      </c>
      <c r="C938" s="10" t="s">
        <v>1877</v>
      </c>
      <c r="D938" s="10" t="s">
        <v>1775</v>
      </c>
      <c r="E938" s="12">
        <v>63179.85</v>
      </c>
      <c r="F938" s="10" t="s">
        <v>1941</v>
      </c>
    </row>
    <row r="939" spans="1:6" x14ac:dyDescent="0.25">
      <c r="A939" s="13" t="s">
        <v>2804</v>
      </c>
      <c r="B939" s="14">
        <v>45717</v>
      </c>
      <c r="C939" s="13" t="s">
        <v>1877</v>
      </c>
      <c r="D939" s="13" t="s">
        <v>1778</v>
      </c>
      <c r="E939" s="15">
        <v>13638.67</v>
      </c>
      <c r="F939" s="13" t="s">
        <v>1838</v>
      </c>
    </row>
    <row r="940" spans="1:6" x14ac:dyDescent="0.25">
      <c r="A940" s="10" t="s">
        <v>2805</v>
      </c>
      <c r="B940" s="11">
        <v>45733</v>
      </c>
      <c r="C940" s="10" t="s">
        <v>1877</v>
      </c>
      <c r="D940" s="10" t="s">
        <v>1780</v>
      </c>
      <c r="E940" s="12">
        <v>7330.18</v>
      </c>
      <c r="F940" s="10" t="s">
        <v>1816</v>
      </c>
    </row>
    <row r="941" spans="1:6" x14ac:dyDescent="0.25">
      <c r="A941" s="13" t="s">
        <v>2806</v>
      </c>
      <c r="B941" s="14">
        <v>45720</v>
      </c>
      <c r="C941" s="13" t="s">
        <v>1877</v>
      </c>
      <c r="D941" s="13" t="s">
        <v>1783</v>
      </c>
      <c r="E941" s="15">
        <v>9915.5300000000007</v>
      </c>
      <c r="F941" s="13" t="s">
        <v>2192</v>
      </c>
    </row>
    <row r="942" spans="1:6" x14ac:dyDescent="0.25">
      <c r="A942" s="10" t="s">
        <v>2807</v>
      </c>
      <c r="B942" s="11">
        <v>45726</v>
      </c>
      <c r="C942" s="10" t="s">
        <v>1877</v>
      </c>
      <c r="D942" s="10" t="s">
        <v>1786</v>
      </c>
      <c r="E942" s="12">
        <v>11531.18</v>
      </c>
      <c r="F942" s="10" t="s">
        <v>1891</v>
      </c>
    </row>
    <row r="943" spans="1:6" x14ac:dyDescent="0.25">
      <c r="A943" s="13" t="s">
        <v>2808</v>
      </c>
      <c r="B943" s="14">
        <v>45740</v>
      </c>
      <c r="C943" s="13" t="s">
        <v>1877</v>
      </c>
      <c r="D943" s="13" t="s">
        <v>1789</v>
      </c>
      <c r="E943" s="15">
        <v>5838.08</v>
      </c>
      <c r="F943" s="13" t="s">
        <v>2159</v>
      </c>
    </row>
    <row r="944" spans="1:6" x14ac:dyDescent="0.25">
      <c r="A944" s="10" t="s">
        <v>2809</v>
      </c>
      <c r="B944" s="11">
        <v>45740</v>
      </c>
      <c r="C944" s="10" t="s">
        <v>1877</v>
      </c>
      <c r="D944" s="10" t="s">
        <v>1792</v>
      </c>
      <c r="E944" s="12">
        <v>9925.34</v>
      </c>
      <c r="F944" s="10" t="s">
        <v>1886</v>
      </c>
    </row>
    <row r="945" spans="1:6" x14ac:dyDescent="0.25">
      <c r="A945" s="13" t="s">
        <v>2810</v>
      </c>
      <c r="B945" s="14">
        <v>45726</v>
      </c>
      <c r="C945" s="13" t="s">
        <v>1877</v>
      </c>
      <c r="D945" s="13" t="s">
        <v>1795</v>
      </c>
      <c r="E945" s="15">
        <v>4514.01</v>
      </c>
      <c r="F945" s="13" t="s">
        <v>1850</v>
      </c>
    </row>
    <row r="946" spans="1:6" x14ac:dyDescent="0.25">
      <c r="A946" s="10" t="s">
        <v>2811</v>
      </c>
      <c r="B946" s="11">
        <v>45733</v>
      </c>
      <c r="C946" s="10" t="s">
        <v>1877</v>
      </c>
      <c r="D946" s="10" t="s">
        <v>1797</v>
      </c>
      <c r="E946" s="12">
        <v>4343.49</v>
      </c>
      <c r="F946" s="10" t="s">
        <v>1901</v>
      </c>
    </row>
    <row r="947" spans="1:6" x14ac:dyDescent="0.25">
      <c r="A947" s="13" t="s">
        <v>2812</v>
      </c>
      <c r="B947" s="14">
        <v>45761</v>
      </c>
      <c r="C947" s="13" t="s">
        <v>1774</v>
      </c>
      <c r="D947" s="13" t="s">
        <v>1775</v>
      </c>
      <c r="E947" s="15">
        <v>134057.79999999999</v>
      </c>
      <c r="F947" s="13" t="s">
        <v>1865</v>
      </c>
    </row>
    <row r="948" spans="1:6" x14ac:dyDescent="0.25">
      <c r="A948" s="10" t="s">
        <v>2813</v>
      </c>
      <c r="B948" s="11">
        <v>45755</v>
      </c>
      <c r="C948" s="10" t="s">
        <v>1774</v>
      </c>
      <c r="D948" s="10" t="s">
        <v>1778</v>
      </c>
      <c r="E948" s="12">
        <v>21337.360000000001</v>
      </c>
      <c r="F948" s="10" t="s">
        <v>1816</v>
      </c>
    </row>
    <row r="949" spans="1:6" x14ac:dyDescent="0.25">
      <c r="A949" s="13" t="s">
        <v>2814</v>
      </c>
      <c r="B949" s="14">
        <v>45755</v>
      </c>
      <c r="C949" s="13" t="s">
        <v>1774</v>
      </c>
      <c r="D949" s="13" t="s">
        <v>1780</v>
      </c>
      <c r="E949" s="15">
        <v>11552.63</v>
      </c>
      <c r="F949" s="13" t="s">
        <v>1820</v>
      </c>
    </row>
    <row r="950" spans="1:6" x14ac:dyDescent="0.25">
      <c r="A950" s="10" t="s">
        <v>2815</v>
      </c>
      <c r="B950" s="11">
        <v>45748</v>
      </c>
      <c r="C950" s="10" t="s">
        <v>1774</v>
      </c>
      <c r="D950" s="10" t="s">
        <v>1783</v>
      </c>
      <c r="E950" s="12">
        <v>17774.990000000002</v>
      </c>
      <c r="F950" s="10" t="s">
        <v>1854</v>
      </c>
    </row>
    <row r="951" spans="1:6" x14ac:dyDescent="0.25">
      <c r="A951" s="13" t="s">
        <v>2816</v>
      </c>
      <c r="B951" s="14">
        <v>45754</v>
      </c>
      <c r="C951" s="13" t="s">
        <v>1774</v>
      </c>
      <c r="D951" s="13" t="s">
        <v>1786</v>
      </c>
      <c r="E951" s="15">
        <v>21332.1</v>
      </c>
      <c r="F951" s="13" t="s">
        <v>2005</v>
      </c>
    </row>
    <row r="952" spans="1:6" x14ac:dyDescent="0.25">
      <c r="A952" s="10" t="s">
        <v>2817</v>
      </c>
      <c r="B952" s="11">
        <v>45748</v>
      </c>
      <c r="C952" s="10" t="s">
        <v>1774</v>
      </c>
      <c r="D952" s="10" t="s">
        <v>1789</v>
      </c>
      <c r="E952" s="12">
        <v>11759.92</v>
      </c>
      <c r="F952" s="10" t="s">
        <v>1935</v>
      </c>
    </row>
    <row r="953" spans="1:6" x14ac:dyDescent="0.25">
      <c r="A953" s="13" t="s">
        <v>2818</v>
      </c>
      <c r="B953" s="14">
        <v>45754</v>
      </c>
      <c r="C953" s="13" t="s">
        <v>1774</v>
      </c>
      <c r="D953" s="13" t="s">
        <v>1792</v>
      </c>
      <c r="E953" s="15">
        <v>19261.7</v>
      </c>
      <c r="F953" s="13" t="s">
        <v>1958</v>
      </c>
    </row>
    <row r="954" spans="1:6" x14ac:dyDescent="0.25">
      <c r="A954" s="10" t="s">
        <v>2819</v>
      </c>
      <c r="B954" s="11">
        <v>45761</v>
      </c>
      <c r="C954" s="10" t="s">
        <v>1774</v>
      </c>
      <c r="D954" s="10" t="s">
        <v>1795</v>
      </c>
      <c r="E954" s="12">
        <v>8096.66</v>
      </c>
      <c r="F954" s="10" t="s">
        <v>1822</v>
      </c>
    </row>
    <row r="955" spans="1:6" x14ac:dyDescent="0.25">
      <c r="A955" s="13" t="s">
        <v>2820</v>
      </c>
      <c r="B955" s="14">
        <v>45749</v>
      </c>
      <c r="C955" s="13" t="s">
        <v>1774</v>
      </c>
      <c r="D955" s="13" t="s">
        <v>1797</v>
      </c>
      <c r="E955" s="15">
        <v>6022.36</v>
      </c>
      <c r="F955" s="13" t="s">
        <v>2186</v>
      </c>
    </row>
    <row r="956" spans="1:6" x14ac:dyDescent="0.25">
      <c r="A956" s="10" t="s">
        <v>2821</v>
      </c>
      <c r="B956" s="11">
        <v>45754</v>
      </c>
      <c r="C956" s="10" t="s">
        <v>1799</v>
      </c>
      <c r="D956" s="10" t="s">
        <v>1775</v>
      </c>
      <c r="E956" s="12">
        <v>55217.84</v>
      </c>
      <c r="F956" s="10" t="s">
        <v>1790</v>
      </c>
    </row>
    <row r="957" spans="1:6" x14ac:dyDescent="0.25">
      <c r="A957" s="13" t="s">
        <v>2822</v>
      </c>
      <c r="B957" s="14">
        <v>45767</v>
      </c>
      <c r="C957" s="13" t="s">
        <v>1799</v>
      </c>
      <c r="D957" s="13" t="s">
        <v>1778</v>
      </c>
      <c r="E957" s="15">
        <v>10786.77</v>
      </c>
      <c r="F957" s="13" t="s">
        <v>1776</v>
      </c>
    </row>
    <row r="958" spans="1:6" x14ac:dyDescent="0.25">
      <c r="A958" s="10" t="s">
        <v>2823</v>
      </c>
      <c r="B958" s="11">
        <v>45759</v>
      </c>
      <c r="C958" s="10" t="s">
        <v>1799</v>
      </c>
      <c r="D958" s="10" t="s">
        <v>1780</v>
      </c>
      <c r="E958" s="12">
        <v>5203.1400000000003</v>
      </c>
      <c r="F958" s="10" t="s">
        <v>1968</v>
      </c>
    </row>
    <row r="959" spans="1:6" x14ac:dyDescent="0.25">
      <c r="A959" s="13" t="s">
        <v>2824</v>
      </c>
      <c r="B959" s="14">
        <v>45774</v>
      </c>
      <c r="C959" s="13" t="s">
        <v>1799</v>
      </c>
      <c r="D959" s="13" t="s">
        <v>1783</v>
      </c>
      <c r="E959" s="15">
        <v>7055.77</v>
      </c>
      <c r="F959" s="13" t="s">
        <v>1941</v>
      </c>
    </row>
    <row r="960" spans="1:6" x14ac:dyDescent="0.25">
      <c r="A960" s="10" t="s">
        <v>2825</v>
      </c>
      <c r="B960" s="11">
        <v>45765</v>
      </c>
      <c r="C960" s="10" t="s">
        <v>1799</v>
      </c>
      <c r="D960" s="10" t="s">
        <v>1786</v>
      </c>
      <c r="E960" s="12">
        <v>8602.11</v>
      </c>
      <c r="F960" s="10" t="s">
        <v>2062</v>
      </c>
    </row>
    <row r="961" spans="1:6" x14ac:dyDescent="0.25">
      <c r="A961" s="13" t="s">
        <v>2826</v>
      </c>
      <c r="B961" s="14">
        <v>45754</v>
      </c>
      <c r="C961" s="13" t="s">
        <v>1799</v>
      </c>
      <c r="D961" s="13" t="s">
        <v>1789</v>
      </c>
      <c r="E961" s="15">
        <v>4257.4799999999996</v>
      </c>
      <c r="F961" s="13" t="s">
        <v>1990</v>
      </c>
    </row>
    <row r="962" spans="1:6" x14ac:dyDescent="0.25">
      <c r="A962" s="10" t="s">
        <v>2827</v>
      </c>
      <c r="B962" s="11">
        <v>45751</v>
      </c>
      <c r="C962" s="10" t="s">
        <v>1799</v>
      </c>
      <c r="D962" s="10" t="s">
        <v>1792</v>
      </c>
      <c r="E962" s="12">
        <v>6814.27</v>
      </c>
      <c r="F962" s="10" t="s">
        <v>2040</v>
      </c>
    </row>
    <row r="963" spans="1:6" x14ac:dyDescent="0.25">
      <c r="A963" s="13" t="s">
        <v>2828</v>
      </c>
      <c r="B963" s="14">
        <v>45763</v>
      </c>
      <c r="C963" s="13" t="s">
        <v>1799</v>
      </c>
      <c r="D963" s="13" t="s">
        <v>1795</v>
      </c>
      <c r="E963" s="15">
        <v>2630.67</v>
      </c>
      <c r="F963" s="13" t="s">
        <v>1891</v>
      </c>
    </row>
    <row r="964" spans="1:6" x14ac:dyDescent="0.25">
      <c r="A964" s="10" t="s">
        <v>2829</v>
      </c>
      <c r="B964" s="11">
        <v>45774</v>
      </c>
      <c r="C964" s="10" t="s">
        <v>1799</v>
      </c>
      <c r="D964" s="10" t="s">
        <v>1797</v>
      </c>
      <c r="E964" s="12">
        <v>2771.27</v>
      </c>
      <c r="F964" s="10" t="s">
        <v>1939</v>
      </c>
    </row>
    <row r="965" spans="1:6" x14ac:dyDescent="0.25">
      <c r="A965" s="13" t="s">
        <v>2830</v>
      </c>
      <c r="B965" s="14">
        <v>45762</v>
      </c>
      <c r="C965" s="13" t="s">
        <v>1818</v>
      </c>
      <c r="D965" s="13" t="s">
        <v>1775</v>
      </c>
      <c r="E965" s="15">
        <v>38902.26</v>
      </c>
      <c r="F965" s="13" t="s">
        <v>1917</v>
      </c>
    </row>
    <row r="966" spans="1:6" x14ac:dyDescent="0.25">
      <c r="A966" s="10" t="s">
        <v>2831</v>
      </c>
      <c r="B966" s="11">
        <v>45772</v>
      </c>
      <c r="C966" s="10" t="s">
        <v>1818</v>
      </c>
      <c r="D966" s="10" t="s">
        <v>1778</v>
      </c>
      <c r="E966" s="12">
        <v>8980.43</v>
      </c>
      <c r="F966" s="10" t="s">
        <v>1854</v>
      </c>
    </row>
    <row r="967" spans="1:6" x14ac:dyDescent="0.25">
      <c r="A967" s="13" t="s">
        <v>2832</v>
      </c>
      <c r="B967" s="14">
        <v>45767</v>
      </c>
      <c r="C967" s="13" t="s">
        <v>1818</v>
      </c>
      <c r="D967" s="13" t="s">
        <v>1780</v>
      </c>
      <c r="E967" s="15">
        <v>4486.7299999999996</v>
      </c>
      <c r="F967" s="13" t="s">
        <v>1977</v>
      </c>
    </row>
    <row r="968" spans="1:6" x14ac:dyDescent="0.25">
      <c r="A968" s="10" t="s">
        <v>2833</v>
      </c>
      <c r="B968" s="11">
        <v>45757</v>
      </c>
      <c r="C968" s="10" t="s">
        <v>1818</v>
      </c>
      <c r="D968" s="10" t="s">
        <v>1783</v>
      </c>
      <c r="E968" s="12">
        <v>6857.95</v>
      </c>
      <c r="F968" s="10" t="s">
        <v>1906</v>
      </c>
    </row>
    <row r="969" spans="1:6" x14ac:dyDescent="0.25">
      <c r="A969" s="13" t="s">
        <v>2834</v>
      </c>
      <c r="B969" s="14">
        <v>45763</v>
      </c>
      <c r="C969" s="13" t="s">
        <v>1818</v>
      </c>
      <c r="D969" s="13" t="s">
        <v>1786</v>
      </c>
      <c r="E969" s="15">
        <v>7310.81</v>
      </c>
      <c r="F969" s="13" t="s">
        <v>1800</v>
      </c>
    </row>
    <row r="970" spans="1:6" x14ac:dyDescent="0.25">
      <c r="A970" s="10" t="s">
        <v>2835</v>
      </c>
      <c r="B970" s="11">
        <v>45769</v>
      </c>
      <c r="C970" s="10" t="s">
        <v>1818</v>
      </c>
      <c r="D970" s="10" t="s">
        <v>1789</v>
      </c>
      <c r="E970" s="12">
        <v>4558.29</v>
      </c>
      <c r="F970" s="10" t="s">
        <v>2078</v>
      </c>
    </row>
    <row r="971" spans="1:6" x14ac:dyDescent="0.25">
      <c r="A971" s="13" t="s">
        <v>2836</v>
      </c>
      <c r="B971" s="14">
        <v>45771</v>
      </c>
      <c r="C971" s="13" t="s">
        <v>1818</v>
      </c>
      <c r="D971" s="13" t="s">
        <v>1792</v>
      </c>
      <c r="E971" s="15">
        <v>7022.15</v>
      </c>
      <c r="F971" s="13" t="s">
        <v>2128</v>
      </c>
    </row>
    <row r="972" spans="1:6" x14ac:dyDescent="0.25">
      <c r="A972" s="10" t="s">
        <v>2837</v>
      </c>
      <c r="B972" s="11">
        <v>45772</v>
      </c>
      <c r="C972" s="10" t="s">
        <v>1818</v>
      </c>
      <c r="D972" s="10" t="s">
        <v>1795</v>
      </c>
      <c r="E972" s="12">
        <v>2296.77</v>
      </c>
      <c r="F972" s="10" t="s">
        <v>2113</v>
      </c>
    </row>
    <row r="973" spans="1:6" x14ac:dyDescent="0.25">
      <c r="A973" s="13" t="s">
        <v>2838</v>
      </c>
      <c r="B973" s="14">
        <v>45759</v>
      </c>
      <c r="C973" s="13" t="s">
        <v>1818</v>
      </c>
      <c r="D973" s="13" t="s">
        <v>1797</v>
      </c>
      <c r="E973" s="15">
        <v>2301</v>
      </c>
      <c r="F973" s="13" t="s">
        <v>1901</v>
      </c>
    </row>
    <row r="974" spans="1:6" x14ac:dyDescent="0.25">
      <c r="A974" s="10" t="s">
        <v>2839</v>
      </c>
      <c r="B974" s="11">
        <v>45752</v>
      </c>
      <c r="C974" s="10" t="s">
        <v>1786</v>
      </c>
      <c r="D974" s="10" t="s">
        <v>1775</v>
      </c>
      <c r="E974" s="12">
        <v>90289.35</v>
      </c>
      <c r="F974" s="10" t="s">
        <v>1901</v>
      </c>
    </row>
    <row r="975" spans="1:6" x14ac:dyDescent="0.25">
      <c r="A975" s="13" t="s">
        <v>2840</v>
      </c>
      <c r="B975" s="14">
        <v>45760</v>
      </c>
      <c r="C975" s="13" t="s">
        <v>1786</v>
      </c>
      <c r="D975" s="13" t="s">
        <v>1778</v>
      </c>
      <c r="E975" s="15">
        <v>15464.82</v>
      </c>
      <c r="F975" s="13" t="s">
        <v>1958</v>
      </c>
    </row>
    <row r="976" spans="1:6" x14ac:dyDescent="0.25">
      <c r="A976" s="10" t="s">
        <v>2841</v>
      </c>
      <c r="B976" s="11">
        <v>45772</v>
      </c>
      <c r="C976" s="10" t="s">
        <v>1786</v>
      </c>
      <c r="D976" s="10" t="s">
        <v>1780</v>
      </c>
      <c r="E976" s="12">
        <v>9117.84</v>
      </c>
      <c r="F976" s="10" t="s">
        <v>1840</v>
      </c>
    </row>
    <row r="977" spans="1:6" x14ac:dyDescent="0.25">
      <c r="A977" s="13" t="s">
        <v>2842</v>
      </c>
      <c r="B977" s="14">
        <v>45753</v>
      </c>
      <c r="C977" s="13" t="s">
        <v>1786</v>
      </c>
      <c r="D977" s="13" t="s">
        <v>1783</v>
      </c>
      <c r="E977" s="15">
        <v>13652.58</v>
      </c>
      <c r="F977" s="13" t="s">
        <v>1882</v>
      </c>
    </row>
    <row r="978" spans="1:6" x14ac:dyDescent="0.25">
      <c r="A978" s="10" t="s">
        <v>2843</v>
      </c>
      <c r="B978" s="11">
        <v>45767</v>
      </c>
      <c r="C978" s="10" t="s">
        <v>1786</v>
      </c>
      <c r="D978" s="10" t="s">
        <v>1786</v>
      </c>
      <c r="E978" s="12">
        <v>13347.54</v>
      </c>
      <c r="F978" s="10" t="s">
        <v>1990</v>
      </c>
    </row>
    <row r="979" spans="1:6" x14ac:dyDescent="0.25">
      <c r="A979" s="13" t="s">
        <v>2844</v>
      </c>
      <c r="B979" s="14">
        <v>45761</v>
      </c>
      <c r="C979" s="13" t="s">
        <v>1786</v>
      </c>
      <c r="D979" s="13" t="s">
        <v>1789</v>
      </c>
      <c r="E979" s="15">
        <v>8843.5</v>
      </c>
      <c r="F979" s="13" t="s">
        <v>1960</v>
      </c>
    </row>
    <row r="980" spans="1:6" x14ac:dyDescent="0.25">
      <c r="A980" s="10" t="s">
        <v>2845</v>
      </c>
      <c r="B980" s="11">
        <v>45753</v>
      </c>
      <c r="C980" s="10" t="s">
        <v>1786</v>
      </c>
      <c r="D980" s="10" t="s">
        <v>1792</v>
      </c>
      <c r="E980" s="12">
        <v>14830.85</v>
      </c>
      <c r="F980" s="10" t="s">
        <v>2042</v>
      </c>
    </row>
    <row r="981" spans="1:6" x14ac:dyDescent="0.25">
      <c r="A981" s="13" t="s">
        <v>2846</v>
      </c>
      <c r="B981" s="14">
        <v>45765</v>
      </c>
      <c r="C981" s="13" t="s">
        <v>1786</v>
      </c>
      <c r="D981" s="13" t="s">
        <v>1795</v>
      </c>
      <c r="E981" s="15">
        <v>3962.59</v>
      </c>
      <c r="F981" s="13" t="s">
        <v>2040</v>
      </c>
    </row>
    <row r="982" spans="1:6" x14ac:dyDescent="0.25">
      <c r="A982" s="10" t="s">
        <v>2847</v>
      </c>
      <c r="B982" s="11">
        <v>45748</v>
      </c>
      <c r="C982" s="10" t="s">
        <v>1786</v>
      </c>
      <c r="D982" s="10" t="s">
        <v>1797</v>
      </c>
      <c r="E982" s="12">
        <v>4994.6899999999996</v>
      </c>
      <c r="F982" s="10" t="s">
        <v>1863</v>
      </c>
    </row>
    <row r="983" spans="1:6" x14ac:dyDescent="0.25">
      <c r="A983" s="13" t="s">
        <v>2848</v>
      </c>
      <c r="B983" s="14">
        <v>45750</v>
      </c>
      <c r="C983" s="13" t="s">
        <v>1792</v>
      </c>
      <c r="D983" s="13" t="s">
        <v>1775</v>
      </c>
      <c r="E983" s="15">
        <v>101996.19</v>
      </c>
      <c r="F983" s="13" t="s">
        <v>1844</v>
      </c>
    </row>
    <row r="984" spans="1:6" x14ac:dyDescent="0.25">
      <c r="A984" s="10" t="s">
        <v>2849</v>
      </c>
      <c r="B984" s="11">
        <v>45756</v>
      </c>
      <c r="C984" s="10" t="s">
        <v>1792</v>
      </c>
      <c r="D984" s="10" t="s">
        <v>1778</v>
      </c>
      <c r="E984" s="12">
        <v>20045.099999999999</v>
      </c>
      <c r="F984" s="10" t="s">
        <v>1891</v>
      </c>
    </row>
    <row r="985" spans="1:6" x14ac:dyDescent="0.25">
      <c r="A985" s="13" t="s">
        <v>2850</v>
      </c>
      <c r="B985" s="14">
        <v>45763</v>
      </c>
      <c r="C985" s="13" t="s">
        <v>1792</v>
      </c>
      <c r="D985" s="13" t="s">
        <v>1780</v>
      </c>
      <c r="E985" s="15">
        <v>11141.77</v>
      </c>
      <c r="F985" s="13" t="s">
        <v>1844</v>
      </c>
    </row>
    <row r="986" spans="1:6" x14ac:dyDescent="0.25">
      <c r="A986" s="10" t="s">
        <v>2851</v>
      </c>
      <c r="B986" s="11">
        <v>45754</v>
      </c>
      <c r="C986" s="10" t="s">
        <v>1792</v>
      </c>
      <c r="D986" s="10" t="s">
        <v>1783</v>
      </c>
      <c r="E986" s="12">
        <v>13788.04</v>
      </c>
      <c r="F986" s="10" t="s">
        <v>1871</v>
      </c>
    </row>
    <row r="987" spans="1:6" x14ac:dyDescent="0.25">
      <c r="A987" s="13" t="s">
        <v>2852</v>
      </c>
      <c r="B987" s="14">
        <v>45773</v>
      </c>
      <c r="C987" s="13" t="s">
        <v>1792</v>
      </c>
      <c r="D987" s="13" t="s">
        <v>1786</v>
      </c>
      <c r="E987" s="15">
        <v>15761.18</v>
      </c>
      <c r="F987" s="13" t="s">
        <v>1867</v>
      </c>
    </row>
    <row r="988" spans="1:6" x14ac:dyDescent="0.25">
      <c r="A988" s="10" t="s">
        <v>2853</v>
      </c>
      <c r="B988" s="11">
        <v>45763</v>
      </c>
      <c r="C988" s="10" t="s">
        <v>1792</v>
      </c>
      <c r="D988" s="10" t="s">
        <v>1789</v>
      </c>
      <c r="E988" s="12">
        <v>9987.5400000000009</v>
      </c>
      <c r="F988" s="10" t="s">
        <v>1968</v>
      </c>
    </row>
    <row r="989" spans="1:6" x14ac:dyDescent="0.25">
      <c r="A989" s="13" t="s">
        <v>2854</v>
      </c>
      <c r="B989" s="14">
        <v>45757</v>
      </c>
      <c r="C989" s="13" t="s">
        <v>1792</v>
      </c>
      <c r="D989" s="13" t="s">
        <v>1792</v>
      </c>
      <c r="E989" s="15">
        <v>17958.509999999998</v>
      </c>
      <c r="F989" s="13" t="s">
        <v>1840</v>
      </c>
    </row>
    <row r="990" spans="1:6" x14ac:dyDescent="0.25">
      <c r="A990" s="10" t="s">
        <v>2855</v>
      </c>
      <c r="B990" s="11">
        <v>45756</v>
      </c>
      <c r="C990" s="10" t="s">
        <v>1792</v>
      </c>
      <c r="D990" s="10" t="s">
        <v>1795</v>
      </c>
      <c r="E990" s="12">
        <v>5035.43</v>
      </c>
      <c r="F990" s="10" t="s">
        <v>1930</v>
      </c>
    </row>
    <row r="991" spans="1:6" x14ac:dyDescent="0.25">
      <c r="A991" s="13" t="s">
        <v>2856</v>
      </c>
      <c r="B991" s="14">
        <v>45770</v>
      </c>
      <c r="C991" s="13" t="s">
        <v>1792</v>
      </c>
      <c r="D991" s="13" t="s">
        <v>1797</v>
      </c>
      <c r="E991" s="15">
        <v>6282.47</v>
      </c>
      <c r="F991" s="13" t="s">
        <v>1906</v>
      </c>
    </row>
    <row r="992" spans="1:6" x14ac:dyDescent="0.25">
      <c r="A992" s="10" t="s">
        <v>2857</v>
      </c>
      <c r="B992" s="11">
        <v>45749</v>
      </c>
      <c r="C992" s="10" t="s">
        <v>1862</v>
      </c>
      <c r="D992" s="10" t="s">
        <v>1775</v>
      </c>
      <c r="E992" s="12">
        <v>45519.96</v>
      </c>
      <c r="F992" s="10" t="s">
        <v>1960</v>
      </c>
    </row>
    <row r="993" spans="1:6" x14ac:dyDescent="0.25">
      <c r="A993" s="13" t="s">
        <v>2858</v>
      </c>
      <c r="B993" s="14">
        <v>45768</v>
      </c>
      <c r="C993" s="13" t="s">
        <v>1862</v>
      </c>
      <c r="D993" s="13" t="s">
        <v>1778</v>
      </c>
      <c r="E993" s="15">
        <v>9472.32</v>
      </c>
      <c r="F993" s="13" t="s">
        <v>1793</v>
      </c>
    </row>
    <row r="994" spans="1:6" x14ac:dyDescent="0.25">
      <c r="A994" s="10" t="s">
        <v>2859</v>
      </c>
      <c r="B994" s="11">
        <v>45757</v>
      </c>
      <c r="C994" s="10" t="s">
        <v>1862</v>
      </c>
      <c r="D994" s="10" t="s">
        <v>1780</v>
      </c>
      <c r="E994" s="12">
        <v>4336.6499999999996</v>
      </c>
      <c r="F994" s="10" t="s">
        <v>1814</v>
      </c>
    </row>
    <row r="995" spans="1:6" x14ac:dyDescent="0.25">
      <c r="A995" s="13" t="s">
        <v>2860</v>
      </c>
      <c r="B995" s="14">
        <v>45765</v>
      </c>
      <c r="C995" s="13" t="s">
        <v>1862</v>
      </c>
      <c r="D995" s="13" t="s">
        <v>1783</v>
      </c>
      <c r="E995" s="15">
        <v>7916.75</v>
      </c>
      <c r="F995" s="13" t="s">
        <v>1822</v>
      </c>
    </row>
    <row r="996" spans="1:6" x14ac:dyDescent="0.25">
      <c r="A996" s="10" t="s">
        <v>2861</v>
      </c>
      <c r="B996" s="11">
        <v>45748</v>
      </c>
      <c r="C996" s="10" t="s">
        <v>1862</v>
      </c>
      <c r="D996" s="10" t="s">
        <v>1786</v>
      </c>
      <c r="E996" s="12">
        <v>6732.38</v>
      </c>
      <c r="F996" s="10" t="s">
        <v>1946</v>
      </c>
    </row>
    <row r="997" spans="1:6" x14ac:dyDescent="0.25">
      <c r="A997" s="13" t="s">
        <v>2862</v>
      </c>
      <c r="B997" s="14">
        <v>45771</v>
      </c>
      <c r="C997" s="13" t="s">
        <v>1862</v>
      </c>
      <c r="D997" s="13" t="s">
        <v>1789</v>
      </c>
      <c r="E997" s="15">
        <v>4271.57</v>
      </c>
      <c r="F997" s="13" t="s">
        <v>1863</v>
      </c>
    </row>
    <row r="998" spans="1:6" x14ac:dyDescent="0.25">
      <c r="A998" s="10" t="s">
        <v>2863</v>
      </c>
      <c r="B998" s="11">
        <v>45753</v>
      </c>
      <c r="C998" s="10" t="s">
        <v>1862</v>
      </c>
      <c r="D998" s="10" t="s">
        <v>1792</v>
      </c>
      <c r="E998" s="12">
        <v>6549.68</v>
      </c>
      <c r="F998" s="10" t="s">
        <v>2128</v>
      </c>
    </row>
    <row r="999" spans="1:6" x14ac:dyDescent="0.25">
      <c r="A999" s="13" t="s">
        <v>2864</v>
      </c>
      <c r="B999" s="14">
        <v>45771</v>
      </c>
      <c r="C999" s="13" t="s">
        <v>1862</v>
      </c>
      <c r="D999" s="13" t="s">
        <v>1795</v>
      </c>
      <c r="E999" s="15">
        <v>2949.21</v>
      </c>
      <c r="F999" s="13" t="s">
        <v>2162</v>
      </c>
    </row>
    <row r="1000" spans="1:6" x14ac:dyDescent="0.25">
      <c r="A1000" s="10" t="s">
        <v>2865</v>
      </c>
      <c r="B1000" s="11">
        <v>45773</v>
      </c>
      <c r="C1000" s="10" t="s">
        <v>1862</v>
      </c>
      <c r="D1000" s="10" t="s">
        <v>1797</v>
      </c>
      <c r="E1000" s="12">
        <v>2416.27</v>
      </c>
      <c r="F1000" s="10" t="s">
        <v>1867</v>
      </c>
    </row>
    <row r="1001" spans="1:6" x14ac:dyDescent="0.25">
      <c r="A1001" s="13" t="s">
        <v>2866</v>
      </c>
      <c r="B1001" s="14">
        <v>45758</v>
      </c>
      <c r="C1001" s="13" t="s">
        <v>1877</v>
      </c>
      <c r="D1001" s="13" t="s">
        <v>1775</v>
      </c>
      <c r="E1001" s="15">
        <v>73330.53</v>
      </c>
      <c r="F1001" s="13" t="s">
        <v>1904</v>
      </c>
    </row>
    <row r="1002" spans="1:6" x14ac:dyDescent="0.25">
      <c r="A1002" s="10" t="s">
        <v>2867</v>
      </c>
      <c r="B1002" s="11">
        <v>45771</v>
      </c>
      <c r="C1002" s="10" t="s">
        <v>1877</v>
      </c>
      <c r="D1002" s="10" t="s">
        <v>1778</v>
      </c>
      <c r="E1002" s="12">
        <v>12642.54</v>
      </c>
      <c r="F1002" s="10" t="s">
        <v>2128</v>
      </c>
    </row>
    <row r="1003" spans="1:6" x14ac:dyDescent="0.25">
      <c r="A1003" s="13" t="s">
        <v>2868</v>
      </c>
      <c r="B1003" s="14">
        <v>45752</v>
      </c>
      <c r="C1003" s="13" t="s">
        <v>1877</v>
      </c>
      <c r="D1003" s="13" t="s">
        <v>1780</v>
      </c>
      <c r="E1003" s="15">
        <v>8272.51</v>
      </c>
      <c r="F1003" s="13" t="s">
        <v>1997</v>
      </c>
    </row>
    <row r="1004" spans="1:6" x14ac:dyDescent="0.25">
      <c r="A1004" s="10" t="s">
        <v>2869</v>
      </c>
      <c r="B1004" s="11">
        <v>45765</v>
      </c>
      <c r="C1004" s="10" t="s">
        <v>1877</v>
      </c>
      <c r="D1004" s="10" t="s">
        <v>1783</v>
      </c>
      <c r="E1004" s="12">
        <v>10188.540000000001</v>
      </c>
      <c r="F1004" s="10" t="s">
        <v>1904</v>
      </c>
    </row>
    <row r="1005" spans="1:6" x14ac:dyDescent="0.25">
      <c r="A1005" s="13" t="s">
        <v>2870</v>
      </c>
      <c r="B1005" s="14">
        <v>45770</v>
      </c>
      <c r="C1005" s="13" t="s">
        <v>1877</v>
      </c>
      <c r="D1005" s="13" t="s">
        <v>1786</v>
      </c>
      <c r="E1005" s="15">
        <v>10793.75</v>
      </c>
      <c r="F1005" s="13" t="s">
        <v>1968</v>
      </c>
    </row>
    <row r="1006" spans="1:6" x14ac:dyDescent="0.25">
      <c r="A1006" s="10" t="s">
        <v>2871</v>
      </c>
      <c r="B1006" s="11">
        <v>45764</v>
      </c>
      <c r="C1006" s="10" t="s">
        <v>1877</v>
      </c>
      <c r="D1006" s="10" t="s">
        <v>1789</v>
      </c>
      <c r="E1006" s="12">
        <v>6641.22</v>
      </c>
      <c r="F1006" s="10" t="s">
        <v>1784</v>
      </c>
    </row>
    <row r="1007" spans="1:6" x14ac:dyDescent="0.25">
      <c r="A1007" s="13" t="s">
        <v>2872</v>
      </c>
      <c r="B1007" s="14">
        <v>45770</v>
      </c>
      <c r="C1007" s="13" t="s">
        <v>1877</v>
      </c>
      <c r="D1007" s="13" t="s">
        <v>1792</v>
      </c>
      <c r="E1007" s="15">
        <v>11074.04</v>
      </c>
      <c r="F1007" s="13" t="s">
        <v>2113</v>
      </c>
    </row>
    <row r="1008" spans="1:6" x14ac:dyDescent="0.25">
      <c r="A1008" s="10" t="s">
        <v>2873</v>
      </c>
      <c r="B1008" s="11">
        <v>45756</v>
      </c>
      <c r="C1008" s="10" t="s">
        <v>1877</v>
      </c>
      <c r="D1008" s="10" t="s">
        <v>1795</v>
      </c>
      <c r="E1008" s="12">
        <v>4303.37</v>
      </c>
      <c r="F1008" s="10" t="s">
        <v>2042</v>
      </c>
    </row>
    <row r="1009" spans="1:6" x14ac:dyDescent="0.25">
      <c r="A1009" s="13" t="s">
        <v>2874</v>
      </c>
      <c r="B1009" s="14">
        <v>45772</v>
      </c>
      <c r="C1009" s="13" t="s">
        <v>1877</v>
      </c>
      <c r="D1009" s="13" t="s">
        <v>1797</v>
      </c>
      <c r="E1009" s="15">
        <v>3525.86</v>
      </c>
      <c r="F1009" s="13" t="s">
        <v>1867</v>
      </c>
    </row>
    <row r="1010" spans="1:6" x14ac:dyDescent="0.25">
      <c r="A1010" s="10" t="s">
        <v>2875</v>
      </c>
      <c r="B1010" s="11">
        <v>45779</v>
      </c>
      <c r="C1010" s="10" t="s">
        <v>1774</v>
      </c>
      <c r="D1010" s="10" t="s">
        <v>1775</v>
      </c>
      <c r="E1010" s="12">
        <v>97984.78</v>
      </c>
      <c r="F1010" s="10" t="s">
        <v>1830</v>
      </c>
    </row>
    <row r="1011" spans="1:6" x14ac:dyDescent="0.25">
      <c r="A1011" s="13" t="s">
        <v>2876</v>
      </c>
      <c r="B1011" s="14">
        <v>45798</v>
      </c>
      <c r="C1011" s="13" t="s">
        <v>1774</v>
      </c>
      <c r="D1011" s="13" t="s">
        <v>1778</v>
      </c>
      <c r="E1011" s="15">
        <v>20849.72</v>
      </c>
      <c r="F1011" s="13" t="s">
        <v>1875</v>
      </c>
    </row>
    <row r="1012" spans="1:6" x14ac:dyDescent="0.25">
      <c r="A1012" s="10" t="s">
        <v>2877</v>
      </c>
      <c r="B1012" s="11">
        <v>45782</v>
      </c>
      <c r="C1012" s="10" t="s">
        <v>1774</v>
      </c>
      <c r="D1012" s="10" t="s">
        <v>1780</v>
      </c>
      <c r="E1012" s="12">
        <v>11561.62</v>
      </c>
      <c r="F1012" s="10" t="s">
        <v>1988</v>
      </c>
    </row>
    <row r="1013" spans="1:6" x14ac:dyDescent="0.25">
      <c r="A1013" s="13" t="s">
        <v>2878</v>
      </c>
      <c r="B1013" s="14">
        <v>45791</v>
      </c>
      <c r="C1013" s="13" t="s">
        <v>1774</v>
      </c>
      <c r="D1013" s="13" t="s">
        <v>1783</v>
      </c>
      <c r="E1013" s="15">
        <v>16839.259999999998</v>
      </c>
      <c r="F1013" s="13" t="s">
        <v>1814</v>
      </c>
    </row>
    <row r="1014" spans="1:6" x14ac:dyDescent="0.25">
      <c r="A1014" s="10" t="s">
        <v>2879</v>
      </c>
      <c r="B1014" s="11">
        <v>45783</v>
      </c>
      <c r="C1014" s="10" t="s">
        <v>1774</v>
      </c>
      <c r="D1014" s="10" t="s">
        <v>1786</v>
      </c>
      <c r="E1014" s="12">
        <v>15346.25</v>
      </c>
      <c r="F1014" s="10" t="s">
        <v>1833</v>
      </c>
    </row>
    <row r="1015" spans="1:6" x14ac:dyDescent="0.25">
      <c r="A1015" s="13" t="s">
        <v>2880</v>
      </c>
      <c r="B1015" s="14">
        <v>45804</v>
      </c>
      <c r="C1015" s="13" t="s">
        <v>1774</v>
      </c>
      <c r="D1015" s="13" t="s">
        <v>1789</v>
      </c>
      <c r="E1015" s="15">
        <v>10675.84</v>
      </c>
      <c r="F1015" s="13" t="s">
        <v>1802</v>
      </c>
    </row>
    <row r="1016" spans="1:6" x14ac:dyDescent="0.25">
      <c r="A1016" s="10" t="s">
        <v>2881</v>
      </c>
      <c r="B1016" s="11">
        <v>45781</v>
      </c>
      <c r="C1016" s="10" t="s">
        <v>1774</v>
      </c>
      <c r="D1016" s="10" t="s">
        <v>1792</v>
      </c>
      <c r="E1016" s="12">
        <v>19469.259999999998</v>
      </c>
      <c r="F1016" s="10" t="s">
        <v>1901</v>
      </c>
    </row>
    <row r="1017" spans="1:6" x14ac:dyDescent="0.25">
      <c r="A1017" s="13" t="s">
        <v>2882</v>
      </c>
      <c r="B1017" s="14">
        <v>45778</v>
      </c>
      <c r="C1017" s="13" t="s">
        <v>1774</v>
      </c>
      <c r="D1017" s="13" t="s">
        <v>1795</v>
      </c>
      <c r="E1017" s="15">
        <v>6747.68</v>
      </c>
      <c r="F1017" s="13" t="s">
        <v>1906</v>
      </c>
    </row>
    <row r="1018" spans="1:6" x14ac:dyDescent="0.25">
      <c r="A1018" s="10" t="s">
        <v>2883</v>
      </c>
      <c r="B1018" s="11">
        <v>45794</v>
      </c>
      <c r="C1018" s="10" t="s">
        <v>1774</v>
      </c>
      <c r="D1018" s="10" t="s">
        <v>1797</v>
      </c>
      <c r="E1018" s="12">
        <v>6407.72</v>
      </c>
      <c r="F1018" s="10" t="s">
        <v>1990</v>
      </c>
    </row>
    <row r="1019" spans="1:6" x14ac:dyDescent="0.25">
      <c r="A1019" s="13" t="s">
        <v>2884</v>
      </c>
      <c r="B1019" s="14">
        <v>45789</v>
      </c>
      <c r="C1019" s="13" t="s">
        <v>1799</v>
      </c>
      <c r="D1019" s="13" t="s">
        <v>1775</v>
      </c>
      <c r="E1019" s="15">
        <v>57340.77</v>
      </c>
      <c r="F1019" s="13" t="s">
        <v>1852</v>
      </c>
    </row>
    <row r="1020" spans="1:6" x14ac:dyDescent="0.25">
      <c r="A1020" s="10" t="s">
        <v>2885</v>
      </c>
      <c r="B1020" s="11">
        <v>45786</v>
      </c>
      <c r="C1020" s="10" t="s">
        <v>1799</v>
      </c>
      <c r="D1020" s="10" t="s">
        <v>1778</v>
      </c>
      <c r="E1020" s="12">
        <v>9229.58</v>
      </c>
      <c r="F1020" s="10" t="s">
        <v>1985</v>
      </c>
    </row>
    <row r="1021" spans="1:6" x14ac:dyDescent="0.25">
      <c r="A1021" s="13" t="s">
        <v>2886</v>
      </c>
      <c r="B1021" s="14">
        <v>45795</v>
      </c>
      <c r="C1021" s="13" t="s">
        <v>1799</v>
      </c>
      <c r="D1021" s="13" t="s">
        <v>1780</v>
      </c>
      <c r="E1021" s="15">
        <v>4338.37</v>
      </c>
      <c r="F1021" s="13" t="s">
        <v>1859</v>
      </c>
    </row>
    <row r="1022" spans="1:6" x14ac:dyDescent="0.25">
      <c r="A1022" s="10" t="s">
        <v>2887</v>
      </c>
      <c r="B1022" s="11">
        <v>45800</v>
      </c>
      <c r="C1022" s="10" t="s">
        <v>1799</v>
      </c>
      <c r="D1022" s="10" t="s">
        <v>1783</v>
      </c>
      <c r="E1022" s="12">
        <v>8003.31</v>
      </c>
      <c r="F1022" s="10" t="s">
        <v>1781</v>
      </c>
    </row>
    <row r="1023" spans="1:6" x14ac:dyDescent="0.25">
      <c r="A1023" s="13" t="s">
        <v>2888</v>
      </c>
      <c r="B1023" s="14">
        <v>45788</v>
      </c>
      <c r="C1023" s="13" t="s">
        <v>1799</v>
      </c>
      <c r="D1023" s="13" t="s">
        <v>1786</v>
      </c>
      <c r="E1023" s="15">
        <v>7182.95</v>
      </c>
      <c r="F1023" s="13" t="s">
        <v>1850</v>
      </c>
    </row>
    <row r="1024" spans="1:6" x14ac:dyDescent="0.25">
      <c r="A1024" s="10" t="s">
        <v>2889</v>
      </c>
      <c r="B1024" s="11">
        <v>45787</v>
      </c>
      <c r="C1024" s="10" t="s">
        <v>1799</v>
      </c>
      <c r="D1024" s="10" t="s">
        <v>1789</v>
      </c>
      <c r="E1024" s="12">
        <v>5756</v>
      </c>
      <c r="F1024" s="10" t="s">
        <v>2192</v>
      </c>
    </row>
    <row r="1025" spans="1:6" x14ac:dyDescent="0.25">
      <c r="A1025" s="13" t="s">
        <v>2890</v>
      </c>
      <c r="B1025" s="14">
        <v>45791</v>
      </c>
      <c r="C1025" s="13" t="s">
        <v>1799</v>
      </c>
      <c r="D1025" s="13" t="s">
        <v>1792</v>
      </c>
      <c r="E1025" s="15">
        <v>6629.07</v>
      </c>
      <c r="F1025" s="13" t="s">
        <v>1977</v>
      </c>
    </row>
    <row r="1026" spans="1:6" x14ac:dyDescent="0.25">
      <c r="A1026" s="10" t="s">
        <v>2891</v>
      </c>
      <c r="B1026" s="11">
        <v>45791</v>
      </c>
      <c r="C1026" s="10" t="s">
        <v>1799</v>
      </c>
      <c r="D1026" s="10" t="s">
        <v>1795</v>
      </c>
      <c r="E1026" s="12">
        <v>2888.28</v>
      </c>
      <c r="F1026" s="10" t="s">
        <v>1790</v>
      </c>
    </row>
    <row r="1027" spans="1:6" x14ac:dyDescent="0.25">
      <c r="A1027" s="13" t="s">
        <v>2892</v>
      </c>
      <c r="B1027" s="14">
        <v>45784</v>
      </c>
      <c r="C1027" s="13" t="s">
        <v>1799</v>
      </c>
      <c r="D1027" s="13" t="s">
        <v>1797</v>
      </c>
      <c r="E1027" s="15">
        <v>3036.23</v>
      </c>
      <c r="F1027" s="13" t="s">
        <v>1838</v>
      </c>
    </row>
    <row r="1028" spans="1:6" x14ac:dyDescent="0.25">
      <c r="A1028" s="10" t="s">
        <v>2893</v>
      </c>
      <c r="B1028" s="11">
        <v>45779</v>
      </c>
      <c r="C1028" s="10" t="s">
        <v>1818</v>
      </c>
      <c r="D1028" s="10" t="s">
        <v>1775</v>
      </c>
      <c r="E1028" s="12">
        <v>34395.69</v>
      </c>
      <c r="F1028" s="10" t="s">
        <v>1806</v>
      </c>
    </row>
    <row r="1029" spans="1:6" x14ac:dyDescent="0.25">
      <c r="A1029" s="13" t="s">
        <v>2894</v>
      </c>
      <c r="B1029" s="14">
        <v>45790</v>
      </c>
      <c r="C1029" s="13" t="s">
        <v>1818</v>
      </c>
      <c r="D1029" s="13" t="s">
        <v>1778</v>
      </c>
      <c r="E1029" s="15">
        <v>9573.8700000000008</v>
      </c>
      <c r="F1029" s="13" t="s">
        <v>2024</v>
      </c>
    </row>
    <row r="1030" spans="1:6" x14ac:dyDescent="0.25">
      <c r="A1030" s="10" t="s">
        <v>2895</v>
      </c>
      <c r="B1030" s="11">
        <v>45790</v>
      </c>
      <c r="C1030" s="10" t="s">
        <v>1818</v>
      </c>
      <c r="D1030" s="10" t="s">
        <v>1780</v>
      </c>
      <c r="E1030" s="12">
        <v>3528.09</v>
      </c>
      <c r="F1030" s="10" t="s">
        <v>2128</v>
      </c>
    </row>
    <row r="1031" spans="1:6" x14ac:dyDescent="0.25">
      <c r="A1031" s="13" t="s">
        <v>2896</v>
      </c>
      <c r="B1031" s="14">
        <v>45784</v>
      </c>
      <c r="C1031" s="13" t="s">
        <v>1818</v>
      </c>
      <c r="D1031" s="13" t="s">
        <v>1783</v>
      </c>
      <c r="E1031" s="15">
        <v>7170.77</v>
      </c>
      <c r="F1031" s="13" t="s">
        <v>1927</v>
      </c>
    </row>
    <row r="1032" spans="1:6" x14ac:dyDescent="0.25">
      <c r="A1032" s="10" t="s">
        <v>2897</v>
      </c>
      <c r="B1032" s="11">
        <v>45796</v>
      </c>
      <c r="C1032" s="10" t="s">
        <v>1818</v>
      </c>
      <c r="D1032" s="10" t="s">
        <v>1786</v>
      </c>
      <c r="E1032" s="12">
        <v>7167.86</v>
      </c>
      <c r="F1032" s="10" t="s">
        <v>1790</v>
      </c>
    </row>
    <row r="1033" spans="1:6" x14ac:dyDescent="0.25">
      <c r="A1033" s="13" t="s">
        <v>2898</v>
      </c>
      <c r="B1033" s="14">
        <v>45788</v>
      </c>
      <c r="C1033" s="13" t="s">
        <v>1818</v>
      </c>
      <c r="D1033" s="13" t="s">
        <v>1789</v>
      </c>
      <c r="E1033" s="15">
        <v>3540.47</v>
      </c>
      <c r="F1033" s="13" t="s">
        <v>1997</v>
      </c>
    </row>
    <row r="1034" spans="1:6" x14ac:dyDescent="0.25">
      <c r="A1034" s="10" t="s">
        <v>2899</v>
      </c>
      <c r="B1034" s="11">
        <v>45786</v>
      </c>
      <c r="C1034" s="10" t="s">
        <v>1818</v>
      </c>
      <c r="D1034" s="10" t="s">
        <v>1792</v>
      </c>
      <c r="E1034" s="12">
        <v>7169.46</v>
      </c>
      <c r="F1034" s="10" t="s">
        <v>2113</v>
      </c>
    </row>
    <row r="1035" spans="1:6" x14ac:dyDescent="0.25">
      <c r="A1035" s="13" t="s">
        <v>2900</v>
      </c>
      <c r="B1035" s="14">
        <v>45797</v>
      </c>
      <c r="C1035" s="13" t="s">
        <v>1818</v>
      </c>
      <c r="D1035" s="13" t="s">
        <v>1795</v>
      </c>
      <c r="E1035" s="15">
        <v>2221.5100000000002</v>
      </c>
      <c r="F1035" s="13" t="s">
        <v>1836</v>
      </c>
    </row>
    <row r="1036" spans="1:6" x14ac:dyDescent="0.25">
      <c r="A1036" s="10" t="s">
        <v>2901</v>
      </c>
      <c r="B1036" s="11">
        <v>45798</v>
      </c>
      <c r="C1036" s="10" t="s">
        <v>1818</v>
      </c>
      <c r="D1036" s="10" t="s">
        <v>1797</v>
      </c>
      <c r="E1036" s="12">
        <v>2692.26</v>
      </c>
      <c r="F1036" s="10" t="s">
        <v>2040</v>
      </c>
    </row>
    <row r="1037" spans="1:6" x14ac:dyDescent="0.25">
      <c r="A1037" s="13" t="s">
        <v>2902</v>
      </c>
      <c r="B1037" s="14">
        <v>45780</v>
      </c>
      <c r="C1037" s="13" t="s">
        <v>1786</v>
      </c>
      <c r="D1037" s="13" t="s">
        <v>1775</v>
      </c>
      <c r="E1037" s="15">
        <v>65504.05</v>
      </c>
      <c r="F1037" s="13" t="s">
        <v>2186</v>
      </c>
    </row>
    <row r="1038" spans="1:6" x14ac:dyDescent="0.25">
      <c r="A1038" s="10" t="s">
        <v>2903</v>
      </c>
      <c r="B1038" s="11">
        <v>45793</v>
      </c>
      <c r="C1038" s="10" t="s">
        <v>1786</v>
      </c>
      <c r="D1038" s="10" t="s">
        <v>1778</v>
      </c>
      <c r="E1038" s="12">
        <v>15789.72</v>
      </c>
      <c r="F1038" s="10" t="s">
        <v>1888</v>
      </c>
    </row>
    <row r="1039" spans="1:6" x14ac:dyDescent="0.25">
      <c r="A1039" s="13" t="s">
        <v>2904</v>
      </c>
      <c r="B1039" s="14">
        <v>45796</v>
      </c>
      <c r="C1039" s="13" t="s">
        <v>1786</v>
      </c>
      <c r="D1039" s="13" t="s">
        <v>1780</v>
      </c>
      <c r="E1039" s="15">
        <v>6492.27</v>
      </c>
      <c r="F1039" s="13" t="s">
        <v>1810</v>
      </c>
    </row>
    <row r="1040" spans="1:6" x14ac:dyDescent="0.25">
      <c r="A1040" s="10" t="s">
        <v>2905</v>
      </c>
      <c r="B1040" s="11">
        <v>45793</v>
      </c>
      <c r="C1040" s="10" t="s">
        <v>1786</v>
      </c>
      <c r="D1040" s="10" t="s">
        <v>1783</v>
      </c>
      <c r="E1040" s="12">
        <v>13932.41</v>
      </c>
      <c r="F1040" s="10" t="s">
        <v>1859</v>
      </c>
    </row>
    <row r="1041" spans="1:6" x14ac:dyDescent="0.25">
      <c r="A1041" s="13" t="s">
        <v>2906</v>
      </c>
      <c r="B1041" s="14">
        <v>45790</v>
      </c>
      <c r="C1041" s="13" t="s">
        <v>1786</v>
      </c>
      <c r="D1041" s="13" t="s">
        <v>1786</v>
      </c>
      <c r="E1041" s="15">
        <v>11015.15</v>
      </c>
      <c r="F1041" s="13" t="s">
        <v>1844</v>
      </c>
    </row>
    <row r="1042" spans="1:6" x14ac:dyDescent="0.25">
      <c r="A1042" s="10" t="s">
        <v>2907</v>
      </c>
      <c r="B1042" s="11">
        <v>45784</v>
      </c>
      <c r="C1042" s="10" t="s">
        <v>1786</v>
      </c>
      <c r="D1042" s="10" t="s">
        <v>1789</v>
      </c>
      <c r="E1042" s="12">
        <v>6928.66</v>
      </c>
      <c r="F1042" s="10" t="s">
        <v>1852</v>
      </c>
    </row>
    <row r="1043" spans="1:6" x14ac:dyDescent="0.25">
      <c r="A1043" s="13" t="s">
        <v>2908</v>
      </c>
      <c r="B1043" s="14">
        <v>45784</v>
      </c>
      <c r="C1043" s="13" t="s">
        <v>1786</v>
      </c>
      <c r="D1043" s="13" t="s">
        <v>1792</v>
      </c>
      <c r="E1043" s="15">
        <v>11589.55</v>
      </c>
      <c r="F1043" s="13" t="s">
        <v>1880</v>
      </c>
    </row>
    <row r="1044" spans="1:6" x14ac:dyDescent="0.25">
      <c r="A1044" s="10" t="s">
        <v>2909</v>
      </c>
      <c r="B1044" s="11">
        <v>45796</v>
      </c>
      <c r="C1044" s="10" t="s">
        <v>1786</v>
      </c>
      <c r="D1044" s="10" t="s">
        <v>1795</v>
      </c>
      <c r="E1044" s="12">
        <v>4233.26</v>
      </c>
      <c r="F1044" s="10" t="s">
        <v>1806</v>
      </c>
    </row>
    <row r="1045" spans="1:6" x14ac:dyDescent="0.25">
      <c r="A1045" s="13" t="s">
        <v>2910</v>
      </c>
      <c r="B1045" s="14">
        <v>45781</v>
      </c>
      <c r="C1045" s="13" t="s">
        <v>1786</v>
      </c>
      <c r="D1045" s="13" t="s">
        <v>1797</v>
      </c>
      <c r="E1045" s="15">
        <v>4689.17</v>
      </c>
      <c r="F1045" s="13" t="s">
        <v>1822</v>
      </c>
    </row>
    <row r="1046" spans="1:6" x14ac:dyDescent="0.25">
      <c r="A1046" s="10" t="s">
        <v>2911</v>
      </c>
      <c r="B1046" s="11">
        <v>45793</v>
      </c>
      <c r="C1046" s="10" t="s">
        <v>1792</v>
      </c>
      <c r="D1046" s="10" t="s">
        <v>1775</v>
      </c>
      <c r="E1046" s="12">
        <v>84719.73</v>
      </c>
      <c r="F1046" s="10" t="s">
        <v>1968</v>
      </c>
    </row>
    <row r="1047" spans="1:6" x14ac:dyDescent="0.25">
      <c r="A1047" s="13" t="s">
        <v>2912</v>
      </c>
      <c r="B1047" s="14">
        <v>45782</v>
      </c>
      <c r="C1047" s="13" t="s">
        <v>1792</v>
      </c>
      <c r="D1047" s="13" t="s">
        <v>1778</v>
      </c>
      <c r="E1047" s="15">
        <v>16287.92</v>
      </c>
      <c r="F1047" s="13" t="s">
        <v>1844</v>
      </c>
    </row>
    <row r="1048" spans="1:6" x14ac:dyDescent="0.25">
      <c r="A1048" s="10" t="s">
        <v>2913</v>
      </c>
      <c r="B1048" s="11">
        <v>45790</v>
      </c>
      <c r="C1048" s="10" t="s">
        <v>1792</v>
      </c>
      <c r="D1048" s="10" t="s">
        <v>1780</v>
      </c>
      <c r="E1048" s="12">
        <v>10549.74</v>
      </c>
      <c r="F1048" s="10" t="s">
        <v>1836</v>
      </c>
    </row>
    <row r="1049" spans="1:6" x14ac:dyDescent="0.25">
      <c r="A1049" s="13" t="s">
        <v>2914</v>
      </c>
      <c r="B1049" s="14">
        <v>45780</v>
      </c>
      <c r="C1049" s="13" t="s">
        <v>1792</v>
      </c>
      <c r="D1049" s="13" t="s">
        <v>1783</v>
      </c>
      <c r="E1049" s="15">
        <v>17263.62</v>
      </c>
      <c r="F1049" s="13" t="s">
        <v>1828</v>
      </c>
    </row>
    <row r="1050" spans="1:6" x14ac:dyDescent="0.25">
      <c r="A1050" s="10" t="s">
        <v>2915</v>
      </c>
      <c r="B1050" s="11">
        <v>45796</v>
      </c>
      <c r="C1050" s="10" t="s">
        <v>1792</v>
      </c>
      <c r="D1050" s="10" t="s">
        <v>1786</v>
      </c>
      <c r="E1050" s="12">
        <v>12852.82</v>
      </c>
      <c r="F1050" s="10" t="s">
        <v>1810</v>
      </c>
    </row>
    <row r="1051" spans="1:6" x14ac:dyDescent="0.25">
      <c r="A1051" s="13" t="s">
        <v>2916</v>
      </c>
      <c r="B1051" s="14">
        <v>45793</v>
      </c>
      <c r="C1051" s="13" t="s">
        <v>1792</v>
      </c>
      <c r="D1051" s="13" t="s">
        <v>1789</v>
      </c>
      <c r="E1051" s="15">
        <v>8705.76</v>
      </c>
      <c r="F1051" s="13" t="s">
        <v>1793</v>
      </c>
    </row>
    <row r="1052" spans="1:6" x14ac:dyDescent="0.25">
      <c r="A1052" s="10" t="s">
        <v>2917</v>
      </c>
      <c r="B1052" s="11">
        <v>45804</v>
      </c>
      <c r="C1052" s="10" t="s">
        <v>1792</v>
      </c>
      <c r="D1052" s="10" t="s">
        <v>1792</v>
      </c>
      <c r="E1052" s="12">
        <v>15823.63</v>
      </c>
      <c r="F1052" s="10" t="s">
        <v>1968</v>
      </c>
    </row>
    <row r="1053" spans="1:6" x14ac:dyDescent="0.25">
      <c r="A1053" s="13" t="s">
        <v>2918</v>
      </c>
      <c r="B1053" s="14">
        <v>45785</v>
      </c>
      <c r="C1053" s="13" t="s">
        <v>1792</v>
      </c>
      <c r="D1053" s="13" t="s">
        <v>1795</v>
      </c>
      <c r="E1053" s="15">
        <v>6506.95</v>
      </c>
      <c r="F1053" s="13" t="s">
        <v>1859</v>
      </c>
    </row>
    <row r="1054" spans="1:6" x14ac:dyDescent="0.25">
      <c r="A1054" s="10" t="s">
        <v>2919</v>
      </c>
      <c r="B1054" s="11">
        <v>45785</v>
      </c>
      <c r="C1054" s="10" t="s">
        <v>1792</v>
      </c>
      <c r="D1054" s="10" t="s">
        <v>1797</v>
      </c>
      <c r="E1054" s="12">
        <v>6349.17</v>
      </c>
      <c r="F1054" s="10" t="s">
        <v>2093</v>
      </c>
    </row>
    <row r="1055" spans="1:6" x14ac:dyDescent="0.25">
      <c r="A1055" s="13" t="s">
        <v>2920</v>
      </c>
      <c r="B1055" s="14">
        <v>45789</v>
      </c>
      <c r="C1055" s="13" t="s">
        <v>1862</v>
      </c>
      <c r="D1055" s="13" t="s">
        <v>1775</v>
      </c>
      <c r="E1055" s="15">
        <v>46293.06</v>
      </c>
      <c r="F1055" s="13" t="s">
        <v>1941</v>
      </c>
    </row>
    <row r="1056" spans="1:6" x14ac:dyDescent="0.25">
      <c r="A1056" s="10" t="s">
        <v>2921</v>
      </c>
      <c r="B1056" s="11">
        <v>45796</v>
      </c>
      <c r="C1056" s="10" t="s">
        <v>1862</v>
      </c>
      <c r="D1056" s="10" t="s">
        <v>1778</v>
      </c>
      <c r="E1056" s="12">
        <v>10866.17</v>
      </c>
      <c r="F1056" s="10" t="s">
        <v>1844</v>
      </c>
    </row>
    <row r="1057" spans="1:6" x14ac:dyDescent="0.25">
      <c r="A1057" s="13" t="s">
        <v>2922</v>
      </c>
      <c r="B1057" s="14">
        <v>45803</v>
      </c>
      <c r="C1057" s="13" t="s">
        <v>1862</v>
      </c>
      <c r="D1057" s="13" t="s">
        <v>1780</v>
      </c>
      <c r="E1057" s="15">
        <v>3996.06</v>
      </c>
      <c r="F1057" s="13" t="s">
        <v>1958</v>
      </c>
    </row>
    <row r="1058" spans="1:6" x14ac:dyDescent="0.25">
      <c r="A1058" s="10" t="s">
        <v>2923</v>
      </c>
      <c r="B1058" s="11">
        <v>45778</v>
      </c>
      <c r="C1058" s="10" t="s">
        <v>1862</v>
      </c>
      <c r="D1058" s="10" t="s">
        <v>1783</v>
      </c>
      <c r="E1058" s="12">
        <v>6653.02</v>
      </c>
      <c r="F1058" s="10" t="s">
        <v>1816</v>
      </c>
    </row>
    <row r="1059" spans="1:6" x14ac:dyDescent="0.25">
      <c r="A1059" s="13" t="s">
        <v>2924</v>
      </c>
      <c r="B1059" s="14">
        <v>45798</v>
      </c>
      <c r="C1059" s="13" t="s">
        <v>1862</v>
      </c>
      <c r="D1059" s="13" t="s">
        <v>1786</v>
      </c>
      <c r="E1059" s="15">
        <v>7065.41</v>
      </c>
      <c r="F1059" s="13" t="s">
        <v>1830</v>
      </c>
    </row>
    <row r="1060" spans="1:6" x14ac:dyDescent="0.25">
      <c r="A1060" s="10" t="s">
        <v>2925</v>
      </c>
      <c r="B1060" s="11">
        <v>45780</v>
      </c>
      <c r="C1060" s="10" t="s">
        <v>1862</v>
      </c>
      <c r="D1060" s="10" t="s">
        <v>1789</v>
      </c>
      <c r="E1060" s="12">
        <v>5055.6099999999997</v>
      </c>
      <c r="F1060" s="10" t="s">
        <v>1776</v>
      </c>
    </row>
    <row r="1061" spans="1:6" x14ac:dyDescent="0.25">
      <c r="A1061" s="13" t="s">
        <v>2926</v>
      </c>
      <c r="B1061" s="14">
        <v>45798</v>
      </c>
      <c r="C1061" s="13" t="s">
        <v>1862</v>
      </c>
      <c r="D1061" s="13" t="s">
        <v>1792</v>
      </c>
      <c r="E1061" s="15">
        <v>7488.58</v>
      </c>
      <c r="F1061" s="13" t="s">
        <v>1888</v>
      </c>
    </row>
    <row r="1062" spans="1:6" x14ac:dyDescent="0.25">
      <c r="A1062" s="10" t="s">
        <v>2927</v>
      </c>
      <c r="B1062" s="11">
        <v>45799</v>
      </c>
      <c r="C1062" s="10" t="s">
        <v>1862</v>
      </c>
      <c r="D1062" s="10" t="s">
        <v>1795</v>
      </c>
      <c r="E1062" s="12">
        <v>3055.09</v>
      </c>
      <c r="F1062" s="10" t="s">
        <v>1906</v>
      </c>
    </row>
    <row r="1063" spans="1:6" x14ac:dyDescent="0.25">
      <c r="A1063" s="13" t="s">
        <v>2928</v>
      </c>
      <c r="B1063" s="14">
        <v>45797</v>
      </c>
      <c r="C1063" s="13" t="s">
        <v>1862</v>
      </c>
      <c r="D1063" s="13" t="s">
        <v>1797</v>
      </c>
      <c r="E1063" s="15">
        <v>2280.5700000000002</v>
      </c>
      <c r="F1063" s="13" t="s">
        <v>1977</v>
      </c>
    </row>
    <row r="1064" spans="1:6" x14ac:dyDescent="0.25">
      <c r="A1064" s="10" t="s">
        <v>2929</v>
      </c>
      <c r="B1064" s="11">
        <v>45797</v>
      </c>
      <c r="C1064" s="10" t="s">
        <v>1877</v>
      </c>
      <c r="D1064" s="10" t="s">
        <v>1775</v>
      </c>
      <c r="E1064" s="12">
        <v>62242.54</v>
      </c>
      <c r="F1064" s="10" t="s">
        <v>1828</v>
      </c>
    </row>
    <row r="1065" spans="1:6" x14ac:dyDescent="0.25">
      <c r="A1065" s="13" t="s">
        <v>2930</v>
      </c>
      <c r="B1065" s="14">
        <v>45797</v>
      </c>
      <c r="C1065" s="13" t="s">
        <v>1877</v>
      </c>
      <c r="D1065" s="13" t="s">
        <v>1778</v>
      </c>
      <c r="E1065" s="15">
        <v>14468.27</v>
      </c>
      <c r="F1065" s="13" t="s">
        <v>1960</v>
      </c>
    </row>
    <row r="1066" spans="1:6" x14ac:dyDescent="0.25">
      <c r="A1066" s="10" t="s">
        <v>2931</v>
      </c>
      <c r="B1066" s="11">
        <v>45799</v>
      </c>
      <c r="C1066" s="10" t="s">
        <v>1877</v>
      </c>
      <c r="D1066" s="10" t="s">
        <v>1780</v>
      </c>
      <c r="E1066" s="12">
        <v>7556.36</v>
      </c>
      <c r="F1066" s="10" t="s">
        <v>1865</v>
      </c>
    </row>
    <row r="1067" spans="1:6" x14ac:dyDescent="0.25">
      <c r="A1067" s="13" t="s">
        <v>2932</v>
      </c>
      <c r="B1067" s="14">
        <v>45799</v>
      </c>
      <c r="C1067" s="13" t="s">
        <v>1877</v>
      </c>
      <c r="D1067" s="13" t="s">
        <v>1783</v>
      </c>
      <c r="E1067" s="15">
        <v>12434.66</v>
      </c>
      <c r="F1067" s="13" t="s">
        <v>1880</v>
      </c>
    </row>
    <row r="1068" spans="1:6" x14ac:dyDescent="0.25">
      <c r="A1068" s="10" t="s">
        <v>2933</v>
      </c>
      <c r="B1068" s="11">
        <v>45790</v>
      </c>
      <c r="C1068" s="10" t="s">
        <v>1877</v>
      </c>
      <c r="D1068" s="10" t="s">
        <v>1786</v>
      </c>
      <c r="E1068" s="12">
        <v>12206.64</v>
      </c>
      <c r="F1068" s="10" t="s">
        <v>1822</v>
      </c>
    </row>
    <row r="1069" spans="1:6" x14ac:dyDescent="0.25">
      <c r="A1069" s="13" t="s">
        <v>2934</v>
      </c>
      <c r="B1069" s="14">
        <v>45783</v>
      </c>
      <c r="C1069" s="13" t="s">
        <v>1877</v>
      </c>
      <c r="D1069" s="13" t="s">
        <v>1789</v>
      </c>
      <c r="E1069" s="15">
        <v>7797.81</v>
      </c>
      <c r="F1069" s="13" t="s">
        <v>2186</v>
      </c>
    </row>
    <row r="1070" spans="1:6" x14ac:dyDescent="0.25">
      <c r="A1070" s="10" t="s">
        <v>2935</v>
      </c>
      <c r="B1070" s="11">
        <v>45801</v>
      </c>
      <c r="C1070" s="10" t="s">
        <v>1877</v>
      </c>
      <c r="D1070" s="10" t="s">
        <v>1792</v>
      </c>
      <c r="E1070" s="12">
        <v>9825.09</v>
      </c>
      <c r="F1070" s="10" t="s">
        <v>1901</v>
      </c>
    </row>
    <row r="1071" spans="1:6" x14ac:dyDescent="0.25">
      <c r="A1071" s="13" t="s">
        <v>2936</v>
      </c>
      <c r="B1071" s="14">
        <v>45791</v>
      </c>
      <c r="C1071" s="13" t="s">
        <v>1877</v>
      </c>
      <c r="D1071" s="13" t="s">
        <v>1795</v>
      </c>
      <c r="E1071" s="15">
        <v>3886.85</v>
      </c>
      <c r="F1071" s="13" t="s">
        <v>2005</v>
      </c>
    </row>
    <row r="1072" spans="1:6" x14ac:dyDescent="0.25">
      <c r="A1072" s="10" t="s">
        <v>2937</v>
      </c>
      <c r="B1072" s="11">
        <v>45783</v>
      </c>
      <c r="C1072" s="10" t="s">
        <v>1877</v>
      </c>
      <c r="D1072" s="10" t="s">
        <v>1797</v>
      </c>
      <c r="E1072" s="12">
        <v>4073.8</v>
      </c>
      <c r="F1072" s="10" t="s">
        <v>1924</v>
      </c>
    </row>
    <row r="1073" spans="1:6" x14ac:dyDescent="0.25">
      <c r="A1073" s="13" t="s">
        <v>2938</v>
      </c>
      <c r="B1073" s="14">
        <v>45809</v>
      </c>
      <c r="C1073" s="13" t="s">
        <v>1774</v>
      </c>
      <c r="D1073" s="13" t="s">
        <v>1775</v>
      </c>
      <c r="E1073" s="15">
        <v>114041.96</v>
      </c>
      <c r="F1073" s="13" t="s">
        <v>1935</v>
      </c>
    </row>
    <row r="1074" spans="1:6" x14ac:dyDescent="0.25">
      <c r="A1074" s="10" t="s">
        <v>2939</v>
      </c>
      <c r="B1074" s="11">
        <v>45813</v>
      </c>
      <c r="C1074" s="10" t="s">
        <v>1774</v>
      </c>
      <c r="D1074" s="10" t="s">
        <v>1778</v>
      </c>
      <c r="E1074" s="12">
        <v>20223.62</v>
      </c>
      <c r="F1074" s="10" t="s">
        <v>1927</v>
      </c>
    </row>
    <row r="1075" spans="1:6" x14ac:dyDescent="0.25">
      <c r="A1075" s="13" t="s">
        <v>2940</v>
      </c>
      <c r="B1075" s="14">
        <v>45829</v>
      </c>
      <c r="C1075" s="13" t="s">
        <v>1774</v>
      </c>
      <c r="D1075" s="13" t="s">
        <v>1780</v>
      </c>
      <c r="E1075" s="15">
        <v>10622.33</v>
      </c>
      <c r="F1075" s="13" t="s">
        <v>1822</v>
      </c>
    </row>
    <row r="1076" spans="1:6" x14ac:dyDescent="0.25">
      <c r="A1076" s="10" t="s">
        <v>2941</v>
      </c>
      <c r="B1076" s="11">
        <v>45833</v>
      </c>
      <c r="C1076" s="10" t="s">
        <v>1774</v>
      </c>
      <c r="D1076" s="10" t="s">
        <v>1783</v>
      </c>
      <c r="E1076" s="12">
        <v>19531.939999999999</v>
      </c>
      <c r="F1076" s="10" t="s">
        <v>1884</v>
      </c>
    </row>
    <row r="1077" spans="1:6" x14ac:dyDescent="0.25">
      <c r="A1077" s="13" t="s">
        <v>2942</v>
      </c>
      <c r="B1077" s="14">
        <v>45825</v>
      </c>
      <c r="C1077" s="13" t="s">
        <v>1774</v>
      </c>
      <c r="D1077" s="13" t="s">
        <v>1786</v>
      </c>
      <c r="E1077" s="15">
        <v>18053.21</v>
      </c>
      <c r="F1077" s="13" t="s">
        <v>1898</v>
      </c>
    </row>
    <row r="1078" spans="1:6" x14ac:dyDescent="0.25">
      <c r="A1078" s="10" t="s">
        <v>2943</v>
      </c>
      <c r="B1078" s="11">
        <v>45816</v>
      </c>
      <c r="C1078" s="10" t="s">
        <v>1774</v>
      </c>
      <c r="D1078" s="10" t="s">
        <v>1789</v>
      </c>
      <c r="E1078" s="12">
        <v>9448.92</v>
      </c>
      <c r="F1078" s="10" t="s">
        <v>1939</v>
      </c>
    </row>
    <row r="1079" spans="1:6" x14ac:dyDescent="0.25">
      <c r="A1079" s="13" t="s">
        <v>2944</v>
      </c>
      <c r="B1079" s="14">
        <v>45822</v>
      </c>
      <c r="C1079" s="13" t="s">
        <v>1774</v>
      </c>
      <c r="D1079" s="13" t="s">
        <v>1792</v>
      </c>
      <c r="E1079" s="15">
        <v>18778.21</v>
      </c>
      <c r="F1079" s="13" t="s">
        <v>2093</v>
      </c>
    </row>
    <row r="1080" spans="1:6" x14ac:dyDescent="0.25">
      <c r="A1080" s="10" t="s">
        <v>2945</v>
      </c>
      <c r="B1080" s="11">
        <v>45810</v>
      </c>
      <c r="C1080" s="10" t="s">
        <v>1774</v>
      </c>
      <c r="D1080" s="10" t="s">
        <v>1795</v>
      </c>
      <c r="E1080" s="12">
        <v>7033.56</v>
      </c>
      <c r="F1080" s="10" t="s">
        <v>2024</v>
      </c>
    </row>
    <row r="1081" spans="1:6" x14ac:dyDescent="0.25">
      <c r="A1081" s="13" t="s">
        <v>2946</v>
      </c>
      <c r="B1081" s="14">
        <v>45813</v>
      </c>
      <c r="C1081" s="13" t="s">
        <v>1774</v>
      </c>
      <c r="D1081" s="13" t="s">
        <v>1797</v>
      </c>
      <c r="E1081" s="15">
        <v>6492.03</v>
      </c>
      <c r="F1081" s="13" t="s">
        <v>1882</v>
      </c>
    </row>
    <row r="1082" spans="1:6" x14ac:dyDescent="0.25">
      <c r="A1082" s="10" t="s">
        <v>2947</v>
      </c>
      <c r="B1082" s="11">
        <v>45809</v>
      </c>
      <c r="C1082" s="10" t="s">
        <v>1799</v>
      </c>
      <c r="D1082" s="10" t="s">
        <v>1775</v>
      </c>
      <c r="E1082" s="12">
        <v>53481.83</v>
      </c>
      <c r="F1082" s="10" t="s">
        <v>2062</v>
      </c>
    </row>
    <row r="1083" spans="1:6" x14ac:dyDescent="0.25">
      <c r="A1083" s="13" t="s">
        <v>2948</v>
      </c>
      <c r="B1083" s="14">
        <v>45819</v>
      </c>
      <c r="C1083" s="13" t="s">
        <v>1799</v>
      </c>
      <c r="D1083" s="13" t="s">
        <v>1778</v>
      </c>
      <c r="E1083" s="15">
        <v>9776.4599999999991</v>
      </c>
      <c r="F1083" s="13" t="s">
        <v>1863</v>
      </c>
    </row>
    <row r="1084" spans="1:6" x14ac:dyDescent="0.25">
      <c r="A1084" s="10" t="s">
        <v>2949</v>
      </c>
      <c r="B1084" s="11">
        <v>45812</v>
      </c>
      <c r="C1084" s="10" t="s">
        <v>1799</v>
      </c>
      <c r="D1084" s="10" t="s">
        <v>1780</v>
      </c>
      <c r="E1084" s="12">
        <v>5504.53</v>
      </c>
      <c r="F1084" s="10" t="s">
        <v>2040</v>
      </c>
    </row>
    <row r="1085" spans="1:6" x14ac:dyDescent="0.25">
      <c r="A1085" s="13" t="s">
        <v>2950</v>
      </c>
      <c r="B1085" s="14">
        <v>45812</v>
      </c>
      <c r="C1085" s="13" t="s">
        <v>1799</v>
      </c>
      <c r="D1085" s="13" t="s">
        <v>1783</v>
      </c>
      <c r="E1085" s="15">
        <v>8176.81</v>
      </c>
      <c r="F1085" s="13" t="s">
        <v>2062</v>
      </c>
    </row>
    <row r="1086" spans="1:6" x14ac:dyDescent="0.25">
      <c r="A1086" s="10" t="s">
        <v>2951</v>
      </c>
      <c r="B1086" s="11">
        <v>45811</v>
      </c>
      <c r="C1086" s="10" t="s">
        <v>1799</v>
      </c>
      <c r="D1086" s="10" t="s">
        <v>1786</v>
      </c>
      <c r="E1086" s="12">
        <v>7875.85</v>
      </c>
      <c r="F1086" s="10" t="s">
        <v>1977</v>
      </c>
    </row>
    <row r="1087" spans="1:6" x14ac:dyDescent="0.25">
      <c r="A1087" s="13" t="s">
        <v>2952</v>
      </c>
      <c r="B1087" s="14">
        <v>45832</v>
      </c>
      <c r="C1087" s="13" t="s">
        <v>1799</v>
      </c>
      <c r="D1087" s="13" t="s">
        <v>1789</v>
      </c>
      <c r="E1087" s="15">
        <v>4433.16</v>
      </c>
      <c r="F1087" s="13" t="s">
        <v>1804</v>
      </c>
    </row>
    <row r="1088" spans="1:6" x14ac:dyDescent="0.25">
      <c r="A1088" s="10" t="s">
        <v>2953</v>
      </c>
      <c r="B1088" s="11">
        <v>45815</v>
      </c>
      <c r="C1088" s="10" t="s">
        <v>1799</v>
      </c>
      <c r="D1088" s="10" t="s">
        <v>1792</v>
      </c>
      <c r="E1088" s="12">
        <v>8608.83</v>
      </c>
      <c r="F1088" s="10" t="s">
        <v>1865</v>
      </c>
    </row>
    <row r="1089" spans="1:6" x14ac:dyDescent="0.25">
      <c r="A1089" s="13" t="s">
        <v>2954</v>
      </c>
      <c r="B1089" s="14">
        <v>45823</v>
      </c>
      <c r="C1089" s="13" t="s">
        <v>1799</v>
      </c>
      <c r="D1089" s="13" t="s">
        <v>1795</v>
      </c>
      <c r="E1089" s="15">
        <v>2662.31</v>
      </c>
      <c r="F1089" s="13" t="s">
        <v>1946</v>
      </c>
    </row>
    <row r="1090" spans="1:6" x14ac:dyDescent="0.25">
      <c r="A1090" s="10" t="s">
        <v>2955</v>
      </c>
      <c r="B1090" s="11">
        <v>45819</v>
      </c>
      <c r="C1090" s="10" t="s">
        <v>1799</v>
      </c>
      <c r="D1090" s="10" t="s">
        <v>1797</v>
      </c>
      <c r="E1090" s="12">
        <v>2895.72</v>
      </c>
      <c r="F1090" s="10" t="s">
        <v>1886</v>
      </c>
    </row>
    <row r="1091" spans="1:6" x14ac:dyDescent="0.25">
      <c r="A1091" s="13" t="s">
        <v>2956</v>
      </c>
      <c r="B1091" s="14">
        <v>45824</v>
      </c>
      <c r="C1091" s="13" t="s">
        <v>1818</v>
      </c>
      <c r="D1091" s="13" t="s">
        <v>1775</v>
      </c>
      <c r="E1091" s="15">
        <v>39055</v>
      </c>
      <c r="F1091" s="13" t="s">
        <v>1997</v>
      </c>
    </row>
    <row r="1092" spans="1:6" x14ac:dyDescent="0.25">
      <c r="A1092" s="10" t="s">
        <v>2957</v>
      </c>
      <c r="B1092" s="11">
        <v>45817</v>
      </c>
      <c r="C1092" s="10" t="s">
        <v>1818</v>
      </c>
      <c r="D1092" s="10" t="s">
        <v>1778</v>
      </c>
      <c r="E1092" s="12">
        <v>6842.08</v>
      </c>
      <c r="F1092" s="10" t="s">
        <v>1960</v>
      </c>
    </row>
    <row r="1093" spans="1:6" x14ac:dyDescent="0.25">
      <c r="A1093" s="13" t="s">
        <v>2958</v>
      </c>
      <c r="B1093" s="14">
        <v>45834</v>
      </c>
      <c r="C1093" s="13" t="s">
        <v>1818</v>
      </c>
      <c r="D1093" s="13" t="s">
        <v>1780</v>
      </c>
      <c r="E1093" s="15">
        <v>3480.6</v>
      </c>
      <c r="F1093" s="13" t="s">
        <v>1850</v>
      </c>
    </row>
    <row r="1094" spans="1:6" x14ac:dyDescent="0.25">
      <c r="A1094" s="10" t="s">
        <v>2959</v>
      </c>
      <c r="B1094" s="11">
        <v>45835</v>
      </c>
      <c r="C1094" s="10" t="s">
        <v>1818</v>
      </c>
      <c r="D1094" s="10" t="s">
        <v>1783</v>
      </c>
      <c r="E1094" s="12">
        <v>5455.88</v>
      </c>
      <c r="F1094" s="10" t="s">
        <v>1985</v>
      </c>
    </row>
    <row r="1095" spans="1:6" x14ac:dyDescent="0.25">
      <c r="A1095" s="13" t="s">
        <v>2960</v>
      </c>
      <c r="B1095" s="14">
        <v>45814</v>
      </c>
      <c r="C1095" s="13" t="s">
        <v>1818</v>
      </c>
      <c r="D1095" s="13" t="s">
        <v>1786</v>
      </c>
      <c r="E1095" s="15">
        <v>6939.42</v>
      </c>
      <c r="F1095" s="13" t="s">
        <v>1880</v>
      </c>
    </row>
    <row r="1096" spans="1:6" x14ac:dyDescent="0.25">
      <c r="A1096" s="10" t="s">
        <v>2961</v>
      </c>
      <c r="B1096" s="11">
        <v>45809</v>
      </c>
      <c r="C1096" s="10" t="s">
        <v>1818</v>
      </c>
      <c r="D1096" s="10" t="s">
        <v>1789</v>
      </c>
      <c r="E1096" s="12">
        <v>3262.26</v>
      </c>
      <c r="F1096" s="10" t="s">
        <v>1882</v>
      </c>
    </row>
    <row r="1097" spans="1:6" x14ac:dyDescent="0.25">
      <c r="A1097" s="13" t="s">
        <v>2962</v>
      </c>
      <c r="B1097" s="14">
        <v>45834</v>
      </c>
      <c r="C1097" s="13" t="s">
        <v>1818</v>
      </c>
      <c r="D1097" s="13" t="s">
        <v>1792</v>
      </c>
      <c r="E1097" s="15">
        <v>7228.67</v>
      </c>
      <c r="F1097" s="13" t="s">
        <v>1824</v>
      </c>
    </row>
    <row r="1098" spans="1:6" x14ac:dyDescent="0.25">
      <c r="A1098" s="10" t="s">
        <v>2963</v>
      </c>
      <c r="B1098" s="11">
        <v>45819</v>
      </c>
      <c r="C1098" s="10" t="s">
        <v>1818</v>
      </c>
      <c r="D1098" s="10" t="s">
        <v>1795</v>
      </c>
      <c r="E1098" s="12">
        <v>2637.23</v>
      </c>
      <c r="F1098" s="10" t="s">
        <v>1814</v>
      </c>
    </row>
    <row r="1099" spans="1:6" x14ac:dyDescent="0.25">
      <c r="A1099" s="13" t="s">
        <v>2964</v>
      </c>
      <c r="B1099" s="14">
        <v>45809</v>
      </c>
      <c r="C1099" s="13" t="s">
        <v>1818</v>
      </c>
      <c r="D1099" s="13" t="s">
        <v>1797</v>
      </c>
      <c r="E1099" s="15">
        <v>2435.98</v>
      </c>
      <c r="F1099" s="13" t="s">
        <v>1939</v>
      </c>
    </row>
    <row r="1100" spans="1:6" x14ac:dyDescent="0.25">
      <c r="A1100" s="10" t="s">
        <v>2965</v>
      </c>
      <c r="B1100" s="11">
        <v>45818</v>
      </c>
      <c r="C1100" s="10" t="s">
        <v>1786</v>
      </c>
      <c r="D1100" s="10" t="s">
        <v>1775</v>
      </c>
      <c r="E1100" s="12">
        <v>88425.58</v>
      </c>
      <c r="F1100" s="10" t="s">
        <v>1833</v>
      </c>
    </row>
    <row r="1101" spans="1:6" x14ac:dyDescent="0.25">
      <c r="A1101" s="13" t="s">
        <v>2966</v>
      </c>
      <c r="B1101" s="14">
        <v>45823</v>
      </c>
      <c r="C1101" s="13" t="s">
        <v>1786</v>
      </c>
      <c r="D1101" s="13" t="s">
        <v>1778</v>
      </c>
      <c r="E1101" s="15">
        <v>17216.98</v>
      </c>
      <c r="F1101" s="13" t="s">
        <v>1882</v>
      </c>
    </row>
    <row r="1102" spans="1:6" x14ac:dyDescent="0.25">
      <c r="A1102" s="10" t="s">
        <v>2967</v>
      </c>
      <c r="B1102" s="11">
        <v>45828</v>
      </c>
      <c r="C1102" s="10" t="s">
        <v>1786</v>
      </c>
      <c r="D1102" s="10" t="s">
        <v>1780</v>
      </c>
      <c r="E1102" s="12">
        <v>8368.33</v>
      </c>
      <c r="F1102" s="10" t="s">
        <v>1838</v>
      </c>
    </row>
    <row r="1103" spans="1:6" x14ac:dyDescent="0.25">
      <c r="A1103" s="13" t="s">
        <v>2968</v>
      </c>
      <c r="B1103" s="14">
        <v>45811</v>
      </c>
      <c r="C1103" s="13" t="s">
        <v>1786</v>
      </c>
      <c r="D1103" s="13" t="s">
        <v>1783</v>
      </c>
      <c r="E1103" s="15">
        <v>11672.2</v>
      </c>
      <c r="F1103" s="13" t="s">
        <v>1960</v>
      </c>
    </row>
    <row r="1104" spans="1:6" x14ac:dyDescent="0.25">
      <c r="A1104" s="10" t="s">
        <v>2969</v>
      </c>
      <c r="B1104" s="11">
        <v>45829</v>
      </c>
      <c r="C1104" s="10" t="s">
        <v>1786</v>
      </c>
      <c r="D1104" s="10" t="s">
        <v>1786</v>
      </c>
      <c r="E1104" s="12">
        <v>12794.1</v>
      </c>
      <c r="F1104" s="10" t="s">
        <v>1946</v>
      </c>
    </row>
    <row r="1105" spans="1:6" x14ac:dyDescent="0.25">
      <c r="A1105" s="13" t="s">
        <v>2970</v>
      </c>
      <c r="B1105" s="14">
        <v>45824</v>
      </c>
      <c r="C1105" s="13" t="s">
        <v>1786</v>
      </c>
      <c r="D1105" s="13" t="s">
        <v>1789</v>
      </c>
      <c r="E1105" s="15">
        <v>8653.17</v>
      </c>
      <c r="F1105" s="13" t="s">
        <v>1824</v>
      </c>
    </row>
    <row r="1106" spans="1:6" x14ac:dyDescent="0.25">
      <c r="A1106" s="10" t="s">
        <v>2971</v>
      </c>
      <c r="B1106" s="11">
        <v>45823</v>
      </c>
      <c r="C1106" s="10" t="s">
        <v>1786</v>
      </c>
      <c r="D1106" s="10" t="s">
        <v>1792</v>
      </c>
      <c r="E1106" s="12">
        <v>13150.53</v>
      </c>
      <c r="F1106" s="10" t="s">
        <v>1820</v>
      </c>
    </row>
    <row r="1107" spans="1:6" x14ac:dyDescent="0.25">
      <c r="A1107" s="13" t="s">
        <v>2972</v>
      </c>
      <c r="B1107" s="14">
        <v>45828</v>
      </c>
      <c r="C1107" s="13" t="s">
        <v>1786</v>
      </c>
      <c r="D1107" s="13" t="s">
        <v>1795</v>
      </c>
      <c r="E1107" s="15">
        <v>4039.07</v>
      </c>
      <c r="F1107" s="13" t="s">
        <v>1820</v>
      </c>
    </row>
    <row r="1108" spans="1:6" x14ac:dyDescent="0.25">
      <c r="A1108" s="10" t="s">
        <v>2973</v>
      </c>
      <c r="B1108" s="11">
        <v>45826</v>
      </c>
      <c r="C1108" s="10" t="s">
        <v>1786</v>
      </c>
      <c r="D1108" s="10" t="s">
        <v>1797</v>
      </c>
      <c r="E1108" s="12">
        <v>3850.9</v>
      </c>
      <c r="F1108" s="10" t="s">
        <v>1854</v>
      </c>
    </row>
    <row r="1109" spans="1:6" x14ac:dyDescent="0.25">
      <c r="A1109" s="13" t="s">
        <v>2974</v>
      </c>
      <c r="B1109" s="14">
        <v>45824</v>
      </c>
      <c r="C1109" s="13" t="s">
        <v>1792</v>
      </c>
      <c r="D1109" s="13" t="s">
        <v>1775</v>
      </c>
      <c r="E1109" s="15">
        <v>80558.5</v>
      </c>
      <c r="F1109" s="13" t="s">
        <v>1970</v>
      </c>
    </row>
    <row r="1110" spans="1:6" x14ac:dyDescent="0.25">
      <c r="A1110" s="10" t="s">
        <v>2975</v>
      </c>
      <c r="B1110" s="11">
        <v>45818</v>
      </c>
      <c r="C1110" s="10" t="s">
        <v>1792</v>
      </c>
      <c r="D1110" s="10" t="s">
        <v>1778</v>
      </c>
      <c r="E1110" s="12">
        <v>18152.310000000001</v>
      </c>
      <c r="F1110" s="10" t="s">
        <v>1898</v>
      </c>
    </row>
    <row r="1111" spans="1:6" x14ac:dyDescent="0.25">
      <c r="A1111" s="13" t="s">
        <v>2976</v>
      </c>
      <c r="B1111" s="14">
        <v>45816</v>
      </c>
      <c r="C1111" s="13" t="s">
        <v>1792</v>
      </c>
      <c r="D1111" s="13" t="s">
        <v>1780</v>
      </c>
      <c r="E1111" s="15">
        <v>9953.89</v>
      </c>
      <c r="F1111" s="13" t="s">
        <v>2128</v>
      </c>
    </row>
    <row r="1112" spans="1:6" x14ac:dyDescent="0.25">
      <c r="A1112" s="10" t="s">
        <v>2977</v>
      </c>
      <c r="B1112" s="11">
        <v>45824</v>
      </c>
      <c r="C1112" s="10" t="s">
        <v>1792</v>
      </c>
      <c r="D1112" s="10" t="s">
        <v>1783</v>
      </c>
      <c r="E1112" s="12">
        <v>13346.53</v>
      </c>
      <c r="F1112" s="10" t="s">
        <v>1790</v>
      </c>
    </row>
    <row r="1113" spans="1:6" x14ac:dyDescent="0.25">
      <c r="A1113" s="13" t="s">
        <v>2978</v>
      </c>
      <c r="B1113" s="14">
        <v>45819</v>
      </c>
      <c r="C1113" s="13" t="s">
        <v>1792</v>
      </c>
      <c r="D1113" s="13" t="s">
        <v>1786</v>
      </c>
      <c r="E1113" s="15">
        <v>13372.99</v>
      </c>
      <c r="F1113" s="13" t="s">
        <v>1836</v>
      </c>
    </row>
    <row r="1114" spans="1:6" x14ac:dyDescent="0.25">
      <c r="A1114" s="10" t="s">
        <v>2979</v>
      </c>
      <c r="B1114" s="11">
        <v>45833</v>
      </c>
      <c r="C1114" s="10" t="s">
        <v>1792</v>
      </c>
      <c r="D1114" s="10" t="s">
        <v>1789</v>
      </c>
      <c r="E1114" s="12">
        <v>8250.33</v>
      </c>
      <c r="F1114" s="10" t="s">
        <v>1886</v>
      </c>
    </row>
    <row r="1115" spans="1:6" x14ac:dyDescent="0.25">
      <c r="A1115" s="13" t="s">
        <v>2980</v>
      </c>
      <c r="B1115" s="14">
        <v>45809</v>
      </c>
      <c r="C1115" s="13" t="s">
        <v>1792</v>
      </c>
      <c r="D1115" s="13" t="s">
        <v>1792</v>
      </c>
      <c r="E1115" s="15">
        <v>16637.509999999998</v>
      </c>
      <c r="F1115" s="13" t="s">
        <v>1886</v>
      </c>
    </row>
    <row r="1116" spans="1:6" x14ac:dyDescent="0.25">
      <c r="A1116" s="10" t="s">
        <v>2981</v>
      </c>
      <c r="B1116" s="11">
        <v>45815</v>
      </c>
      <c r="C1116" s="10" t="s">
        <v>1792</v>
      </c>
      <c r="D1116" s="10" t="s">
        <v>1795</v>
      </c>
      <c r="E1116" s="12">
        <v>6301.45</v>
      </c>
      <c r="F1116" s="10" t="s">
        <v>1886</v>
      </c>
    </row>
    <row r="1117" spans="1:6" x14ac:dyDescent="0.25">
      <c r="A1117" s="13" t="s">
        <v>2982</v>
      </c>
      <c r="B1117" s="14">
        <v>45813</v>
      </c>
      <c r="C1117" s="13" t="s">
        <v>1792</v>
      </c>
      <c r="D1117" s="13" t="s">
        <v>1797</v>
      </c>
      <c r="E1117" s="15">
        <v>6276.89</v>
      </c>
      <c r="F1117" s="13" t="s">
        <v>1884</v>
      </c>
    </row>
    <row r="1118" spans="1:6" x14ac:dyDescent="0.25">
      <c r="A1118" s="10" t="s">
        <v>2983</v>
      </c>
      <c r="B1118" s="11">
        <v>45814</v>
      </c>
      <c r="C1118" s="10" t="s">
        <v>1862</v>
      </c>
      <c r="D1118" s="10" t="s">
        <v>1775</v>
      </c>
      <c r="E1118" s="12">
        <v>42873.27</v>
      </c>
      <c r="F1118" s="10" t="s">
        <v>2078</v>
      </c>
    </row>
    <row r="1119" spans="1:6" x14ac:dyDescent="0.25">
      <c r="A1119" s="13" t="s">
        <v>2984</v>
      </c>
      <c r="B1119" s="14">
        <v>45828</v>
      </c>
      <c r="C1119" s="13" t="s">
        <v>1862</v>
      </c>
      <c r="D1119" s="13" t="s">
        <v>1778</v>
      </c>
      <c r="E1119" s="15">
        <v>7753.53</v>
      </c>
      <c r="F1119" s="13" t="s">
        <v>1886</v>
      </c>
    </row>
    <row r="1120" spans="1:6" x14ac:dyDescent="0.25">
      <c r="A1120" s="10" t="s">
        <v>2985</v>
      </c>
      <c r="B1120" s="11">
        <v>45825</v>
      </c>
      <c r="C1120" s="10" t="s">
        <v>1862</v>
      </c>
      <c r="D1120" s="10" t="s">
        <v>1780</v>
      </c>
      <c r="E1120" s="12">
        <v>4538.17</v>
      </c>
      <c r="F1120" s="10" t="s">
        <v>2024</v>
      </c>
    </row>
    <row r="1121" spans="1:6" x14ac:dyDescent="0.25">
      <c r="A1121" s="13" t="s">
        <v>2986</v>
      </c>
      <c r="B1121" s="14">
        <v>45809</v>
      </c>
      <c r="C1121" s="13" t="s">
        <v>1862</v>
      </c>
      <c r="D1121" s="13" t="s">
        <v>1783</v>
      </c>
      <c r="E1121" s="15">
        <v>8122.16</v>
      </c>
      <c r="F1121" s="13" t="s">
        <v>1820</v>
      </c>
    </row>
    <row r="1122" spans="1:6" x14ac:dyDescent="0.25">
      <c r="A1122" s="10" t="s">
        <v>2987</v>
      </c>
      <c r="B1122" s="11">
        <v>45817</v>
      </c>
      <c r="C1122" s="10" t="s">
        <v>1862</v>
      </c>
      <c r="D1122" s="10" t="s">
        <v>1786</v>
      </c>
      <c r="E1122" s="12">
        <v>6505.67</v>
      </c>
      <c r="F1122" s="10" t="s">
        <v>1985</v>
      </c>
    </row>
    <row r="1123" spans="1:6" x14ac:dyDescent="0.25">
      <c r="A1123" s="13" t="s">
        <v>2988</v>
      </c>
      <c r="B1123" s="14">
        <v>45830</v>
      </c>
      <c r="C1123" s="13" t="s">
        <v>1862</v>
      </c>
      <c r="D1123" s="13" t="s">
        <v>1789</v>
      </c>
      <c r="E1123" s="15">
        <v>4002.92</v>
      </c>
      <c r="F1123" s="13" t="s">
        <v>1802</v>
      </c>
    </row>
    <row r="1124" spans="1:6" x14ac:dyDescent="0.25">
      <c r="A1124" s="10" t="s">
        <v>2989</v>
      </c>
      <c r="B1124" s="11">
        <v>45819</v>
      </c>
      <c r="C1124" s="10" t="s">
        <v>1862</v>
      </c>
      <c r="D1124" s="10" t="s">
        <v>1792</v>
      </c>
      <c r="E1124" s="12">
        <v>8047.94</v>
      </c>
      <c r="F1124" s="10" t="s">
        <v>1886</v>
      </c>
    </row>
    <row r="1125" spans="1:6" x14ac:dyDescent="0.25">
      <c r="A1125" s="13" t="s">
        <v>2990</v>
      </c>
      <c r="B1125" s="14">
        <v>45822</v>
      </c>
      <c r="C1125" s="13" t="s">
        <v>1862</v>
      </c>
      <c r="D1125" s="13" t="s">
        <v>1795</v>
      </c>
      <c r="E1125" s="15">
        <v>2260.66</v>
      </c>
      <c r="F1125" s="13" t="s">
        <v>2411</v>
      </c>
    </row>
    <row r="1126" spans="1:6" x14ac:dyDescent="0.25">
      <c r="A1126" s="10" t="s">
        <v>2991</v>
      </c>
      <c r="B1126" s="11">
        <v>45831</v>
      </c>
      <c r="C1126" s="10" t="s">
        <v>1862</v>
      </c>
      <c r="D1126" s="10" t="s">
        <v>1797</v>
      </c>
      <c r="E1126" s="12">
        <v>2282.62</v>
      </c>
      <c r="F1126" s="10" t="s">
        <v>1960</v>
      </c>
    </row>
    <row r="1127" spans="1:6" x14ac:dyDescent="0.25">
      <c r="A1127" s="13" t="s">
        <v>2992</v>
      </c>
      <c r="B1127" s="14">
        <v>45822</v>
      </c>
      <c r="C1127" s="13" t="s">
        <v>1877</v>
      </c>
      <c r="D1127" s="13" t="s">
        <v>1775</v>
      </c>
      <c r="E1127" s="15">
        <v>65879.490000000005</v>
      </c>
      <c r="F1127" s="13" t="s">
        <v>1906</v>
      </c>
    </row>
    <row r="1128" spans="1:6" x14ac:dyDescent="0.25">
      <c r="A1128" s="10" t="s">
        <v>2993</v>
      </c>
      <c r="B1128" s="11">
        <v>45813</v>
      </c>
      <c r="C1128" s="10" t="s">
        <v>1877</v>
      </c>
      <c r="D1128" s="10" t="s">
        <v>1778</v>
      </c>
      <c r="E1128" s="12">
        <v>13893.02</v>
      </c>
      <c r="F1128" s="10" t="s">
        <v>2113</v>
      </c>
    </row>
    <row r="1129" spans="1:6" x14ac:dyDescent="0.25">
      <c r="A1129" s="13" t="s">
        <v>2994</v>
      </c>
      <c r="B1129" s="14">
        <v>45810</v>
      </c>
      <c r="C1129" s="13" t="s">
        <v>1877</v>
      </c>
      <c r="D1129" s="13" t="s">
        <v>1780</v>
      </c>
      <c r="E1129" s="15">
        <v>5636.49</v>
      </c>
      <c r="F1129" s="13" t="s">
        <v>1930</v>
      </c>
    </row>
    <row r="1130" spans="1:6" x14ac:dyDescent="0.25">
      <c r="A1130" s="10" t="s">
        <v>2995</v>
      </c>
      <c r="B1130" s="11">
        <v>45830</v>
      </c>
      <c r="C1130" s="10" t="s">
        <v>1877</v>
      </c>
      <c r="D1130" s="10" t="s">
        <v>1783</v>
      </c>
      <c r="E1130" s="12">
        <v>9043.4699999999993</v>
      </c>
      <c r="F1130" s="10" t="s">
        <v>1812</v>
      </c>
    </row>
    <row r="1131" spans="1:6" x14ac:dyDescent="0.25">
      <c r="A1131" s="13" t="s">
        <v>2996</v>
      </c>
      <c r="B1131" s="14">
        <v>45810</v>
      </c>
      <c r="C1131" s="13" t="s">
        <v>1877</v>
      </c>
      <c r="D1131" s="13" t="s">
        <v>1786</v>
      </c>
      <c r="E1131" s="15">
        <v>12412.53</v>
      </c>
      <c r="F1131" s="13" t="s">
        <v>1790</v>
      </c>
    </row>
    <row r="1132" spans="1:6" x14ac:dyDescent="0.25">
      <c r="A1132" s="10" t="s">
        <v>2997</v>
      </c>
      <c r="B1132" s="11">
        <v>45818</v>
      </c>
      <c r="C1132" s="10" t="s">
        <v>1877</v>
      </c>
      <c r="D1132" s="10" t="s">
        <v>1789</v>
      </c>
      <c r="E1132" s="12">
        <v>6019.1</v>
      </c>
      <c r="F1132" s="10" t="s">
        <v>1859</v>
      </c>
    </row>
    <row r="1133" spans="1:6" x14ac:dyDescent="0.25">
      <c r="A1133" s="13" t="s">
        <v>2998</v>
      </c>
      <c r="B1133" s="14">
        <v>45816</v>
      </c>
      <c r="C1133" s="13" t="s">
        <v>1877</v>
      </c>
      <c r="D1133" s="13" t="s">
        <v>1792</v>
      </c>
      <c r="E1133" s="15">
        <v>11792.35</v>
      </c>
      <c r="F1133" s="13" t="s">
        <v>1941</v>
      </c>
    </row>
    <row r="1134" spans="1:6" x14ac:dyDescent="0.25">
      <c r="A1134" s="10" t="s">
        <v>2999</v>
      </c>
      <c r="B1134" s="11">
        <v>45812</v>
      </c>
      <c r="C1134" s="10" t="s">
        <v>1877</v>
      </c>
      <c r="D1134" s="10" t="s">
        <v>1795</v>
      </c>
      <c r="E1134" s="12">
        <v>4293.0200000000004</v>
      </c>
      <c r="F1134" s="10" t="s">
        <v>1988</v>
      </c>
    </row>
    <row r="1135" spans="1:6" x14ac:dyDescent="0.25">
      <c r="A1135" s="13" t="s">
        <v>3000</v>
      </c>
      <c r="B1135" s="14">
        <v>45830</v>
      </c>
      <c r="C1135" s="13" t="s">
        <v>1877</v>
      </c>
      <c r="D1135" s="13" t="s">
        <v>1797</v>
      </c>
      <c r="E1135" s="15">
        <v>4094.56</v>
      </c>
      <c r="F1135" s="13" t="s">
        <v>1863</v>
      </c>
    </row>
    <row r="1136" spans="1:6" x14ac:dyDescent="0.25">
      <c r="A1136" s="10" t="s">
        <v>3001</v>
      </c>
      <c r="B1136" s="11">
        <v>45846</v>
      </c>
      <c r="C1136" s="10" t="s">
        <v>1774</v>
      </c>
      <c r="D1136" s="10" t="s">
        <v>1775</v>
      </c>
      <c r="E1136" s="12">
        <v>87906.07</v>
      </c>
      <c r="F1136" s="10" t="s">
        <v>1886</v>
      </c>
    </row>
    <row r="1137" spans="1:6" x14ac:dyDescent="0.25">
      <c r="A1137" s="13" t="s">
        <v>3002</v>
      </c>
      <c r="B1137" s="14">
        <v>45853</v>
      </c>
      <c r="C1137" s="13" t="s">
        <v>1774</v>
      </c>
      <c r="D1137" s="13" t="s">
        <v>1778</v>
      </c>
      <c r="E1137" s="15">
        <v>23093.53</v>
      </c>
      <c r="F1137" s="13" t="s">
        <v>1810</v>
      </c>
    </row>
    <row r="1138" spans="1:6" x14ac:dyDescent="0.25">
      <c r="A1138" s="10" t="s">
        <v>3003</v>
      </c>
      <c r="B1138" s="11">
        <v>45841</v>
      </c>
      <c r="C1138" s="10" t="s">
        <v>1774</v>
      </c>
      <c r="D1138" s="10" t="s">
        <v>1780</v>
      </c>
      <c r="E1138" s="12">
        <v>11571.97</v>
      </c>
      <c r="F1138" s="10" t="s">
        <v>1800</v>
      </c>
    </row>
    <row r="1139" spans="1:6" x14ac:dyDescent="0.25">
      <c r="A1139" s="13" t="s">
        <v>3004</v>
      </c>
      <c r="B1139" s="14">
        <v>45844</v>
      </c>
      <c r="C1139" s="13" t="s">
        <v>1774</v>
      </c>
      <c r="D1139" s="13" t="s">
        <v>1783</v>
      </c>
      <c r="E1139" s="15">
        <v>18324.02</v>
      </c>
      <c r="F1139" s="13" t="s">
        <v>1901</v>
      </c>
    </row>
    <row r="1140" spans="1:6" x14ac:dyDescent="0.25">
      <c r="A1140" s="10" t="s">
        <v>3005</v>
      </c>
      <c r="B1140" s="11">
        <v>45853</v>
      </c>
      <c r="C1140" s="10" t="s">
        <v>1774</v>
      </c>
      <c r="D1140" s="10" t="s">
        <v>1786</v>
      </c>
      <c r="E1140" s="12">
        <v>16156.47</v>
      </c>
      <c r="F1140" s="10" t="s">
        <v>1852</v>
      </c>
    </row>
    <row r="1141" spans="1:6" x14ac:dyDescent="0.25">
      <c r="A1141" s="13" t="s">
        <v>3006</v>
      </c>
      <c r="B1141" s="14">
        <v>45854</v>
      </c>
      <c r="C1141" s="13" t="s">
        <v>1774</v>
      </c>
      <c r="D1141" s="13" t="s">
        <v>1789</v>
      </c>
      <c r="E1141" s="15">
        <v>9513.01</v>
      </c>
      <c r="F1141" s="13" t="s">
        <v>1812</v>
      </c>
    </row>
    <row r="1142" spans="1:6" x14ac:dyDescent="0.25">
      <c r="A1142" s="10" t="s">
        <v>3007</v>
      </c>
      <c r="B1142" s="11">
        <v>45862</v>
      </c>
      <c r="C1142" s="10" t="s">
        <v>1774</v>
      </c>
      <c r="D1142" s="10" t="s">
        <v>1792</v>
      </c>
      <c r="E1142" s="12">
        <v>15707.95</v>
      </c>
      <c r="F1142" s="10" t="s">
        <v>2024</v>
      </c>
    </row>
    <row r="1143" spans="1:6" x14ac:dyDescent="0.25">
      <c r="A1143" s="13" t="s">
        <v>3008</v>
      </c>
      <c r="B1143" s="14">
        <v>45850</v>
      </c>
      <c r="C1143" s="13" t="s">
        <v>1774</v>
      </c>
      <c r="D1143" s="13" t="s">
        <v>1795</v>
      </c>
      <c r="E1143" s="15">
        <v>5594</v>
      </c>
      <c r="F1143" s="13" t="s">
        <v>1784</v>
      </c>
    </row>
    <row r="1144" spans="1:6" x14ac:dyDescent="0.25">
      <c r="A1144" s="10" t="s">
        <v>3009</v>
      </c>
      <c r="B1144" s="11">
        <v>45857</v>
      </c>
      <c r="C1144" s="10" t="s">
        <v>1774</v>
      </c>
      <c r="D1144" s="10" t="s">
        <v>1797</v>
      </c>
      <c r="E1144" s="12">
        <v>6943.87</v>
      </c>
      <c r="F1144" s="10" t="s">
        <v>1806</v>
      </c>
    </row>
    <row r="1145" spans="1:6" x14ac:dyDescent="0.25">
      <c r="A1145" s="13" t="s">
        <v>3010</v>
      </c>
      <c r="B1145" s="14">
        <v>45858</v>
      </c>
      <c r="C1145" s="13" t="s">
        <v>1799</v>
      </c>
      <c r="D1145" s="13" t="s">
        <v>1775</v>
      </c>
      <c r="E1145" s="15">
        <v>52251.83</v>
      </c>
      <c r="F1145" s="13" t="s">
        <v>1901</v>
      </c>
    </row>
    <row r="1146" spans="1:6" x14ac:dyDescent="0.25">
      <c r="A1146" s="10" t="s">
        <v>3011</v>
      </c>
      <c r="B1146" s="11">
        <v>45841</v>
      </c>
      <c r="C1146" s="10" t="s">
        <v>1799</v>
      </c>
      <c r="D1146" s="10" t="s">
        <v>1778</v>
      </c>
      <c r="E1146" s="12">
        <v>8698.1</v>
      </c>
      <c r="F1146" s="10" t="s">
        <v>1804</v>
      </c>
    </row>
    <row r="1147" spans="1:6" x14ac:dyDescent="0.25">
      <c r="A1147" s="13" t="s">
        <v>3012</v>
      </c>
      <c r="B1147" s="14">
        <v>45858</v>
      </c>
      <c r="C1147" s="13" t="s">
        <v>1799</v>
      </c>
      <c r="D1147" s="13" t="s">
        <v>1780</v>
      </c>
      <c r="E1147" s="15">
        <v>4407.4799999999996</v>
      </c>
      <c r="F1147" s="13" t="s">
        <v>2062</v>
      </c>
    </row>
    <row r="1148" spans="1:6" x14ac:dyDescent="0.25">
      <c r="A1148" s="10" t="s">
        <v>3013</v>
      </c>
      <c r="B1148" s="11">
        <v>45846</v>
      </c>
      <c r="C1148" s="10" t="s">
        <v>1799</v>
      </c>
      <c r="D1148" s="10" t="s">
        <v>1783</v>
      </c>
      <c r="E1148" s="12">
        <v>6859.24</v>
      </c>
      <c r="F1148" s="10" t="s">
        <v>1917</v>
      </c>
    </row>
    <row r="1149" spans="1:6" x14ac:dyDescent="0.25">
      <c r="A1149" s="13" t="s">
        <v>3014</v>
      </c>
      <c r="B1149" s="14">
        <v>45859</v>
      </c>
      <c r="C1149" s="13" t="s">
        <v>1799</v>
      </c>
      <c r="D1149" s="13" t="s">
        <v>1786</v>
      </c>
      <c r="E1149" s="15">
        <v>7512.71</v>
      </c>
      <c r="F1149" s="13" t="s">
        <v>1960</v>
      </c>
    </row>
    <row r="1150" spans="1:6" x14ac:dyDescent="0.25">
      <c r="A1150" s="10" t="s">
        <v>3015</v>
      </c>
      <c r="B1150" s="11">
        <v>45865</v>
      </c>
      <c r="C1150" s="10" t="s">
        <v>1799</v>
      </c>
      <c r="D1150" s="10" t="s">
        <v>1789</v>
      </c>
      <c r="E1150" s="12">
        <v>4388.71</v>
      </c>
      <c r="F1150" s="10" t="s">
        <v>1776</v>
      </c>
    </row>
    <row r="1151" spans="1:6" x14ac:dyDescent="0.25">
      <c r="A1151" s="13" t="s">
        <v>3016</v>
      </c>
      <c r="B1151" s="14">
        <v>45864</v>
      </c>
      <c r="C1151" s="13" t="s">
        <v>1799</v>
      </c>
      <c r="D1151" s="13" t="s">
        <v>1792</v>
      </c>
      <c r="E1151" s="15">
        <v>7291.62</v>
      </c>
      <c r="F1151" s="13" t="s">
        <v>2074</v>
      </c>
    </row>
    <row r="1152" spans="1:6" x14ac:dyDescent="0.25">
      <c r="A1152" s="10" t="s">
        <v>3017</v>
      </c>
      <c r="B1152" s="11">
        <v>45863</v>
      </c>
      <c r="C1152" s="10" t="s">
        <v>1799</v>
      </c>
      <c r="D1152" s="10" t="s">
        <v>1795</v>
      </c>
      <c r="E1152" s="12">
        <v>3057.24</v>
      </c>
      <c r="F1152" s="10" t="s">
        <v>1946</v>
      </c>
    </row>
    <row r="1153" spans="1:6" x14ac:dyDescent="0.25">
      <c r="A1153" s="13" t="s">
        <v>3018</v>
      </c>
      <c r="B1153" s="14">
        <v>45856</v>
      </c>
      <c r="C1153" s="13" t="s">
        <v>1799</v>
      </c>
      <c r="D1153" s="13" t="s">
        <v>1797</v>
      </c>
      <c r="E1153" s="15">
        <v>2612.79</v>
      </c>
      <c r="F1153" s="13" t="s">
        <v>1946</v>
      </c>
    </row>
    <row r="1154" spans="1:6" x14ac:dyDescent="0.25">
      <c r="A1154" s="10" t="s">
        <v>3019</v>
      </c>
      <c r="B1154" s="11">
        <v>45840</v>
      </c>
      <c r="C1154" s="10" t="s">
        <v>1818</v>
      </c>
      <c r="D1154" s="10" t="s">
        <v>1775</v>
      </c>
      <c r="E1154" s="12">
        <v>30844.45</v>
      </c>
      <c r="F1154" s="10" t="s">
        <v>1806</v>
      </c>
    </row>
    <row r="1155" spans="1:6" x14ac:dyDescent="0.25">
      <c r="A1155" s="13" t="s">
        <v>3020</v>
      </c>
      <c r="B1155" s="14">
        <v>45855</v>
      </c>
      <c r="C1155" s="13" t="s">
        <v>1818</v>
      </c>
      <c r="D1155" s="13" t="s">
        <v>1778</v>
      </c>
      <c r="E1155" s="15">
        <v>7338.81</v>
      </c>
      <c r="F1155" s="13" t="s">
        <v>2411</v>
      </c>
    </row>
    <row r="1156" spans="1:6" x14ac:dyDescent="0.25">
      <c r="A1156" s="10" t="s">
        <v>3021</v>
      </c>
      <c r="B1156" s="11">
        <v>45858</v>
      </c>
      <c r="C1156" s="10" t="s">
        <v>1818</v>
      </c>
      <c r="D1156" s="10" t="s">
        <v>1780</v>
      </c>
      <c r="E1156" s="12">
        <v>4085.79</v>
      </c>
      <c r="F1156" s="10" t="s">
        <v>1939</v>
      </c>
    </row>
    <row r="1157" spans="1:6" x14ac:dyDescent="0.25">
      <c r="A1157" s="13" t="s">
        <v>3022</v>
      </c>
      <c r="B1157" s="14">
        <v>45858</v>
      </c>
      <c r="C1157" s="13" t="s">
        <v>1818</v>
      </c>
      <c r="D1157" s="13" t="s">
        <v>1783</v>
      </c>
      <c r="E1157" s="15">
        <v>5740.79</v>
      </c>
      <c r="F1157" s="13" t="s">
        <v>1844</v>
      </c>
    </row>
    <row r="1158" spans="1:6" x14ac:dyDescent="0.25">
      <c r="A1158" s="10" t="s">
        <v>3023</v>
      </c>
      <c r="B1158" s="11">
        <v>45861</v>
      </c>
      <c r="C1158" s="10" t="s">
        <v>1818</v>
      </c>
      <c r="D1158" s="10" t="s">
        <v>1786</v>
      </c>
      <c r="E1158" s="12">
        <v>6238.71</v>
      </c>
      <c r="F1158" s="10" t="s">
        <v>1850</v>
      </c>
    </row>
    <row r="1159" spans="1:6" x14ac:dyDescent="0.25">
      <c r="A1159" s="13" t="s">
        <v>3024</v>
      </c>
      <c r="B1159" s="14">
        <v>45853</v>
      </c>
      <c r="C1159" s="13" t="s">
        <v>1818</v>
      </c>
      <c r="D1159" s="13" t="s">
        <v>1789</v>
      </c>
      <c r="E1159" s="15">
        <v>3265.82</v>
      </c>
      <c r="F1159" s="13" t="s">
        <v>1820</v>
      </c>
    </row>
    <row r="1160" spans="1:6" x14ac:dyDescent="0.25">
      <c r="A1160" s="10" t="s">
        <v>3025</v>
      </c>
      <c r="B1160" s="11">
        <v>45851</v>
      </c>
      <c r="C1160" s="10" t="s">
        <v>1818</v>
      </c>
      <c r="D1160" s="10" t="s">
        <v>1792</v>
      </c>
      <c r="E1160" s="12">
        <v>6668.58</v>
      </c>
      <c r="F1160" s="10" t="s">
        <v>1820</v>
      </c>
    </row>
    <row r="1161" spans="1:6" x14ac:dyDescent="0.25">
      <c r="A1161" s="13" t="s">
        <v>3026</v>
      </c>
      <c r="B1161" s="14">
        <v>45862</v>
      </c>
      <c r="C1161" s="13" t="s">
        <v>1818</v>
      </c>
      <c r="D1161" s="13" t="s">
        <v>1795</v>
      </c>
      <c r="E1161" s="15">
        <v>2021.44</v>
      </c>
      <c r="F1161" s="13" t="s">
        <v>1988</v>
      </c>
    </row>
    <row r="1162" spans="1:6" x14ac:dyDescent="0.25">
      <c r="A1162" s="10" t="s">
        <v>3027</v>
      </c>
      <c r="B1162" s="11">
        <v>45847</v>
      </c>
      <c r="C1162" s="10" t="s">
        <v>1818</v>
      </c>
      <c r="D1162" s="10" t="s">
        <v>1797</v>
      </c>
      <c r="E1162" s="12">
        <v>2199.1799999999998</v>
      </c>
      <c r="F1162" s="10" t="s">
        <v>1941</v>
      </c>
    </row>
    <row r="1163" spans="1:6" x14ac:dyDescent="0.25">
      <c r="A1163" s="13" t="s">
        <v>3028</v>
      </c>
      <c r="B1163" s="14">
        <v>45842</v>
      </c>
      <c r="C1163" s="13" t="s">
        <v>1786</v>
      </c>
      <c r="D1163" s="13" t="s">
        <v>1775</v>
      </c>
      <c r="E1163" s="15">
        <v>63060.29</v>
      </c>
      <c r="F1163" s="13" t="s">
        <v>1852</v>
      </c>
    </row>
    <row r="1164" spans="1:6" x14ac:dyDescent="0.25">
      <c r="A1164" s="10" t="s">
        <v>3029</v>
      </c>
      <c r="B1164" s="11">
        <v>45846</v>
      </c>
      <c r="C1164" s="10" t="s">
        <v>1786</v>
      </c>
      <c r="D1164" s="10" t="s">
        <v>1778</v>
      </c>
      <c r="E1164" s="12">
        <v>12249.93</v>
      </c>
      <c r="F1164" s="10" t="s">
        <v>1930</v>
      </c>
    </row>
    <row r="1165" spans="1:6" x14ac:dyDescent="0.25">
      <c r="A1165" s="13" t="s">
        <v>3030</v>
      </c>
      <c r="B1165" s="14">
        <v>45852</v>
      </c>
      <c r="C1165" s="13" t="s">
        <v>1786</v>
      </c>
      <c r="D1165" s="13" t="s">
        <v>1780</v>
      </c>
      <c r="E1165" s="15">
        <v>7996.27</v>
      </c>
      <c r="F1165" s="13" t="s">
        <v>1790</v>
      </c>
    </row>
    <row r="1166" spans="1:6" x14ac:dyDescent="0.25">
      <c r="A1166" s="10" t="s">
        <v>3031</v>
      </c>
      <c r="B1166" s="11">
        <v>45863</v>
      </c>
      <c r="C1166" s="10" t="s">
        <v>1786</v>
      </c>
      <c r="D1166" s="10" t="s">
        <v>1783</v>
      </c>
      <c r="E1166" s="12">
        <v>9734.5499999999993</v>
      </c>
      <c r="F1166" s="10" t="s">
        <v>1828</v>
      </c>
    </row>
    <row r="1167" spans="1:6" x14ac:dyDescent="0.25">
      <c r="A1167" s="13" t="s">
        <v>3032</v>
      </c>
      <c r="B1167" s="14">
        <v>45850</v>
      </c>
      <c r="C1167" s="13" t="s">
        <v>1786</v>
      </c>
      <c r="D1167" s="13" t="s">
        <v>1786</v>
      </c>
      <c r="E1167" s="15">
        <v>25048.04</v>
      </c>
      <c r="F1167" s="13" t="s">
        <v>1863</v>
      </c>
    </row>
    <row r="1168" spans="1:6" x14ac:dyDescent="0.25">
      <c r="A1168" s="10" t="s">
        <v>3033</v>
      </c>
      <c r="B1168" s="11">
        <v>45839</v>
      </c>
      <c r="C1168" s="10" t="s">
        <v>1786</v>
      </c>
      <c r="D1168" s="10" t="s">
        <v>1789</v>
      </c>
      <c r="E1168" s="12">
        <v>6715.28</v>
      </c>
      <c r="F1168" s="10" t="s">
        <v>1917</v>
      </c>
    </row>
    <row r="1169" spans="1:6" x14ac:dyDescent="0.25">
      <c r="A1169" s="13" t="s">
        <v>3034</v>
      </c>
      <c r="B1169" s="14">
        <v>45843</v>
      </c>
      <c r="C1169" s="13" t="s">
        <v>1786</v>
      </c>
      <c r="D1169" s="13" t="s">
        <v>1792</v>
      </c>
      <c r="E1169" s="15">
        <v>10888.62</v>
      </c>
      <c r="F1169" s="13" t="s">
        <v>1939</v>
      </c>
    </row>
    <row r="1170" spans="1:6" x14ac:dyDescent="0.25">
      <c r="A1170" s="10" t="s">
        <v>3035</v>
      </c>
      <c r="B1170" s="11">
        <v>45858</v>
      </c>
      <c r="C1170" s="10" t="s">
        <v>1786</v>
      </c>
      <c r="D1170" s="10" t="s">
        <v>1795</v>
      </c>
      <c r="E1170" s="12">
        <v>4310.45</v>
      </c>
      <c r="F1170" s="10" t="s">
        <v>1958</v>
      </c>
    </row>
    <row r="1171" spans="1:6" x14ac:dyDescent="0.25">
      <c r="A1171" s="13" t="s">
        <v>3036</v>
      </c>
      <c r="B1171" s="14">
        <v>45859</v>
      </c>
      <c r="C1171" s="13" t="s">
        <v>1786</v>
      </c>
      <c r="D1171" s="13" t="s">
        <v>1797</v>
      </c>
      <c r="E1171" s="15">
        <v>4621.18</v>
      </c>
      <c r="F1171" s="13" t="s">
        <v>1977</v>
      </c>
    </row>
    <row r="1172" spans="1:6" x14ac:dyDescent="0.25">
      <c r="A1172" s="10" t="s">
        <v>3037</v>
      </c>
      <c r="B1172" s="11">
        <v>45856</v>
      </c>
      <c r="C1172" s="10" t="s">
        <v>1792</v>
      </c>
      <c r="D1172" s="10" t="s">
        <v>1775</v>
      </c>
      <c r="E1172" s="12">
        <v>73879.03</v>
      </c>
      <c r="F1172" s="10" t="s">
        <v>1856</v>
      </c>
    </row>
    <row r="1173" spans="1:6" x14ac:dyDescent="0.25">
      <c r="A1173" s="13" t="s">
        <v>3038</v>
      </c>
      <c r="B1173" s="14">
        <v>45865</v>
      </c>
      <c r="C1173" s="13" t="s">
        <v>1792</v>
      </c>
      <c r="D1173" s="13" t="s">
        <v>1778</v>
      </c>
      <c r="E1173" s="15">
        <v>16339.62</v>
      </c>
      <c r="F1173" s="13" t="s">
        <v>1802</v>
      </c>
    </row>
    <row r="1174" spans="1:6" x14ac:dyDescent="0.25">
      <c r="A1174" s="10" t="s">
        <v>3039</v>
      </c>
      <c r="B1174" s="11">
        <v>45852</v>
      </c>
      <c r="C1174" s="10" t="s">
        <v>1792</v>
      </c>
      <c r="D1174" s="10" t="s">
        <v>1780</v>
      </c>
      <c r="E1174" s="12">
        <v>9668.57</v>
      </c>
      <c r="F1174" s="10" t="s">
        <v>1854</v>
      </c>
    </row>
    <row r="1175" spans="1:6" x14ac:dyDescent="0.25">
      <c r="A1175" s="13" t="s">
        <v>3040</v>
      </c>
      <c r="B1175" s="14">
        <v>45843</v>
      </c>
      <c r="C1175" s="13" t="s">
        <v>1792</v>
      </c>
      <c r="D1175" s="13" t="s">
        <v>1783</v>
      </c>
      <c r="E1175" s="15">
        <v>13719.11</v>
      </c>
      <c r="F1175" s="13" t="s">
        <v>2005</v>
      </c>
    </row>
    <row r="1176" spans="1:6" x14ac:dyDescent="0.25">
      <c r="A1176" s="10" t="s">
        <v>3041</v>
      </c>
      <c r="B1176" s="11">
        <v>45850</v>
      </c>
      <c r="C1176" s="10" t="s">
        <v>1792</v>
      </c>
      <c r="D1176" s="10" t="s">
        <v>1786</v>
      </c>
      <c r="E1176" s="12">
        <v>14428.42</v>
      </c>
      <c r="F1176" s="10" t="s">
        <v>1833</v>
      </c>
    </row>
    <row r="1177" spans="1:6" x14ac:dyDescent="0.25">
      <c r="A1177" s="13" t="s">
        <v>3042</v>
      </c>
      <c r="B1177" s="14">
        <v>45859</v>
      </c>
      <c r="C1177" s="13" t="s">
        <v>1792</v>
      </c>
      <c r="D1177" s="13" t="s">
        <v>1789</v>
      </c>
      <c r="E1177" s="15">
        <v>10337.89</v>
      </c>
      <c r="F1177" s="13" t="s">
        <v>1816</v>
      </c>
    </row>
    <row r="1178" spans="1:6" x14ac:dyDescent="0.25">
      <c r="A1178" s="10" t="s">
        <v>3043</v>
      </c>
      <c r="B1178" s="11">
        <v>45862</v>
      </c>
      <c r="C1178" s="10" t="s">
        <v>1792</v>
      </c>
      <c r="D1178" s="10" t="s">
        <v>1792</v>
      </c>
      <c r="E1178" s="12">
        <v>16297.16</v>
      </c>
      <c r="F1178" s="10" t="s">
        <v>1875</v>
      </c>
    </row>
    <row r="1179" spans="1:6" x14ac:dyDescent="0.25">
      <c r="A1179" s="13" t="s">
        <v>3044</v>
      </c>
      <c r="B1179" s="14">
        <v>45861</v>
      </c>
      <c r="C1179" s="13" t="s">
        <v>1792</v>
      </c>
      <c r="D1179" s="13" t="s">
        <v>1795</v>
      </c>
      <c r="E1179" s="15">
        <v>6036.54</v>
      </c>
      <c r="F1179" s="13" t="s">
        <v>1793</v>
      </c>
    </row>
    <row r="1180" spans="1:6" x14ac:dyDescent="0.25">
      <c r="A1180" s="10" t="s">
        <v>3045</v>
      </c>
      <c r="B1180" s="11">
        <v>45859</v>
      </c>
      <c r="C1180" s="10" t="s">
        <v>1792</v>
      </c>
      <c r="D1180" s="10" t="s">
        <v>1797</v>
      </c>
      <c r="E1180" s="12">
        <v>5007.54</v>
      </c>
      <c r="F1180" s="10" t="s">
        <v>1898</v>
      </c>
    </row>
    <row r="1181" spans="1:6" x14ac:dyDescent="0.25">
      <c r="A1181" s="13" t="s">
        <v>3046</v>
      </c>
      <c r="B1181" s="14">
        <v>45844</v>
      </c>
      <c r="C1181" s="13" t="s">
        <v>1862</v>
      </c>
      <c r="D1181" s="13" t="s">
        <v>1775</v>
      </c>
      <c r="E1181" s="15">
        <v>35334.25</v>
      </c>
      <c r="F1181" s="13" t="s">
        <v>2192</v>
      </c>
    </row>
    <row r="1182" spans="1:6" x14ac:dyDescent="0.25">
      <c r="A1182" s="10" t="s">
        <v>3047</v>
      </c>
      <c r="B1182" s="11">
        <v>45846</v>
      </c>
      <c r="C1182" s="10" t="s">
        <v>1862</v>
      </c>
      <c r="D1182" s="10" t="s">
        <v>1778</v>
      </c>
      <c r="E1182" s="12">
        <v>9163.6200000000008</v>
      </c>
      <c r="F1182" s="10" t="s">
        <v>1867</v>
      </c>
    </row>
    <row r="1183" spans="1:6" x14ac:dyDescent="0.25">
      <c r="A1183" s="13" t="s">
        <v>3048</v>
      </c>
      <c r="B1183" s="14">
        <v>45862</v>
      </c>
      <c r="C1183" s="13" t="s">
        <v>1862</v>
      </c>
      <c r="D1183" s="13" t="s">
        <v>1780</v>
      </c>
      <c r="E1183" s="15">
        <v>4299.71</v>
      </c>
      <c r="F1183" s="13" t="s">
        <v>1970</v>
      </c>
    </row>
    <row r="1184" spans="1:6" x14ac:dyDescent="0.25">
      <c r="A1184" s="10" t="s">
        <v>3049</v>
      </c>
      <c r="B1184" s="11">
        <v>45864</v>
      </c>
      <c r="C1184" s="10" t="s">
        <v>1862</v>
      </c>
      <c r="D1184" s="10" t="s">
        <v>1783</v>
      </c>
      <c r="E1184" s="12">
        <v>7139.51</v>
      </c>
      <c r="F1184" s="10" t="s">
        <v>2186</v>
      </c>
    </row>
    <row r="1185" spans="1:6" x14ac:dyDescent="0.25">
      <c r="A1185" s="13" t="s">
        <v>3050</v>
      </c>
      <c r="B1185" s="14">
        <v>45865</v>
      </c>
      <c r="C1185" s="13" t="s">
        <v>1862</v>
      </c>
      <c r="D1185" s="13" t="s">
        <v>1786</v>
      </c>
      <c r="E1185" s="15">
        <v>7037.18</v>
      </c>
      <c r="F1185" s="13" t="s">
        <v>1946</v>
      </c>
    </row>
    <row r="1186" spans="1:6" x14ac:dyDescent="0.25">
      <c r="A1186" s="10" t="s">
        <v>3051</v>
      </c>
      <c r="B1186" s="11">
        <v>45863</v>
      </c>
      <c r="C1186" s="10" t="s">
        <v>1862</v>
      </c>
      <c r="D1186" s="10" t="s">
        <v>1789</v>
      </c>
      <c r="E1186" s="12">
        <v>3914.9</v>
      </c>
      <c r="F1186" s="10" t="s">
        <v>1884</v>
      </c>
    </row>
    <row r="1187" spans="1:6" x14ac:dyDescent="0.25">
      <c r="A1187" s="13" t="s">
        <v>3052</v>
      </c>
      <c r="B1187" s="14">
        <v>45842</v>
      </c>
      <c r="C1187" s="13" t="s">
        <v>1862</v>
      </c>
      <c r="D1187" s="13" t="s">
        <v>1792</v>
      </c>
      <c r="E1187" s="15">
        <v>5654.08</v>
      </c>
      <c r="F1187" s="13" t="s">
        <v>1802</v>
      </c>
    </row>
    <row r="1188" spans="1:6" x14ac:dyDescent="0.25">
      <c r="A1188" s="10" t="s">
        <v>3053</v>
      </c>
      <c r="B1188" s="11">
        <v>45863</v>
      </c>
      <c r="C1188" s="10" t="s">
        <v>1862</v>
      </c>
      <c r="D1188" s="10" t="s">
        <v>1795</v>
      </c>
      <c r="E1188" s="12">
        <v>2900.72</v>
      </c>
      <c r="F1188" s="10" t="s">
        <v>2024</v>
      </c>
    </row>
    <row r="1189" spans="1:6" x14ac:dyDescent="0.25">
      <c r="A1189" s="13" t="s">
        <v>3054</v>
      </c>
      <c r="B1189" s="14">
        <v>45860</v>
      </c>
      <c r="C1189" s="13" t="s">
        <v>1862</v>
      </c>
      <c r="D1189" s="13" t="s">
        <v>1797</v>
      </c>
      <c r="E1189" s="15">
        <v>2220.75</v>
      </c>
      <c r="F1189" s="13" t="s">
        <v>1958</v>
      </c>
    </row>
    <row r="1190" spans="1:6" x14ac:dyDescent="0.25">
      <c r="A1190" s="10" t="s">
        <v>3055</v>
      </c>
      <c r="B1190" s="11">
        <v>45861</v>
      </c>
      <c r="C1190" s="10" t="s">
        <v>1877</v>
      </c>
      <c r="D1190" s="10" t="s">
        <v>1775</v>
      </c>
      <c r="E1190" s="12">
        <v>63319.76</v>
      </c>
      <c r="F1190" s="10" t="s">
        <v>1941</v>
      </c>
    </row>
    <row r="1191" spans="1:6" x14ac:dyDescent="0.25">
      <c r="A1191" s="13" t="s">
        <v>3056</v>
      </c>
      <c r="B1191" s="14">
        <v>45846</v>
      </c>
      <c r="C1191" s="13" t="s">
        <v>1877</v>
      </c>
      <c r="D1191" s="13" t="s">
        <v>1778</v>
      </c>
      <c r="E1191" s="15">
        <v>14573.04</v>
      </c>
      <c r="F1191" s="13" t="s">
        <v>2411</v>
      </c>
    </row>
    <row r="1192" spans="1:6" x14ac:dyDescent="0.25">
      <c r="A1192" s="10" t="s">
        <v>3057</v>
      </c>
      <c r="B1192" s="11">
        <v>45860</v>
      </c>
      <c r="C1192" s="10" t="s">
        <v>1877</v>
      </c>
      <c r="D1192" s="10" t="s">
        <v>1780</v>
      </c>
      <c r="E1192" s="12">
        <v>7606.76</v>
      </c>
      <c r="F1192" s="10" t="s">
        <v>1906</v>
      </c>
    </row>
    <row r="1193" spans="1:6" x14ac:dyDescent="0.25">
      <c r="A1193" s="13" t="s">
        <v>3058</v>
      </c>
      <c r="B1193" s="14">
        <v>45842</v>
      </c>
      <c r="C1193" s="13" t="s">
        <v>1877</v>
      </c>
      <c r="D1193" s="13" t="s">
        <v>1783</v>
      </c>
      <c r="E1193" s="15">
        <v>11798.98</v>
      </c>
      <c r="F1193" s="13" t="s">
        <v>1901</v>
      </c>
    </row>
    <row r="1194" spans="1:6" x14ac:dyDescent="0.25">
      <c r="A1194" s="10" t="s">
        <v>3059</v>
      </c>
      <c r="B1194" s="11">
        <v>45852</v>
      </c>
      <c r="C1194" s="10" t="s">
        <v>1877</v>
      </c>
      <c r="D1194" s="10" t="s">
        <v>1786</v>
      </c>
      <c r="E1194" s="12">
        <v>10358.68</v>
      </c>
      <c r="F1194" s="10" t="s">
        <v>1810</v>
      </c>
    </row>
    <row r="1195" spans="1:6" x14ac:dyDescent="0.25">
      <c r="A1195" s="13" t="s">
        <v>3060</v>
      </c>
      <c r="B1195" s="14">
        <v>45860</v>
      </c>
      <c r="C1195" s="13" t="s">
        <v>1877</v>
      </c>
      <c r="D1195" s="13" t="s">
        <v>1789</v>
      </c>
      <c r="E1195" s="15">
        <v>5350.78</v>
      </c>
      <c r="F1195" s="13" t="s">
        <v>1800</v>
      </c>
    </row>
    <row r="1196" spans="1:6" x14ac:dyDescent="0.25">
      <c r="A1196" s="10" t="s">
        <v>3061</v>
      </c>
      <c r="B1196" s="11">
        <v>45862</v>
      </c>
      <c r="C1196" s="10" t="s">
        <v>1877</v>
      </c>
      <c r="D1196" s="10" t="s">
        <v>1792</v>
      </c>
      <c r="E1196" s="12">
        <v>8970.89</v>
      </c>
      <c r="F1196" s="10" t="s">
        <v>1880</v>
      </c>
    </row>
    <row r="1197" spans="1:6" x14ac:dyDescent="0.25">
      <c r="A1197" s="13" t="s">
        <v>3062</v>
      </c>
      <c r="B1197" s="14">
        <v>45856</v>
      </c>
      <c r="C1197" s="13" t="s">
        <v>1877</v>
      </c>
      <c r="D1197" s="13" t="s">
        <v>1795</v>
      </c>
      <c r="E1197" s="15">
        <v>4175.1899999999996</v>
      </c>
      <c r="F1197" s="13" t="s">
        <v>1810</v>
      </c>
    </row>
    <row r="1198" spans="1:6" x14ac:dyDescent="0.25">
      <c r="A1198" s="10" t="s">
        <v>3063</v>
      </c>
      <c r="B1198" s="11">
        <v>45861</v>
      </c>
      <c r="C1198" s="10" t="s">
        <v>1877</v>
      </c>
      <c r="D1198" s="10" t="s">
        <v>1797</v>
      </c>
      <c r="E1198" s="12">
        <v>3828.03</v>
      </c>
      <c r="F1198" s="10" t="s">
        <v>1904</v>
      </c>
    </row>
    <row r="1199" spans="1:6" x14ac:dyDescent="0.25">
      <c r="A1199" s="13" t="s">
        <v>3064</v>
      </c>
      <c r="B1199" s="14">
        <v>45871</v>
      </c>
      <c r="C1199" s="13" t="s">
        <v>1774</v>
      </c>
      <c r="D1199" s="13" t="s">
        <v>1775</v>
      </c>
      <c r="E1199" s="15">
        <v>113745.24</v>
      </c>
      <c r="F1199" s="13" t="s">
        <v>2072</v>
      </c>
    </row>
    <row r="1200" spans="1:6" x14ac:dyDescent="0.25">
      <c r="A1200" s="10" t="s">
        <v>3065</v>
      </c>
      <c r="B1200" s="11">
        <v>45874</v>
      </c>
      <c r="C1200" s="10" t="s">
        <v>1774</v>
      </c>
      <c r="D1200" s="10" t="s">
        <v>1778</v>
      </c>
      <c r="E1200" s="12">
        <v>23355.82</v>
      </c>
      <c r="F1200" s="10" t="s">
        <v>1826</v>
      </c>
    </row>
    <row r="1201" spans="1:6" x14ac:dyDescent="0.25">
      <c r="A1201" s="13" t="s">
        <v>3066</v>
      </c>
      <c r="B1201" s="14">
        <v>45872</v>
      </c>
      <c r="C1201" s="13" t="s">
        <v>1774</v>
      </c>
      <c r="D1201" s="13" t="s">
        <v>1780</v>
      </c>
      <c r="E1201" s="15">
        <v>10515.93</v>
      </c>
      <c r="F1201" s="13" t="s">
        <v>1875</v>
      </c>
    </row>
    <row r="1202" spans="1:6" x14ac:dyDescent="0.25">
      <c r="A1202" s="10" t="s">
        <v>3067</v>
      </c>
      <c r="B1202" s="11">
        <v>45893</v>
      </c>
      <c r="C1202" s="10" t="s">
        <v>1774</v>
      </c>
      <c r="D1202" s="10" t="s">
        <v>1783</v>
      </c>
      <c r="E1202" s="12">
        <v>17172.96</v>
      </c>
      <c r="F1202" s="10" t="s">
        <v>1804</v>
      </c>
    </row>
    <row r="1203" spans="1:6" x14ac:dyDescent="0.25">
      <c r="A1203" s="13" t="s">
        <v>3068</v>
      </c>
      <c r="B1203" s="14">
        <v>45877</v>
      </c>
      <c r="C1203" s="13" t="s">
        <v>1774</v>
      </c>
      <c r="D1203" s="13" t="s">
        <v>1786</v>
      </c>
      <c r="E1203" s="15">
        <v>14829.84</v>
      </c>
      <c r="F1203" s="13" t="s">
        <v>1814</v>
      </c>
    </row>
    <row r="1204" spans="1:6" x14ac:dyDescent="0.25">
      <c r="A1204" s="10" t="s">
        <v>3069</v>
      </c>
      <c r="B1204" s="11">
        <v>45881</v>
      </c>
      <c r="C1204" s="10" t="s">
        <v>1774</v>
      </c>
      <c r="D1204" s="10" t="s">
        <v>1789</v>
      </c>
      <c r="E1204" s="12">
        <v>11442.35</v>
      </c>
      <c r="F1204" s="10" t="s">
        <v>1830</v>
      </c>
    </row>
    <row r="1205" spans="1:6" x14ac:dyDescent="0.25">
      <c r="A1205" s="13" t="s">
        <v>3070</v>
      </c>
      <c r="B1205" s="14">
        <v>45875</v>
      </c>
      <c r="C1205" s="13" t="s">
        <v>1774</v>
      </c>
      <c r="D1205" s="13" t="s">
        <v>1792</v>
      </c>
      <c r="E1205" s="15">
        <v>17240.29</v>
      </c>
      <c r="F1205" s="13" t="s">
        <v>2042</v>
      </c>
    </row>
    <row r="1206" spans="1:6" x14ac:dyDescent="0.25">
      <c r="A1206" s="10" t="s">
        <v>3071</v>
      </c>
      <c r="B1206" s="11">
        <v>45870</v>
      </c>
      <c r="C1206" s="10" t="s">
        <v>1774</v>
      </c>
      <c r="D1206" s="10" t="s">
        <v>1795</v>
      </c>
      <c r="E1206" s="12">
        <v>6547.2</v>
      </c>
      <c r="F1206" s="10" t="s">
        <v>2186</v>
      </c>
    </row>
    <row r="1207" spans="1:6" x14ac:dyDescent="0.25">
      <c r="A1207" s="13" t="s">
        <v>3072</v>
      </c>
      <c r="B1207" s="14">
        <v>45887</v>
      </c>
      <c r="C1207" s="13" t="s">
        <v>1774</v>
      </c>
      <c r="D1207" s="13" t="s">
        <v>1797</v>
      </c>
      <c r="E1207" s="15">
        <v>4957.74</v>
      </c>
      <c r="F1207" s="13" t="s">
        <v>1898</v>
      </c>
    </row>
    <row r="1208" spans="1:6" x14ac:dyDescent="0.25">
      <c r="A1208" s="10" t="s">
        <v>3073</v>
      </c>
      <c r="B1208" s="11">
        <v>45884</v>
      </c>
      <c r="C1208" s="10" t="s">
        <v>1799</v>
      </c>
      <c r="D1208" s="10" t="s">
        <v>1775</v>
      </c>
      <c r="E1208" s="12">
        <v>40233.230000000003</v>
      </c>
      <c r="F1208" s="10" t="s">
        <v>2192</v>
      </c>
    </row>
    <row r="1209" spans="1:6" x14ac:dyDescent="0.25">
      <c r="A1209" s="13" t="s">
        <v>3074</v>
      </c>
      <c r="B1209" s="14">
        <v>45872</v>
      </c>
      <c r="C1209" s="13" t="s">
        <v>1799</v>
      </c>
      <c r="D1209" s="13" t="s">
        <v>1778</v>
      </c>
      <c r="E1209" s="15">
        <v>8236.89</v>
      </c>
      <c r="F1209" s="13" t="s">
        <v>1838</v>
      </c>
    </row>
    <row r="1210" spans="1:6" x14ac:dyDescent="0.25">
      <c r="A1210" s="10" t="s">
        <v>3075</v>
      </c>
      <c r="B1210" s="11">
        <v>45872</v>
      </c>
      <c r="C1210" s="10" t="s">
        <v>1799</v>
      </c>
      <c r="D1210" s="10" t="s">
        <v>1780</v>
      </c>
      <c r="E1210" s="12">
        <v>4217.1899999999996</v>
      </c>
      <c r="F1210" s="10" t="s">
        <v>2072</v>
      </c>
    </row>
    <row r="1211" spans="1:6" x14ac:dyDescent="0.25">
      <c r="A1211" s="13" t="s">
        <v>3076</v>
      </c>
      <c r="B1211" s="14">
        <v>45878</v>
      </c>
      <c r="C1211" s="13" t="s">
        <v>1799</v>
      </c>
      <c r="D1211" s="13" t="s">
        <v>1783</v>
      </c>
      <c r="E1211" s="15">
        <v>7826.55</v>
      </c>
      <c r="F1211" s="13" t="s">
        <v>1854</v>
      </c>
    </row>
    <row r="1212" spans="1:6" x14ac:dyDescent="0.25">
      <c r="A1212" s="10" t="s">
        <v>3077</v>
      </c>
      <c r="B1212" s="11">
        <v>45877</v>
      </c>
      <c r="C1212" s="10" t="s">
        <v>1799</v>
      </c>
      <c r="D1212" s="10" t="s">
        <v>1786</v>
      </c>
      <c r="E1212" s="12">
        <v>6496.46</v>
      </c>
      <c r="F1212" s="10" t="s">
        <v>1968</v>
      </c>
    </row>
    <row r="1213" spans="1:6" x14ac:dyDescent="0.25">
      <c r="A1213" s="13" t="s">
        <v>3078</v>
      </c>
      <c r="B1213" s="14">
        <v>45875</v>
      </c>
      <c r="C1213" s="13" t="s">
        <v>1799</v>
      </c>
      <c r="D1213" s="13" t="s">
        <v>1789</v>
      </c>
      <c r="E1213" s="15">
        <v>3676.23</v>
      </c>
      <c r="F1213" s="13" t="s">
        <v>2078</v>
      </c>
    </row>
    <row r="1214" spans="1:6" x14ac:dyDescent="0.25">
      <c r="A1214" s="10" t="s">
        <v>3079</v>
      </c>
      <c r="B1214" s="11">
        <v>45889</v>
      </c>
      <c r="C1214" s="10" t="s">
        <v>1799</v>
      </c>
      <c r="D1214" s="10" t="s">
        <v>1792</v>
      </c>
      <c r="E1214" s="12">
        <v>6507.17</v>
      </c>
      <c r="F1214" s="10" t="s">
        <v>1997</v>
      </c>
    </row>
    <row r="1215" spans="1:6" x14ac:dyDescent="0.25">
      <c r="A1215" s="13" t="s">
        <v>3080</v>
      </c>
      <c r="B1215" s="14">
        <v>45870</v>
      </c>
      <c r="C1215" s="13" t="s">
        <v>1799</v>
      </c>
      <c r="D1215" s="13" t="s">
        <v>1795</v>
      </c>
      <c r="E1215" s="15">
        <v>2387.33</v>
      </c>
      <c r="F1215" s="13" t="s">
        <v>2162</v>
      </c>
    </row>
    <row r="1216" spans="1:6" x14ac:dyDescent="0.25">
      <c r="A1216" s="10" t="s">
        <v>3081</v>
      </c>
      <c r="B1216" s="11">
        <v>45872</v>
      </c>
      <c r="C1216" s="10" t="s">
        <v>1799</v>
      </c>
      <c r="D1216" s="10" t="s">
        <v>1797</v>
      </c>
      <c r="E1216" s="12">
        <v>2347.8200000000002</v>
      </c>
      <c r="F1216" s="10" t="s">
        <v>1960</v>
      </c>
    </row>
    <row r="1217" spans="1:6" x14ac:dyDescent="0.25">
      <c r="A1217" s="13" t="s">
        <v>3082</v>
      </c>
      <c r="B1217" s="14">
        <v>45887</v>
      </c>
      <c r="C1217" s="13" t="s">
        <v>1818</v>
      </c>
      <c r="D1217" s="13" t="s">
        <v>1775</v>
      </c>
      <c r="E1217" s="15">
        <v>41938.36</v>
      </c>
      <c r="F1217" s="13" t="s">
        <v>1875</v>
      </c>
    </row>
    <row r="1218" spans="1:6" x14ac:dyDescent="0.25">
      <c r="A1218" s="10" t="s">
        <v>3083</v>
      </c>
      <c r="B1218" s="11">
        <v>45880</v>
      </c>
      <c r="C1218" s="10" t="s">
        <v>1818</v>
      </c>
      <c r="D1218" s="10" t="s">
        <v>1778</v>
      </c>
      <c r="E1218" s="12">
        <v>6071.29</v>
      </c>
      <c r="F1218" s="10" t="s">
        <v>1787</v>
      </c>
    </row>
    <row r="1219" spans="1:6" x14ac:dyDescent="0.25">
      <c r="A1219" s="13" t="s">
        <v>3084</v>
      </c>
      <c r="B1219" s="14">
        <v>45883</v>
      </c>
      <c r="C1219" s="13" t="s">
        <v>1818</v>
      </c>
      <c r="D1219" s="13" t="s">
        <v>1780</v>
      </c>
      <c r="E1219" s="15">
        <v>4100.6899999999996</v>
      </c>
      <c r="F1219" s="13" t="s">
        <v>2159</v>
      </c>
    </row>
    <row r="1220" spans="1:6" x14ac:dyDescent="0.25">
      <c r="A1220" s="10" t="s">
        <v>3085</v>
      </c>
      <c r="B1220" s="11">
        <v>45879</v>
      </c>
      <c r="C1220" s="10" t="s">
        <v>1818</v>
      </c>
      <c r="D1220" s="10" t="s">
        <v>1783</v>
      </c>
      <c r="E1220" s="12">
        <v>6389.92</v>
      </c>
      <c r="F1220" s="10" t="s">
        <v>1941</v>
      </c>
    </row>
    <row r="1221" spans="1:6" x14ac:dyDescent="0.25">
      <c r="A1221" s="13" t="s">
        <v>3086</v>
      </c>
      <c r="B1221" s="14">
        <v>45875</v>
      </c>
      <c r="C1221" s="13" t="s">
        <v>1818</v>
      </c>
      <c r="D1221" s="13" t="s">
        <v>1786</v>
      </c>
      <c r="E1221" s="15">
        <v>5980.19</v>
      </c>
      <c r="F1221" s="13" t="s">
        <v>1814</v>
      </c>
    </row>
    <row r="1222" spans="1:6" x14ac:dyDescent="0.25">
      <c r="A1222" s="10" t="s">
        <v>3087</v>
      </c>
      <c r="B1222" s="11">
        <v>45881</v>
      </c>
      <c r="C1222" s="10" t="s">
        <v>1818</v>
      </c>
      <c r="D1222" s="10" t="s">
        <v>1789</v>
      </c>
      <c r="E1222" s="12">
        <v>2963.93</v>
      </c>
      <c r="F1222" s="10" t="s">
        <v>2186</v>
      </c>
    </row>
    <row r="1223" spans="1:6" x14ac:dyDescent="0.25">
      <c r="A1223" s="13" t="s">
        <v>3088</v>
      </c>
      <c r="B1223" s="14">
        <v>45884</v>
      </c>
      <c r="C1223" s="13" t="s">
        <v>1818</v>
      </c>
      <c r="D1223" s="13" t="s">
        <v>1792</v>
      </c>
      <c r="E1223" s="15">
        <v>6432.59</v>
      </c>
      <c r="F1223" s="13" t="s">
        <v>2192</v>
      </c>
    </row>
    <row r="1224" spans="1:6" x14ac:dyDescent="0.25">
      <c r="A1224" s="10" t="s">
        <v>3089</v>
      </c>
      <c r="B1224" s="11">
        <v>45874</v>
      </c>
      <c r="C1224" s="10" t="s">
        <v>1818</v>
      </c>
      <c r="D1224" s="10" t="s">
        <v>1795</v>
      </c>
      <c r="E1224" s="12">
        <v>2120.6999999999998</v>
      </c>
      <c r="F1224" s="10" t="s">
        <v>1882</v>
      </c>
    </row>
    <row r="1225" spans="1:6" x14ac:dyDescent="0.25">
      <c r="A1225" s="13" t="s">
        <v>3090</v>
      </c>
      <c r="B1225" s="14">
        <v>45879</v>
      </c>
      <c r="C1225" s="13" t="s">
        <v>1818</v>
      </c>
      <c r="D1225" s="13" t="s">
        <v>1797</v>
      </c>
      <c r="E1225" s="15">
        <v>1902.86</v>
      </c>
      <c r="F1225" s="13" t="s">
        <v>1997</v>
      </c>
    </row>
    <row r="1226" spans="1:6" x14ac:dyDescent="0.25">
      <c r="A1226" s="10" t="s">
        <v>3091</v>
      </c>
      <c r="B1226" s="11">
        <v>45878</v>
      </c>
      <c r="C1226" s="10" t="s">
        <v>1786</v>
      </c>
      <c r="D1226" s="10" t="s">
        <v>1775</v>
      </c>
      <c r="E1226" s="12">
        <v>65370.11</v>
      </c>
      <c r="F1226" s="10" t="s">
        <v>1886</v>
      </c>
    </row>
    <row r="1227" spans="1:6" x14ac:dyDescent="0.25">
      <c r="A1227" s="13" t="s">
        <v>3092</v>
      </c>
      <c r="B1227" s="14">
        <v>45873</v>
      </c>
      <c r="C1227" s="13" t="s">
        <v>1786</v>
      </c>
      <c r="D1227" s="13" t="s">
        <v>1778</v>
      </c>
      <c r="E1227" s="15">
        <v>14645.6</v>
      </c>
      <c r="F1227" s="13" t="s">
        <v>1806</v>
      </c>
    </row>
    <row r="1228" spans="1:6" x14ac:dyDescent="0.25">
      <c r="A1228" s="10" t="s">
        <v>3093</v>
      </c>
      <c r="B1228" s="11">
        <v>45871</v>
      </c>
      <c r="C1228" s="10" t="s">
        <v>1786</v>
      </c>
      <c r="D1228" s="10" t="s">
        <v>1780</v>
      </c>
      <c r="E1228" s="12">
        <v>6183.91</v>
      </c>
      <c r="F1228" s="10" t="s">
        <v>1833</v>
      </c>
    </row>
    <row r="1229" spans="1:6" x14ac:dyDescent="0.25">
      <c r="A1229" s="13" t="s">
        <v>3094</v>
      </c>
      <c r="B1229" s="14">
        <v>45873</v>
      </c>
      <c r="C1229" s="13" t="s">
        <v>1786</v>
      </c>
      <c r="D1229" s="13" t="s">
        <v>1783</v>
      </c>
      <c r="E1229" s="15">
        <v>11670.45</v>
      </c>
      <c r="F1229" s="13" t="s">
        <v>1904</v>
      </c>
    </row>
    <row r="1230" spans="1:6" x14ac:dyDescent="0.25">
      <c r="A1230" s="10" t="s">
        <v>3095</v>
      </c>
      <c r="B1230" s="11">
        <v>45885</v>
      </c>
      <c r="C1230" s="10" t="s">
        <v>1786</v>
      </c>
      <c r="D1230" s="10" t="s">
        <v>1786</v>
      </c>
      <c r="E1230" s="12">
        <v>11977.35</v>
      </c>
      <c r="F1230" s="10" t="s">
        <v>1836</v>
      </c>
    </row>
    <row r="1231" spans="1:6" x14ac:dyDescent="0.25">
      <c r="A1231" s="13" t="s">
        <v>3096</v>
      </c>
      <c r="B1231" s="14">
        <v>45881</v>
      </c>
      <c r="C1231" s="13" t="s">
        <v>1786</v>
      </c>
      <c r="D1231" s="13" t="s">
        <v>1789</v>
      </c>
      <c r="E1231" s="15">
        <v>7677.26</v>
      </c>
      <c r="F1231" s="13" t="s">
        <v>1790</v>
      </c>
    </row>
    <row r="1232" spans="1:6" x14ac:dyDescent="0.25">
      <c r="A1232" s="10" t="s">
        <v>3097</v>
      </c>
      <c r="B1232" s="11">
        <v>45895</v>
      </c>
      <c r="C1232" s="10" t="s">
        <v>1786</v>
      </c>
      <c r="D1232" s="10" t="s">
        <v>1792</v>
      </c>
      <c r="E1232" s="12">
        <v>9157.42</v>
      </c>
      <c r="F1232" s="10" t="s">
        <v>1888</v>
      </c>
    </row>
    <row r="1233" spans="1:6" x14ac:dyDescent="0.25">
      <c r="A1233" s="13" t="s">
        <v>3098</v>
      </c>
      <c r="B1233" s="14">
        <v>45885</v>
      </c>
      <c r="C1233" s="13" t="s">
        <v>1786</v>
      </c>
      <c r="D1233" s="13" t="s">
        <v>1795</v>
      </c>
      <c r="E1233" s="15">
        <v>4082.98</v>
      </c>
      <c r="F1233" s="13" t="s">
        <v>1844</v>
      </c>
    </row>
    <row r="1234" spans="1:6" x14ac:dyDescent="0.25">
      <c r="A1234" s="10" t="s">
        <v>3099</v>
      </c>
      <c r="B1234" s="11">
        <v>45894</v>
      </c>
      <c r="C1234" s="10" t="s">
        <v>1786</v>
      </c>
      <c r="D1234" s="10" t="s">
        <v>1797</v>
      </c>
      <c r="E1234" s="12">
        <v>3563.33</v>
      </c>
      <c r="F1234" s="10" t="s">
        <v>1985</v>
      </c>
    </row>
    <row r="1235" spans="1:6" x14ac:dyDescent="0.25">
      <c r="A1235" s="13" t="s">
        <v>3100</v>
      </c>
      <c r="B1235" s="14">
        <v>45870</v>
      </c>
      <c r="C1235" s="13" t="s">
        <v>1792</v>
      </c>
      <c r="D1235" s="13" t="s">
        <v>1775</v>
      </c>
      <c r="E1235" s="15">
        <v>70866</v>
      </c>
      <c r="F1235" s="13" t="s">
        <v>1808</v>
      </c>
    </row>
    <row r="1236" spans="1:6" x14ac:dyDescent="0.25">
      <c r="A1236" s="10" t="s">
        <v>3101</v>
      </c>
      <c r="B1236" s="11">
        <v>45886</v>
      </c>
      <c r="C1236" s="10" t="s">
        <v>1792</v>
      </c>
      <c r="D1236" s="10" t="s">
        <v>1778</v>
      </c>
      <c r="E1236" s="12">
        <v>15661.34</v>
      </c>
      <c r="F1236" s="10" t="s">
        <v>1804</v>
      </c>
    </row>
    <row r="1237" spans="1:6" x14ac:dyDescent="0.25">
      <c r="A1237" s="13" t="s">
        <v>3102</v>
      </c>
      <c r="B1237" s="14">
        <v>45889</v>
      </c>
      <c r="C1237" s="13" t="s">
        <v>1792</v>
      </c>
      <c r="D1237" s="13" t="s">
        <v>1780</v>
      </c>
      <c r="E1237" s="15">
        <v>8631.99</v>
      </c>
      <c r="F1237" s="13" t="s">
        <v>1822</v>
      </c>
    </row>
    <row r="1238" spans="1:6" x14ac:dyDescent="0.25">
      <c r="A1238" s="10" t="s">
        <v>3103</v>
      </c>
      <c r="B1238" s="11">
        <v>45870</v>
      </c>
      <c r="C1238" s="10" t="s">
        <v>1792</v>
      </c>
      <c r="D1238" s="10" t="s">
        <v>1783</v>
      </c>
      <c r="E1238" s="12">
        <v>14478.62</v>
      </c>
      <c r="F1238" s="10" t="s">
        <v>1880</v>
      </c>
    </row>
    <row r="1239" spans="1:6" x14ac:dyDescent="0.25">
      <c r="A1239" s="13" t="s">
        <v>3104</v>
      </c>
      <c r="B1239" s="14">
        <v>45895</v>
      </c>
      <c r="C1239" s="13" t="s">
        <v>1792</v>
      </c>
      <c r="D1239" s="13" t="s">
        <v>1786</v>
      </c>
      <c r="E1239" s="15">
        <v>11865.28</v>
      </c>
      <c r="F1239" s="13" t="s">
        <v>2074</v>
      </c>
    </row>
    <row r="1240" spans="1:6" x14ac:dyDescent="0.25">
      <c r="A1240" s="10" t="s">
        <v>3105</v>
      </c>
      <c r="B1240" s="11">
        <v>45892</v>
      </c>
      <c r="C1240" s="10" t="s">
        <v>1792</v>
      </c>
      <c r="D1240" s="10" t="s">
        <v>1789</v>
      </c>
      <c r="E1240" s="12">
        <v>7695.92</v>
      </c>
      <c r="F1240" s="10" t="s">
        <v>1886</v>
      </c>
    </row>
    <row r="1241" spans="1:6" x14ac:dyDescent="0.25">
      <c r="A1241" s="13" t="s">
        <v>3106</v>
      </c>
      <c r="B1241" s="14">
        <v>45873</v>
      </c>
      <c r="C1241" s="13" t="s">
        <v>1792</v>
      </c>
      <c r="D1241" s="13" t="s">
        <v>1792</v>
      </c>
      <c r="E1241" s="15">
        <v>13491.01</v>
      </c>
      <c r="F1241" s="13" t="s">
        <v>1875</v>
      </c>
    </row>
    <row r="1242" spans="1:6" x14ac:dyDescent="0.25">
      <c r="A1242" s="10" t="s">
        <v>3107</v>
      </c>
      <c r="B1242" s="11">
        <v>45877</v>
      </c>
      <c r="C1242" s="10" t="s">
        <v>1792</v>
      </c>
      <c r="D1242" s="10" t="s">
        <v>1795</v>
      </c>
      <c r="E1242" s="12">
        <v>5234.6000000000004</v>
      </c>
      <c r="F1242" s="10" t="s">
        <v>1939</v>
      </c>
    </row>
    <row r="1243" spans="1:6" x14ac:dyDescent="0.25">
      <c r="A1243" s="13" t="s">
        <v>3108</v>
      </c>
      <c r="B1243" s="14">
        <v>45896</v>
      </c>
      <c r="C1243" s="13" t="s">
        <v>1792</v>
      </c>
      <c r="D1243" s="13" t="s">
        <v>1797</v>
      </c>
      <c r="E1243" s="15">
        <v>4786.8500000000004</v>
      </c>
      <c r="F1243" s="13" t="s">
        <v>2042</v>
      </c>
    </row>
    <row r="1244" spans="1:6" x14ac:dyDescent="0.25">
      <c r="A1244" s="10" t="s">
        <v>3109</v>
      </c>
      <c r="B1244" s="11">
        <v>45876</v>
      </c>
      <c r="C1244" s="10" t="s">
        <v>1862</v>
      </c>
      <c r="D1244" s="10" t="s">
        <v>1775</v>
      </c>
      <c r="E1244" s="12">
        <v>40089.68</v>
      </c>
      <c r="F1244" s="10" t="s">
        <v>1828</v>
      </c>
    </row>
    <row r="1245" spans="1:6" x14ac:dyDescent="0.25">
      <c r="A1245" s="13" t="s">
        <v>3110</v>
      </c>
      <c r="B1245" s="14">
        <v>45895</v>
      </c>
      <c r="C1245" s="13" t="s">
        <v>1862</v>
      </c>
      <c r="D1245" s="13" t="s">
        <v>1778</v>
      </c>
      <c r="E1245" s="15">
        <v>8744.4500000000007</v>
      </c>
      <c r="F1245" s="13" t="s">
        <v>2128</v>
      </c>
    </row>
    <row r="1246" spans="1:6" x14ac:dyDescent="0.25">
      <c r="A1246" s="10" t="s">
        <v>3111</v>
      </c>
      <c r="B1246" s="11">
        <v>45884</v>
      </c>
      <c r="C1246" s="10" t="s">
        <v>1862</v>
      </c>
      <c r="D1246" s="10" t="s">
        <v>1780</v>
      </c>
      <c r="E1246" s="12">
        <v>3603.66</v>
      </c>
      <c r="F1246" s="10" t="s">
        <v>1871</v>
      </c>
    </row>
    <row r="1247" spans="1:6" x14ac:dyDescent="0.25">
      <c r="A1247" s="13" t="s">
        <v>3112</v>
      </c>
      <c r="B1247" s="14">
        <v>45894</v>
      </c>
      <c r="C1247" s="13" t="s">
        <v>1862</v>
      </c>
      <c r="D1247" s="13" t="s">
        <v>1783</v>
      </c>
      <c r="E1247" s="15">
        <v>7183.67</v>
      </c>
      <c r="F1247" s="13" t="s">
        <v>1802</v>
      </c>
    </row>
    <row r="1248" spans="1:6" x14ac:dyDescent="0.25">
      <c r="A1248" s="10" t="s">
        <v>3113</v>
      </c>
      <c r="B1248" s="11">
        <v>45870</v>
      </c>
      <c r="C1248" s="10" t="s">
        <v>1862</v>
      </c>
      <c r="D1248" s="10" t="s">
        <v>1786</v>
      </c>
      <c r="E1248" s="12">
        <v>7586.18</v>
      </c>
      <c r="F1248" s="10" t="s">
        <v>1958</v>
      </c>
    </row>
    <row r="1249" spans="1:6" x14ac:dyDescent="0.25">
      <c r="A1249" s="13" t="s">
        <v>3114</v>
      </c>
      <c r="B1249" s="14">
        <v>45891</v>
      </c>
      <c r="C1249" s="13" t="s">
        <v>1862</v>
      </c>
      <c r="D1249" s="13" t="s">
        <v>1789</v>
      </c>
      <c r="E1249" s="15">
        <v>4034.11</v>
      </c>
      <c r="F1249" s="13" t="s">
        <v>2411</v>
      </c>
    </row>
    <row r="1250" spans="1:6" x14ac:dyDescent="0.25">
      <c r="A1250" s="10" t="s">
        <v>3115</v>
      </c>
      <c r="B1250" s="11">
        <v>45880</v>
      </c>
      <c r="C1250" s="10" t="s">
        <v>1862</v>
      </c>
      <c r="D1250" s="10" t="s">
        <v>1792</v>
      </c>
      <c r="E1250" s="12">
        <v>6305.73</v>
      </c>
      <c r="F1250" s="10" t="s">
        <v>1826</v>
      </c>
    </row>
    <row r="1251" spans="1:6" x14ac:dyDescent="0.25">
      <c r="A1251" s="13" t="s">
        <v>3116</v>
      </c>
      <c r="B1251" s="14">
        <v>45873</v>
      </c>
      <c r="C1251" s="13" t="s">
        <v>1862</v>
      </c>
      <c r="D1251" s="13" t="s">
        <v>1795</v>
      </c>
      <c r="E1251" s="15">
        <v>2121.87</v>
      </c>
      <c r="F1251" s="13" t="s">
        <v>1970</v>
      </c>
    </row>
    <row r="1252" spans="1:6" x14ac:dyDescent="0.25">
      <c r="A1252" s="10" t="s">
        <v>3117</v>
      </c>
      <c r="B1252" s="11">
        <v>45892</v>
      </c>
      <c r="C1252" s="10" t="s">
        <v>1862</v>
      </c>
      <c r="D1252" s="10" t="s">
        <v>1797</v>
      </c>
      <c r="E1252" s="12">
        <v>2525.9299999999998</v>
      </c>
      <c r="F1252" s="10" t="s">
        <v>1865</v>
      </c>
    </row>
    <row r="1253" spans="1:6" x14ac:dyDescent="0.25">
      <c r="A1253" s="13" t="s">
        <v>3118</v>
      </c>
      <c r="B1253" s="14">
        <v>45876</v>
      </c>
      <c r="C1253" s="13" t="s">
        <v>1877</v>
      </c>
      <c r="D1253" s="13" t="s">
        <v>1775</v>
      </c>
      <c r="E1253" s="15">
        <v>64177.52</v>
      </c>
      <c r="F1253" s="13" t="s">
        <v>1820</v>
      </c>
    </row>
    <row r="1254" spans="1:6" x14ac:dyDescent="0.25">
      <c r="A1254" s="10" t="s">
        <v>3119</v>
      </c>
      <c r="B1254" s="11">
        <v>45896</v>
      </c>
      <c r="C1254" s="10" t="s">
        <v>1877</v>
      </c>
      <c r="D1254" s="10" t="s">
        <v>1778</v>
      </c>
      <c r="E1254" s="12">
        <v>14004.66</v>
      </c>
      <c r="F1254" s="10" t="s">
        <v>1806</v>
      </c>
    </row>
    <row r="1255" spans="1:6" x14ac:dyDescent="0.25">
      <c r="A1255" s="13" t="s">
        <v>3120</v>
      </c>
      <c r="B1255" s="14">
        <v>45882</v>
      </c>
      <c r="C1255" s="13" t="s">
        <v>1877</v>
      </c>
      <c r="D1255" s="13" t="s">
        <v>1780</v>
      </c>
      <c r="E1255" s="15">
        <v>6975.07</v>
      </c>
      <c r="F1255" s="13" t="s">
        <v>1820</v>
      </c>
    </row>
    <row r="1256" spans="1:6" x14ac:dyDescent="0.25">
      <c r="A1256" s="10" t="s">
        <v>3121</v>
      </c>
      <c r="B1256" s="11">
        <v>45879</v>
      </c>
      <c r="C1256" s="10" t="s">
        <v>1877</v>
      </c>
      <c r="D1256" s="10" t="s">
        <v>1783</v>
      </c>
      <c r="E1256" s="12">
        <v>9016.4</v>
      </c>
      <c r="F1256" s="10" t="s">
        <v>1997</v>
      </c>
    </row>
    <row r="1257" spans="1:6" x14ac:dyDescent="0.25">
      <c r="A1257" s="13" t="s">
        <v>3122</v>
      </c>
      <c r="B1257" s="14">
        <v>45875</v>
      </c>
      <c r="C1257" s="13" t="s">
        <v>1877</v>
      </c>
      <c r="D1257" s="13" t="s">
        <v>1786</v>
      </c>
      <c r="E1257" s="15">
        <v>9103.92</v>
      </c>
      <c r="F1257" s="13" t="s">
        <v>1906</v>
      </c>
    </row>
    <row r="1258" spans="1:6" x14ac:dyDescent="0.25">
      <c r="A1258" s="10" t="s">
        <v>3123</v>
      </c>
      <c r="B1258" s="11">
        <v>45871</v>
      </c>
      <c r="C1258" s="10" t="s">
        <v>1877</v>
      </c>
      <c r="D1258" s="10" t="s">
        <v>1789</v>
      </c>
      <c r="E1258" s="12">
        <v>5271.67</v>
      </c>
      <c r="F1258" s="10" t="s">
        <v>2128</v>
      </c>
    </row>
    <row r="1259" spans="1:6" x14ac:dyDescent="0.25">
      <c r="A1259" s="13" t="s">
        <v>3124</v>
      </c>
      <c r="B1259" s="14">
        <v>45873</v>
      </c>
      <c r="C1259" s="13" t="s">
        <v>1877</v>
      </c>
      <c r="D1259" s="13" t="s">
        <v>1792</v>
      </c>
      <c r="E1259" s="15">
        <v>9594.82</v>
      </c>
      <c r="F1259" s="13" t="s">
        <v>1787</v>
      </c>
    </row>
    <row r="1260" spans="1:6" x14ac:dyDescent="0.25">
      <c r="A1260" s="10" t="s">
        <v>3125</v>
      </c>
      <c r="B1260" s="11">
        <v>45881</v>
      </c>
      <c r="C1260" s="10" t="s">
        <v>1877</v>
      </c>
      <c r="D1260" s="10" t="s">
        <v>1795</v>
      </c>
      <c r="E1260" s="12">
        <v>3072.6</v>
      </c>
      <c r="F1260" s="10" t="s">
        <v>1790</v>
      </c>
    </row>
    <row r="1261" spans="1:6" x14ac:dyDescent="0.25">
      <c r="A1261" s="13" t="s">
        <v>3126</v>
      </c>
      <c r="B1261" s="14">
        <v>45891</v>
      </c>
      <c r="C1261" s="13" t="s">
        <v>1877</v>
      </c>
      <c r="D1261" s="13" t="s">
        <v>1797</v>
      </c>
      <c r="E1261" s="15">
        <v>3699.65</v>
      </c>
      <c r="F1261" s="13" t="s">
        <v>1867</v>
      </c>
    </row>
    <row r="1262" spans="1:6" x14ac:dyDescent="0.25">
      <c r="A1262" s="10" t="s">
        <v>3127</v>
      </c>
      <c r="B1262" s="11">
        <v>45926</v>
      </c>
      <c r="C1262" s="10" t="s">
        <v>1774</v>
      </c>
      <c r="D1262" s="10" t="s">
        <v>1775</v>
      </c>
      <c r="E1262" s="12">
        <v>89542.41</v>
      </c>
      <c r="F1262" s="10" t="s">
        <v>2078</v>
      </c>
    </row>
    <row r="1263" spans="1:6" x14ac:dyDescent="0.25">
      <c r="A1263" s="13" t="s">
        <v>3128</v>
      </c>
      <c r="B1263" s="14">
        <v>45901</v>
      </c>
      <c r="C1263" s="13" t="s">
        <v>1774</v>
      </c>
      <c r="D1263" s="13" t="s">
        <v>1778</v>
      </c>
      <c r="E1263" s="15">
        <v>18735.47</v>
      </c>
      <c r="F1263" s="13" t="s">
        <v>1990</v>
      </c>
    </row>
    <row r="1264" spans="1:6" x14ac:dyDescent="0.25">
      <c r="A1264" s="10" t="s">
        <v>3129</v>
      </c>
      <c r="B1264" s="11">
        <v>45902</v>
      </c>
      <c r="C1264" s="10" t="s">
        <v>1774</v>
      </c>
      <c r="D1264" s="10" t="s">
        <v>1780</v>
      </c>
      <c r="E1264" s="12">
        <v>8650.84</v>
      </c>
      <c r="F1264" s="10" t="s">
        <v>1904</v>
      </c>
    </row>
    <row r="1265" spans="1:6" x14ac:dyDescent="0.25">
      <c r="A1265" s="13" t="s">
        <v>3130</v>
      </c>
      <c r="B1265" s="14">
        <v>45927</v>
      </c>
      <c r="C1265" s="13" t="s">
        <v>1774</v>
      </c>
      <c r="D1265" s="13" t="s">
        <v>1783</v>
      </c>
      <c r="E1265" s="15">
        <v>12858.31</v>
      </c>
      <c r="F1265" s="13" t="s">
        <v>1828</v>
      </c>
    </row>
    <row r="1266" spans="1:6" x14ac:dyDescent="0.25">
      <c r="A1266" s="10" t="s">
        <v>3131</v>
      </c>
      <c r="B1266" s="11">
        <v>45908</v>
      </c>
      <c r="C1266" s="10" t="s">
        <v>1774</v>
      </c>
      <c r="D1266" s="10" t="s">
        <v>1786</v>
      </c>
      <c r="E1266" s="12">
        <v>13900.14</v>
      </c>
      <c r="F1266" s="10" t="s">
        <v>1840</v>
      </c>
    </row>
    <row r="1267" spans="1:6" x14ac:dyDescent="0.25">
      <c r="A1267" s="13" t="s">
        <v>3132</v>
      </c>
      <c r="B1267" s="14">
        <v>45906</v>
      </c>
      <c r="C1267" s="13" t="s">
        <v>1774</v>
      </c>
      <c r="D1267" s="13" t="s">
        <v>1789</v>
      </c>
      <c r="E1267" s="15">
        <v>9134.07</v>
      </c>
      <c r="F1267" s="13" t="s">
        <v>1852</v>
      </c>
    </row>
    <row r="1268" spans="1:6" x14ac:dyDescent="0.25">
      <c r="A1268" s="10" t="s">
        <v>3133</v>
      </c>
      <c r="B1268" s="11">
        <v>45911</v>
      </c>
      <c r="C1268" s="10" t="s">
        <v>1774</v>
      </c>
      <c r="D1268" s="10" t="s">
        <v>1792</v>
      </c>
      <c r="E1268" s="12">
        <v>14492.04</v>
      </c>
      <c r="F1268" s="10" t="s">
        <v>1844</v>
      </c>
    </row>
    <row r="1269" spans="1:6" x14ac:dyDescent="0.25">
      <c r="A1269" s="13" t="s">
        <v>3134</v>
      </c>
      <c r="B1269" s="14">
        <v>45906</v>
      </c>
      <c r="C1269" s="13" t="s">
        <v>1774</v>
      </c>
      <c r="D1269" s="13" t="s">
        <v>1795</v>
      </c>
      <c r="E1269" s="15">
        <v>5800.2</v>
      </c>
      <c r="F1269" s="13" t="s">
        <v>1939</v>
      </c>
    </row>
    <row r="1270" spans="1:6" x14ac:dyDescent="0.25">
      <c r="A1270" s="10" t="s">
        <v>3135</v>
      </c>
      <c r="B1270" s="11">
        <v>45902</v>
      </c>
      <c r="C1270" s="10" t="s">
        <v>1774</v>
      </c>
      <c r="D1270" s="10" t="s">
        <v>1797</v>
      </c>
      <c r="E1270" s="12">
        <v>5692.29</v>
      </c>
      <c r="F1270" s="10" t="s">
        <v>2192</v>
      </c>
    </row>
    <row r="1271" spans="1:6" x14ac:dyDescent="0.25">
      <c r="A1271" s="13" t="s">
        <v>3136</v>
      </c>
      <c r="B1271" s="14">
        <v>45905</v>
      </c>
      <c r="C1271" s="13" t="s">
        <v>1799</v>
      </c>
      <c r="D1271" s="13" t="s">
        <v>1775</v>
      </c>
      <c r="E1271" s="15">
        <v>40534.050000000003</v>
      </c>
      <c r="F1271" s="13" t="s">
        <v>1935</v>
      </c>
    </row>
    <row r="1272" spans="1:6" x14ac:dyDescent="0.25">
      <c r="A1272" s="10" t="s">
        <v>3137</v>
      </c>
      <c r="B1272" s="11">
        <v>45906</v>
      </c>
      <c r="C1272" s="10" t="s">
        <v>1799</v>
      </c>
      <c r="D1272" s="10" t="s">
        <v>1778</v>
      </c>
      <c r="E1272" s="12">
        <v>7421.99</v>
      </c>
      <c r="F1272" s="10" t="s">
        <v>1960</v>
      </c>
    </row>
    <row r="1273" spans="1:6" x14ac:dyDescent="0.25">
      <c r="A1273" s="13" t="s">
        <v>3138</v>
      </c>
      <c r="B1273" s="14">
        <v>45924</v>
      </c>
      <c r="C1273" s="13" t="s">
        <v>1799</v>
      </c>
      <c r="D1273" s="13" t="s">
        <v>1780</v>
      </c>
      <c r="E1273" s="15">
        <v>3851.89</v>
      </c>
      <c r="F1273" s="13" t="s">
        <v>2113</v>
      </c>
    </row>
    <row r="1274" spans="1:6" x14ac:dyDescent="0.25">
      <c r="A1274" s="10" t="s">
        <v>3139</v>
      </c>
      <c r="B1274" s="11">
        <v>45927</v>
      </c>
      <c r="C1274" s="10" t="s">
        <v>1799</v>
      </c>
      <c r="D1274" s="10" t="s">
        <v>1783</v>
      </c>
      <c r="E1274" s="12">
        <v>6999.41</v>
      </c>
      <c r="F1274" s="10" t="s">
        <v>1787</v>
      </c>
    </row>
    <row r="1275" spans="1:6" x14ac:dyDescent="0.25">
      <c r="A1275" s="13" t="s">
        <v>3140</v>
      </c>
      <c r="B1275" s="14">
        <v>45906</v>
      </c>
      <c r="C1275" s="13" t="s">
        <v>1799</v>
      </c>
      <c r="D1275" s="13" t="s">
        <v>1786</v>
      </c>
      <c r="E1275" s="15">
        <v>6555.7</v>
      </c>
      <c r="F1275" s="13" t="s">
        <v>1875</v>
      </c>
    </row>
    <row r="1276" spans="1:6" x14ac:dyDescent="0.25">
      <c r="A1276" s="10" t="s">
        <v>3141</v>
      </c>
      <c r="B1276" s="11">
        <v>45912</v>
      </c>
      <c r="C1276" s="10" t="s">
        <v>1799</v>
      </c>
      <c r="D1276" s="10" t="s">
        <v>1789</v>
      </c>
      <c r="E1276" s="12">
        <v>4276.3</v>
      </c>
      <c r="F1276" s="10" t="s">
        <v>1852</v>
      </c>
    </row>
    <row r="1277" spans="1:6" x14ac:dyDescent="0.25">
      <c r="A1277" s="13" t="s">
        <v>3142</v>
      </c>
      <c r="B1277" s="14">
        <v>45920</v>
      </c>
      <c r="C1277" s="13" t="s">
        <v>1799</v>
      </c>
      <c r="D1277" s="13" t="s">
        <v>1792</v>
      </c>
      <c r="E1277" s="15">
        <v>5777.5</v>
      </c>
      <c r="F1277" s="13" t="s">
        <v>1812</v>
      </c>
    </row>
    <row r="1278" spans="1:6" x14ac:dyDescent="0.25">
      <c r="A1278" s="10" t="s">
        <v>3143</v>
      </c>
      <c r="B1278" s="11">
        <v>45911</v>
      </c>
      <c r="C1278" s="10" t="s">
        <v>1799</v>
      </c>
      <c r="D1278" s="10" t="s">
        <v>1795</v>
      </c>
      <c r="E1278" s="12">
        <v>2174.2399999999998</v>
      </c>
      <c r="F1278" s="10" t="s">
        <v>1904</v>
      </c>
    </row>
    <row r="1279" spans="1:6" x14ac:dyDescent="0.25">
      <c r="A1279" s="13" t="s">
        <v>3144</v>
      </c>
      <c r="B1279" s="14">
        <v>45908</v>
      </c>
      <c r="C1279" s="13" t="s">
        <v>1799</v>
      </c>
      <c r="D1279" s="13" t="s">
        <v>1797</v>
      </c>
      <c r="E1279" s="15">
        <v>2044.25</v>
      </c>
      <c r="F1279" s="13" t="s">
        <v>1863</v>
      </c>
    </row>
    <row r="1280" spans="1:6" x14ac:dyDescent="0.25">
      <c r="A1280" s="10" t="s">
        <v>3145</v>
      </c>
      <c r="B1280" s="11">
        <v>45926</v>
      </c>
      <c r="C1280" s="10" t="s">
        <v>1818</v>
      </c>
      <c r="D1280" s="10" t="s">
        <v>1775</v>
      </c>
      <c r="E1280" s="12">
        <v>39216.910000000003</v>
      </c>
      <c r="F1280" s="10" t="s">
        <v>1814</v>
      </c>
    </row>
    <row r="1281" spans="1:6" x14ac:dyDescent="0.25">
      <c r="A1281" s="13" t="s">
        <v>3146</v>
      </c>
      <c r="B1281" s="14">
        <v>45902</v>
      </c>
      <c r="C1281" s="13" t="s">
        <v>1818</v>
      </c>
      <c r="D1281" s="13" t="s">
        <v>1778</v>
      </c>
      <c r="E1281" s="15">
        <v>6819.88</v>
      </c>
      <c r="F1281" s="13" t="s">
        <v>1859</v>
      </c>
    </row>
    <row r="1282" spans="1:6" x14ac:dyDescent="0.25">
      <c r="A1282" s="10" t="s">
        <v>3147</v>
      </c>
      <c r="B1282" s="11">
        <v>45910</v>
      </c>
      <c r="C1282" s="10" t="s">
        <v>1818</v>
      </c>
      <c r="D1282" s="10" t="s">
        <v>1780</v>
      </c>
      <c r="E1282" s="12">
        <v>3762.36</v>
      </c>
      <c r="F1282" s="10" t="s">
        <v>1810</v>
      </c>
    </row>
    <row r="1283" spans="1:6" x14ac:dyDescent="0.25">
      <c r="A1283" s="13" t="s">
        <v>3148</v>
      </c>
      <c r="B1283" s="14">
        <v>45917</v>
      </c>
      <c r="C1283" s="13" t="s">
        <v>1818</v>
      </c>
      <c r="D1283" s="13" t="s">
        <v>1783</v>
      </c>
      <c r="E1283" s="15">
        <v>5336.4</v>
      </c>
      <c r="F1283" s="13" t="s">
        <v>1808</v>
      </c>
    </row>
    <row r="1284" spans="1:6" x14ac:dyDescent="0.25">
      <c r="A1284" s="10" t="s">
        <v>3149</v>
      </c>
      <c r="B1284" s="11">
        <v>45920</v>
      </c>
      <c r="C1284" s="10" t="s">
        <v>1818</v>
      </c>
      <c r="D1284" s="10" t="s">
        <v>1786</v>
      </c>
      <c r="E1284" s="12">
        <v>5284.92</v>
      </c>
      <c r="F1284" s="10" t="s">
        <v>1884</v>
      </c>
    </row>
    <row r="1285" spans="1:6" x14ac:dyDescent="0.25">
      <c r="A1285" s="13" t="s">
        <v>3150</v>
      </c>
      <c r="B1285" s="14">
        <v>45904</v>
      </c>
      <c r="C1285" s="13" t="s">
        <v>1818</v>
      </c>
      <c r="D1285" s="13" t="s">
        <v>1789</v>
      </c>
      <c r="E1285" s="15">
        <v>3737.99</v>
      </c>
      <c r="F1285" s="13" t="s">
        <v>1884</v>
      </c>
    </row>
    <row r="1286" spans="1:6" x14ac:dyDescent="0.25">
      <c r="A1286" s="10" t="s">
        <v>3151</v>
      </c>
      <c r="B1286" s="11">
        <v>45921</v>
      </c>
      <c r="C1286" s="10" t="s">
        <v>1818</v>
      </c>
      <c r="D1286" s="10" t="s">
        <v>1792</v>
      </c>
      <c r="E1286" s="12">
        <v>5965.82</v>
      </c>
      <c r="F1286" s="10" t="s">
        <v>1997</v>
      </c>
    </row>
    <row r="1287" spans="1:6" x14ac:dyDescent="0.25">
      <c r="A1287" s="13" t="s">
        <v>3152</v>
      </c>
      <c r="B1287" s="14">
        <v>45913</v>
      </c>
      <c r="C1287" s="13" t="s">
        <v>1818</v>
      </c>
      <c r="D1287" s="13" t="s">
        <v>1795</v>
      </c>
      <c r="E1287" s="15">
        <v>2243.23</v>
      </c>
      <c r="F1287" s="13" t="s">
        <v>1977</v>
      </c>
    </row>
    <row r="1288" spans="1:6" x14ac:dyDescent="0.25">
      <c r="A1288" s="10" t="s">
        <v>3153</v>
      </c>
      <c r="B1288" s="11">
        <v>45904</v>
      </c>
      <c r="C1288" s="10" t="s">
        <v>1818</v>
      </c>
      <c r="D1288" s="10" t="s">
        <v>1797</v>
      </c>
      <c r="E1288" s="12">
        <v>2028.56</v>
      </c>
      <c r="F1288" s="10" t="s">
        <v>2072</v>
      </c>
    </row>
    <row r="1289" spans="1:6" x14ac:dyDescent="0.25">
      <c r="A1289" s="13" t="s">
        <v>3154</v>
      </c>
      <c r="B1289" s="14">
        <v>45918</v>
      </c>
      <c r="C1289" s="13" t="s">
        <v>1786</v>
      </c>
      <c r="D1289" s="13" t="s">
        <v>1775</v>
      </c>
      <c r="E1289" s="15">
        <v>66702.350000000006</v>
      </c>
      <c r="F1289" s="13" t="s">
        <v>2040</v>
      </c>
    </row>
    <row r="1290" spans="1:6" x14ac:dyDescent="0.25">
      <c r="A1290" s="10" t="s">
        <v>3155</v>
      </c>
      <c r="B1290" s="11">
        <v>45906</v>
      </c>
      <c r="C1290" s="10" t="s">
        <v>1786</v>
      </c>
      <c r="D1290" s="10" t="s">
        <v>1778</v>
      </c>
      <c r="E1290" s="12">
        <v>13180.74</v>
      </c>
      <c r="F1290" s="10" t="s">
        <v>2078</v>
      </c>
    </row>
    <row r="1291" spans="1:6" x14ac:dyDescent="0.25">
      <c r="A1291" s="13" t="s">
        <v>3156</v>
      </c>
      <c r="B1291" s="14">
        <v>45908</v>
      </c>
      <c r="C1291" s="13" t="s">
        <v>1786</v>
      </c>
      <c r="D1291" s="13" t="s">
        <v>1780</v>
      </c>
      <c r="E1291" s="15">
        <v>6778.03</v>
      </c>
      <c r="F1291" s="13" t="s">
        <v>1901</v>
      </c>
    </row>
    <row r="1292" spans="1:6" x14ac:dyDescent="0.25">
      <c r="A1292" s="10" t="s">
        <v>3157</v>
      </c>
      <c r="B1292" s="11">
        <v>45920</v>
      </c>
      <c r="C1292" s="10" t="s">
        <v>1786</v>
      </c>
      <c r="D1292" s="10" t="s">
        <v>1783</v>
      </c>
      <c r="E1292" s="12">
        <v>9808.16</v>
      </c>
      <c r="F1292" s="10" t="s">
        <v>1859</v>
      </c>
    </row>
    <row r="1293" spans="1:6" x14ac:dyDescent="0.25">
      <c r="A1293" s="13" t="s">
        <v>3158</v>
      </c>
      <c r="B1293" s="14">
        <v>45915</v>
      </c>
      <c r="C1293" s="13" t="s">
        <v>1786</v>
      </c>
      <c r="D1293" s="13" t="s">
        <v>1786</v>
      </c>
      <c r="E1293" s="15">
        <v>9308.17</v>
      </c>
      <c r="F1293" s="13" t="s">
        <v>1820</v>
      </c>
    </row>
    <row r="1294" spans="1:6" x14ac:dyDescent="0.25">
      <c r="A1294" s="10" t="s">
        <v>3159</v>
      </c>
      <c r="B1294" s="11">
        <v>45909</v>
      </c>
      <c r="C1294" s="10" t="s">
        <v>1786</v>
      </c>
      <c r="D1294" s="10" t="s">
        <v>1789</v>
      </c>
      <c r="E1294" s="12">
        <v>6495.65</v>
      </c>
      <c r="F1294" s="10" t="s">
        <v>1844</v>
      </c>
    </row>
    <row r="1295" spans="1:6" x14ac:dyDescent="0.25">
      <c r="A1295" s="13" t="s">
        <v>3160</v>
      </c>
      <c r="B1295" s="14">
        <v>45921</v>
      </c>
      <c r="C1295" s="13" t="s">
        <v>1786</v>
      </c>
      <c r="D1295" s="13" t="s">
        <v>1792</v>
      </c>
      <c r="E1295" s="15">
        <v>8799.6</v>
      </c>
      <c r="F1295" s="13" t="s">
        <v>1826</v>
      </c>
    </row>
    <row r="1296" spans="1:6" x14ac:dyDescent="0.25">
      <c r="A1296" s="10" t="s">
        <v>3161</v>
      </c>
      <c r="B1296" s="11">
        <v>45926</v>
      </c>
      <c r="C1296" s="10" t="s">
        <v>1786</v>
      </c>
      <c r="D1296" s="10" t="s">
        <v>1795</v>
      </c>
      <c r="E1296" s="12">
        <v>4153.2700000000004</v>
      </c>
      <c r="F1296" s="10" t="s">
        <v>1822</v>
      </c>
    </row>
    <row r="1297" spans="1:6" x14ac:dyDescent="0.25">
      <c r="A1297" s="13" t="s">
        <v>3162</v>
      </c>
      <c r="B1297" s="14">
        <v>45907</v>
      </c>
      <c r="C1297" s="13" t="s">
        <v>1786</v>
      </c>
      <c r="D1297" s="13" t="s">
        <v>1797</v>
      </c>
      <c r="E1297" s="15">
        <v>3609.29</v>
      </c>
      <c r="F1297" s="13" t="s">
        <v>1946</v>
      </c>
    </row>
    <row r="1298" spans="1:6" x14ac:dyDescent="0.25">
      <c r="A1298" s="10" t="s">
        <v>3163</v>
      </c>
      <c r="B1298" s="11">
        <v>45921</v>
      </c>
      <c r="C1298" s="10" t="s">
        <v>1792</v>
      </c>
      <c r="D1298" s="10" t="s">
        <v>1775</v>
      </c>
      <c r="E1298" s="12">
        <v>95389.18</v>
      </c>
      <c r="F1298" s="10" t="s">
        <v>1802</v>
      </c>
    </row>
    <row r="1299" spans="1:6" x14ac:dyDescent="0.25">
      <c r="A1299" s="13" t="s">
        <v>3164</v>
      </c>
      <c r="B1299" s="14">
        <v>45912</v>
      </c>
      <c r="C1299" s="13" t="s">
        <v>1792</v>
      </c>
      <c r="D1299" s="13" t="s">
        <v>1778</v>
      </c>
      <c r="E1299" s="15">
        <v>14280.05</v>
      </c>
      <c r="F1299" s="13" t="s">
        <v>1935</v>
      </c>
    </row>
    <row r="1300" spans="1:6" x14ac:dyDescent="0.25">
      <c r="A1300" s="10" t="s">
        <v>3165</v>
      </c>
      <c r="B1300" s="11">
        <v>45922</v>
      </c>
      <c r="C1300" s="10" t="s">
        <v>1792</v>
      </c>
      <c r="D1300" s="10" t="s">
        <v>1780</v>
      </c>
      <c r="E1300" s="12">
        <v>6759.7</v>
      </c>
      <c r="F1300" s="10" t="s">
        <v>1946</v>
      </c>
    </row>
    <row r="1301" spans="1:6" x14ac:dyDescent="0.25">
      <c r="A1301" s="13" t="s">
        <v>3166</v>
      </c>
      <c r="B1301" s="14">
        <v>45927</v>
      </c>
      <c r="C1301" s="13" t="s">
        <v>1792</v>
      </c>
      <c r="D1301" s="13" t="s">
        <v>1783</v>
      </c>
      <c r="E1301" s="15">
        <v>15432.36</v>
      </c>
      <c r="F1301" s="13" t="s">
        <v>1814</v>
      </c>
    </row>
    <row r="1302" spans="1:6" x14ac:dyDescent="0.25">
      <c r="A1302" s="10" t="s">
        <v>3167</v>
      </c>
      <c r="B1302" s="11">
        <v>45920</v>
      </c>
      <c r="C1302" s="10" t="s">
        <v>1792</v>
      </c>
      <c r="D1302" s="10" t="s">
        <v>1786</v>
      </c>
      <c r="E1302" s="12">
        <v>14498.61</v>
      </c>
      <c r="F1302" s="10" t="s">
        <v>1863</v>
      </c>
    </row>
    <row r="1303" spans="1:6" x14ac:dyDescent="0.25">
      <c r="A1303" s="13" t="s">
        <v>3168</v>
      </c>
      <c r="B1303" s="14">
        <v>45924</v>
      </c>
      <c r="C1303" s="13" t="s">
        <v>1792</v>
      </c>
      <c r="D1303" s="13" t="s">
        <v>1789</v>
      </c>
      <c r="E1303" s="15">
        <v>9634.31</v>
      </c>
      <c r="F1303" s="13" t="s">
        <v>1888</v>
      </c>
    </row>
    <row r="1304" spans="1:6" x14ac:dyDescent="0.25">
      <c r="A1304" s="10" t="s">
        <v>3169</v>
      </c>
      <c r="B1304" s="11">
        <v>45901</v>
      </c>
      <c r="C1304" s="10" t="s">
        <v>1792</v>
      </c>
      <c r="D1304" s="10" t="s">
        <v>1792</v>
      </c>
      <c r="E1304" s="12">
        <v>12365.1</v>
      </c>
      <c r="F1304" s="10" t="s">
        <v>1904</v>
      </c>
    </row>
    <row r="1305" spans="1:6" x14ac:dyDescent="0.25">
      <c r="A1305" s="13" t="s">
        <v>3170</v>
      </c>
      <c r="B1305" s="14">
        <v>45927</v>
      </c>
      <c r="C1305" s="13" t="s">
        <v>1792</v>
      </c>
      <c r="D1305" s="13" t="s">
        <v>1795</v>
      </c>
      <c r="E1305" s="15">
        <v>4131.62</v>
      </c>
      <c r="F1305" s="13" t="s">
        <v>2186</v>
      </c>
    </row>
    <row r="1306" spans="1:6" x14ac:dyDescent="0.25">
      <c r="A1306" s="10" t="s">
        <v>3171</v>
      </c>
      <c r="B1306" s="11">
        <v>45901</v>
      </c>
      <c r="C1306" s="10" t="s">
        <v>1792</v>
      </c>
      <c r="D1306" s="10" t="s">
        <v>1797</v>
      </c>
      <c r="E1306" s="12">
        <v>5815.37</v>
      </c>
      <c r="F1306" s="10" t="s">
        <v>2159</v>
      </c>
    </row>
    <row r="1307" spans="1:6" x14ac:dyDescent="0.25">
      <c r="A1307" s="13" t="s">
        <v>3172</v>
      </c>
      <c r="B1307" s="14">
        <v>45908</v>
      </c>
      <c r="C1307" s="13" t="s">
        <v>1862</v>
      </c>
      <c r="D1307" s="13" t="s">
        <v>1775</v>
      </c>
      <c r="E1307" s="15">
        <v>42755.82</v>
      </c>
      <c r="F1307" s="13" t="s">
        <v>1875</v>
      </c>
    </row>
    <row r="1308" spans="1:6" x14ac:dyDescent="0.25">
      <c r="A1308" s="10" t="s">
        <v>3173</v>
      </c>
      <c r="B1308" s="11">
        <v>45918</v>
      </c>
      <c r="C1308" s="10" t="s">
        <v>1862</v>
      </c>
      <c r="D1308" s="10" t="s">
        <v>1778</v>
      </c>
      <c r="E1308" s="12">
        <v>6550.63</v>
      </c>
      <c r="F1308" s="10" t="s">
        <v>1882</v>
      </c>
    </row>
    <row r="1309" spans="1:6" x14ac:dyDescent="0.25">
      <c r="A1309" s="13" t="s">
        <v>3174</v>
      </c>
      <c r="B1309" s="14">
        <v>45921</v>
      </c>
      <c r="C1309" s="13" t="s">
        <v>1862</v>
      </c>
      <c r="D1309" s="13" t="s">
        <v>1780</v>
      </c>
      <c r="E1309" s="15">
        <v>4017.72</v>
      </c>
      <c r="F1309" s="13" t="s">
        <v>1784</v>
      </c>
    </row>
    <row r="1310" spans="1:6" x14ac:dyDescent="0.25">
      <c r="A1310" s="10" t="s">
        <v>3175</v>
      </c>
      <c r="B1310" s="11">
        <v>45907</v>
      </c>
      <c r="C1310" s="10" t="s">
        <v>1862</v>
      </c>
      <c r="D1310" s="10" t="s">
        <v>1783</v>
      </c>
      <c r="E1310" s="12">
        <v>5352.4</v>
      </c>
      <c r="F1310" s="10" t="s">
        <v>1812</v>
      </c>
    </row>
    <row r="1311" spans="1:6" x14ac:dyDescent="0.25">
      <c r="A1311" s="13" t="s">
        <v>3176</v>
      </c>
      <c r="B1311" s="14">
        <v>45906</v>
      </c>
      <c r="C1311" s="13" t="s">
        <v>1862</v>
      </c>
      <c r="D1311" s="13" t="s">
        <v>1786</v>
      </c>
      <c r="E1311" s="15">
        <v>5899.53</v>
      </c>
      <c r="F1311" s="13" t="s">
        <v>1904</v>
      </c>
    </row>
    <row r="1312" spans="1:6" x14ac:dyDescent="0.25">
      <c r="A1312" s="10" t="s">
        <v>3177</v>
      </c>
      <c r="B1312" s="11">
        <v>45918</v>
      </c>
      <c r="C1312" s="10" t="s">
        <v>1862</v>
      </c>
      <c r="D1312" s="10" t="s">
        <v>1789</v>
      </c>
      <c r="E1312" s="12">
        <v>4284.0600000000004</v>
      </c>
      <c r="F1312" s="10" t="s">
        <v>1820</v>
      </c>
    </row>
    <row r="1313" spans="1:6" x14ac:dyDescent="0.25">
      <c r="A1313" s="13" t="s">
        <v>3178</v>
      </c>
      <c r="B1313" s="14">
        <v>45925</v>
      </c>
      <c r="C1313" s="13" t="s">
        <v>1862</v>
      </c>
      <c r="D1313" s="13" t="s">
        <v>1792</v>
      </c>
      <c r="E1313" s="15">
        <v>5753.63</v>
      </c>
      <c r="F1313" s="13" t="s">
        <v>1859</v>
      </c>
    </row>
    <row r="1314" spans="1:6" x14ac:dyDescent="0.25">
      <c r="A1314" s="10" t="s">
        <v>3179</v>
      </c>
      <c r="B1314" s="11">
        <v>45921</v>
      </c>
      <c r="C1314" s="10" t="s">
        <v>1862</v>
      </c>
      <c r="D1314" s="10" t="s">
        <v>1795</v>
      </c>
      <c r="E1314" s="12">
        <v>1934.2</v>
      </c>
      <c r="F1314" s="10" t="s">
        <v>2040</v>
      </c>
    </row>
    <row r="1315" spans="1:6" x14ac:dyDescent="0.25">
      <c r="A1315" s="13" t="s">
        <v>3180</v>
      </c>
      <c r="B1315" s="14">
        <v>45906</v>
      </c>
      <c r="C1315" s="13" t="s">
        <v>1862</v>
      </c>
      <c r="D1315" s="13" t="s">
        <v>1797</v>
      </c>
      <c r="E1315" s="15">
        <v>2223.52</v>
      </c>
      <c r="F1315" s="13" t="s">
        <v>1886</v>
      </c>
    </row>
    <row r="1316" spans="1:6" x14ac:dyDescent="0.25">
      <c r="A1316" s="10" t="s">
        <v>3181</v>
      </c>
      <c r="B1316" s="11">
        <v>45926</v>
      </c>
      <c r="C1316" s="10" t="s">
        <v>1877</v>
      </c>
      <c r="D1316" s="10" t="s">
        <v>1775</v>
      </c>
      <c r="E1316" s="12">
        <v>58747.7</v>
      </c>
      <c r="F1316" s="10" t="s">
        <v>1958</v>
      </c>
    </row>
    <row r="1317" spans="1:6" x14ac:dyDescent="0.25">
      <c r="A1317" s="13" t="s">
        <v>3182</v>
      </c>
      <c r="B1317" s="14">
        <v>45905</v>
      </c>
      <c r="C1317" s="13" t="s">
        <v>1877</v>
      </c>
      <c r="D1317" s="13" t="s">
        <v>1778</v>
      </c>
      <c r="E1317" s="15">
        <v>12404.56</v>
      </c>
      <c r="F1317" s="13" t="s">
        <v>2186</v>
      </c>
    </row>
    <row r="1318" spans="1:6" x14ac:dyDescent="0.25">
      <c r="A1318" s="10" t="s">
        <v>3183</v>
      </c>
      <c r="B1318" s="11">
        <v>45901</v>
      </c>
      <c r="C1318" s="10" t="s">
        <v>1877</v>
      </c>
      <c r="D1318" s="10" t="s">
        <v>1780</v>
      </c>
      <c r="E1318" s="12">
        <v>5384.97</v>
      </c>
      <c r="F1318" s="10" t="s">
        <v>1806</v>
      </c>
    </row>
    <row r="1319" spans="1:6" x14ac:dyDescent="0.25">
      <c r="A1319" s="13" t="s">
        <v>3184</v>
      </c>
      <c r="B1319" s="14">
        <v>45925</v>
      </c>
      <c r="C1319" s="13" t="s">
        <v>1877</v>
      </c>
      <c r="D1319" s="13" t="s">
        <v>1783</v>
      </c>
      <c r="E1319" s="15">
        <v>10200.120000000001</v>
      </c>
      <c r="F1319" s="13" t="s">
        <v>2159</v>
      </c>
    </row>
    <row r="1320" spans="1:6" x14ac:dyDescent="0.25">
      <c r="A1320" s="10" t="s">
        <v>3185</v>
      </c>
      <c r="B1320" s="11">
        <v>45906</v>
      </c>
      <c r="C1320" s="10" t="s">
        <v>1877</v>
      </c>
      <c r="D1320" s="10" t="s">
        <v>1786</v>
      </c>
      <c r="E1320" s="12">
        <v>10612.11</v>
      </c>
      <c r="F1320" s="10" t="s">
        <v>1985</v>
      </c>
    </row>
    <row r="1321" spans="1:6" x14ac:dyDescent="0.25">
      <c r="A1321" s="13" t="s">
        <v>3186</v>
      </c>
      <c r="B1321" s="14">
        <v>45906</v>
      </c>
      <c r="C1321" s="13" t="s">
        <v>1877</v>
      </c>
      <c r="D1321" s="13" t="s">
        <v>1789</v>
      </c>
      <c r="E1321" s="15">
        <v>6021.01</v>
      </c>
      <c r="F1321" s="13" t="s">
        <v>1784</v>
      </c>
    </row>
    <row r="1322" spans="1:6" x14ac:dyDescent="0.25">
      <c r="A1322" s="10" t="s">
        <v>3187</v>
      </c>
      <c r="B1322" s="11">
        <v>45917</v>
      </c>
      <c r="C1322" s="10" t="s">
        <v>1877</v>
      </c>
      <c r="D1322" s="10" t="s">
        <v>1792</v>
      </c>
      <c r="E1322" s="12">
        <v>9129.83</v>
      </c>
      <c r="F1322" s="10" t="s">
        <v>1781</v>
      </c>
    </row>
    <row r="1323" spans="1:6" x14ac:dyDescent="0.25">
      <c r="A1323" s="13" t="s">
        <v>3188</v>
      </c>
      <c r="B1323" s="14">
        <v>45912</v>
      </c>
      <c r="C1323" s="13" t="s">
        <v>1877</v>
      </c>
      <c r="D1323" s="13" t="s">
        <v>1795</v>
      </c>
      <c r="E1323" s="15">
        <v>4183.99</v>
      </c>
      <c r="F1323" s="13" t="s">
        <v>1852</v>
      </c>
    </row>
    <row r="1324" spans="1:6" x14ac:dyDescent="0.25">
      <c r="A1324" s="10" t="s">
        <v>3189</v>
      </c>
      <c r="B1324" s="11">
        <v>45906</v>
      </c>
      <c r="C1324" s="10" t="s">
        <v>1877</v>
      </c>
      <c r="D1324" s="10" t="s">
        <v>1797</v>
      </c>
      <c r="E1324" s="12">
        <v>3825.92</v>
      </c>
      <c r="F1324" s="10" t="s">
        <v>1865</v>
      </c>
    </row>
    <row r="1325" spans="1:6" x14ac:dyDescent="0.25">
      <c r="A1325" s="13" t="s">
        <v>3190</v>
      </c>
      <c r="B1325" s="14">
        <v>45935</v>
      </c>
      <c r="C1325" s="13" t="s">
        <v>1774</v>
      </c>
      <c r="D1325" s="13" t="s">
        <v>1775</v>
      </c>
      <c r="E1325" s="15">
        <v>82620</v>
      </c>
      <c r="F1325" s="13" t="s">
        <v>1828</v>
      </c>
    </row>
    <row r="1326" spans="1:6" x14ac:dyDescent="0.25">
      <c r="A1326" s="10" t="s">
        <v>3191</v>
      </c>
      <c r="B1326" s="11">
        <v>45950</v>
      </c>
      <c r="C1326" s="10" t="s">
        <v>1774</v>
      </c>
      <c r="D1326" s="10" t="s">
        <v>1778</v>
      </c>
      <c r="E1326" s="12">
        <v>18694.099999999999</v>
      </c>
      <c r="F1326" s="10" t="s">
        <v>1865</v>
      </c>
    </row>
    <row r="1327" spans="1:6" x14ac:dyDescent="0.25">
      <c r="A1327" s="13" t="s">
        <v>3192</v>
      </c>
      <c r="B1327" s="14">
        <v>45939</v>
      </c>
      <c r="C1327" s="13" t="s">
        <v>1774</v>
      </c>
      <c r="D1327" s="13" t="s">
        <v>1780</v>
      </c>
      <c r="E1327" s="15">
        <v>10836.15</v>
      </c>
      <c r="F1327" s="13" t="s">
        <v>2113</v>
      </c>
    </row>
    <row r="1328" spans="1:6" x14ac:dyDescent="0.25">
      <c r="A1328" s="10" t="s">
        <v>3193</v>
      </c>
      <c r="B1328" s="11">
        <v>45950</v>
      </c>
      <c r="C1328" s="10" t="s">
        <v>1774</v>
      </c>
      <c r="D1328" s="10" t="s">
        <v>1783</v>
      </c>
      <c r="E1328" s="12">
        <v>12748.86</v>
      </c>
      <c r="F1328" s="10" t="s">
        <v>2093</v>
      </c>
    </row>
    <row r="1329" spans="1:6" x14ac:dyDescent="0.25">
      <c r="A1329" s="13" t="s">
        <v>3194</v>
      </c>
      <c r="B1329" s="14">
        <v>45933</v>
      </c>
      <c r="C1329" s="13" t="s">
        <v>1774</v>
      </c>
      <c r="D1329" s="13" t="s">
        <v>1786</v>
      </c>
      <c r="E1329" s="15">
        <v>17414.46</v>
      </c>
      <c r="F1329" s="13" t="s">
        <v>1856</v>
      </c>
    </row>
    <row r="1330" spans="1:6" x14ac:dyDescent="0.25">
      <c r="A1330" s="10" t="s">
        <v>3195</v>
      </c>
      <c r="B1330" s="11">
        <v>45931</v>
      </c>
      <c r="C1330" s="10" t="s">
        <v>1774</v>
      </c>
      <c r="D1330" s="10" t="s">
        <v>1789</v>
      </c>
      <c r="E1330" s="12">
        <v>9793.18</v>
      </c>
      <c r="F1330" s="10" t="s">
        <v>1968</v>
      </c>
    </row>
    <row r="1331" spans="1:6" x14ac:dyDescent="0.25">
      <c r="A1331" s="13" t="s">
        <v>3196</v>
      </c>
      <c r="B1331" s="14">
        <v>45935</v>
      </c>
      <c r="C1331" s="13" t="s">
        <v>1774</v>
      </c>
      <c r="D1331" s="13" t="s">
        <v>1792</v>
      </c>
      <c r="E1331" s="15">
        <v>17057.96</v>
      </c>
      <c r="F1331" s="13" t="s">
        <v>1968</v>
      </c>
    </row>
    <row r="1332" spans="1:6" x14ac:dyDescent="0.25">
      <c r="A1332" s="10" t="s">
        <v>3197</v>
      </c>
      <c r="B1332" s="11">
        <v>45957</v>
      </c>
      <c r="C1332" s="10" t="s">
        <v>1774</v>
      </c>
      <c r="D1332" s="10" t="s">
        <v>1795</v>
      </c>
      <c r="E1332" s="12">
        <v>5289.34</v>
      </c>
      <c r="F1332" s="10" t="s">
        <v>1941</v>
      </c>
    </row>
    <row r="1333" spans="1:6" x14ac:dyDescent="0.25">
      <c r="A1333" s="13" t="s">
        <v>3198</v>
      </c>
      <c r="B1333" s="14">
        <v>45937</v>
      </c>
      <c r="C1333" s="13" t="s">
        <v>1774</v>
      </c>
      <c r="D1333" s="13" t="s">
        <v>1797</v>
      </c>
      <c r="E1333" s="15">
        <v>6588.02</v>
      </c>
      <c r="F1333" s="13" t="s">
        <v>1814</v>
      </c>
    </row>
    <row r="1334" spans="1:6" x14ac:dyDescent="0.25">
      <c r="A1334" s="10" t="s">
        <v>3199</v>
      </c>
      <c r="B1334" s="11">
        <v>45932</v>
      </c>
      <c r="C1334" s="10" t="s">
        <v>1799</v>
      </c>
      <c r="D1334" s="10" t="s">
        <v>1775</v>
      </c>
      <c r="E1334" s="12">
        <v>40155.949999999997</v>
      </c>
      <c r="F1334" s="10" t="s">
        <v>2024</v>
      </c>
    </row>
    <row r="1335" spans="1:6" x14ac:dyDescent="0.25">
      <c r="A1335" s="13" t="s">
        <v>3200</v>
      </c>
      <c r="B1335" s="14">
        <v>45936</v>
      </c>
      <c r="C1335" s="13" t="s">
        <v>1799</v>
      </c>
      <c r="D1335" s="13" t="s">
        <v>1778</v>
      </c>
      <c r="E1335" s="15">
        <v>8064.85</v>
      </c>
      <c r="F1335" s="13" t="s">
        <v>1935</v>
      </c>
    </row>
    <row r="1336" spans="1:6" x14ac:dyDescent="0.25">
      <c r="A1336" s="10" t="s">
        <v>3201</v>
      </c>
      <c r="B1336" s="11">
        <v>45932</v>
      </c>
      <c r="C1336" s="10" t="s">
        <v>1799</v>
      </c>
      <c r="D1336" s="10" t="s">
        <v>1780</v>
      </c>
      <c r="E1336" s="12">
        <v>4593.16</v>
      </c>
      <c r="F1336" s="10" t="s">
        <v>1854</v>
      </c>
    </row>
    <row r="1337" spans="1:6" x14ac:dyDescent="0.25">
      <c r="A1337" s="13" t="s">
        <v>3202</v>
      </c>
      <c r="B1337" s="14">
        <v>45935</v>
      </c>
      <c r="C1337" s="13" t="s">
        <v>1799</v>
      </c>
      <c r="D1337" s="13" t="s">
        <v>1783</v>
      </c>
      <c r="E1337" s="15">
        <v>6257.23</v>
      </c>
      <c r="F1337" s="13" t="s">
        <v>1898</v>
      </c>
    </row>
    <row r="1338" spans="1:6" x14ac:dyDescent="0.25">
      <c r="A1338" s="10" t="s">
        <v>3203</v>
      </c>
      <c r="B1338" s="11">
        <v>45933</v>
      </c>
      <c r="C1338" s="10" t="s">
        <v>1799</v>
      </c>
      <c r="D1338" s="10" t="s">
        <v>1786</v>
      </c>
      <c r="E1338" s="12">
        <v>6258.95</v>
      </c>
      <c r="F1338" s="10" t="s">
        <v>2113</v>
      </c>
    </row>
    <row r="1339" spans="1:6" x14ac:dyDescent="0.25">
      <c r="A1339" s="13" t="s">
        <v>3204</v>
      </c>
      <c r="B1339" s="14">
        <v>45933</v>
      </c>
      <c r="C1339" s="13" t="s">
        <v>1799</v>
      </c>
      <c r="D1339" s="13" t="s">
        <v>1789</v>
      </c>
      <c r="E1339" s="15">
        <v>4346.57</v>
      </c>
      <c r="F1339" s="13" t="s">
        <v>1898</v>
      </c>
    </row>
    <row r="1340" spans="1:6" x14ac:dyDescent="0.25">
      <c r="A1340" s="10" t="s">
        <v>3205</v>
      </c>
      <c r="B1340" s="11">
        <v>45945</v>
      </c>
      <c r="C1340" s="10" t="s">
        <v>1799</v>
      </c>
      <c r="D1340" s="10" t="s">
        <v>1792</v>
      </c>
      <c r="E1340" s="12">
        <v>5686.63</v>
      </c>
      <c r="F1340" s="10" t="s">
        <v>1875</v>
      </c>
    </row>
    <row r="1341" spans="1:6" x14ac:dyDescent="0.25">
      <c r="A1341" s="13" t="s">
        <v>3206</v>
      </c>
      <c r="B1341" s="14">
        <v>45950</v>
      </c>
      <c r="C1341" s="13" t="s">
        <v>1799</v>
      </c>
      <c r="D1341" s="13" t="s">
        <v>1795</v>
      </c>
      <c r="E1341" s="15">
        <v>2081.2800000000002</v>
      </c>
      <c r="F1341" s="13" t="s">
        <v>1941</v>
      </c>
    </row>
    <row r="1342" spans="1:6" x14ac:dyDescent="0.25">
      <c r="A1342" s="10" t="s">
        <v>3207</v>
      </c>
      <c r="B1342" s="11">
        <v>45944</v>
      </c>
      <c r="C1342" s="10" t="s">
        <v>1799</v>
      </c>
      <c r="D1342" s="10" t="s">
        <v>1797</v>
      </c>
      <c r="E1342" s="12">
        <v>2563.23</v>
      </c>
      <c r="F1342" s="10" t="s">
        <v>1808</v>
      </c>
    </row>
    <row r="1343" spans="1:6" x14ac:dyDescent="0.25">
      <c r="A1343" s="13" t="s">
        <v>3208</v>
      </c>
      <c r="B1343" s="14">
        <v>45954</v>
      </c>
      <c r="C1343" s="13" t="s">
        <v>1818</v>
      </c>
      <c r="D1343" s="13" t="s">
        <v>1775</v>
      </c>
      <c r="E1343" s="15">
        <v>37249.9</v>
      </c>
      <c r="F1343" s="13" t="s">
        <v>1958</v>
      </c>
    </row>
    <row r="1344" spans="1:6" x14ac:dyDescent="0.25">
      <c r="A1344" s="10" t="s">
        <v>3209</v>
      </c>
      <c r="B1344" s="11">
        <v>45953</v>
      </c>
      <c r="C1344" s="10" t="s">
        <v>1818</v>
      </c>
      <c r="D1344" s="10" t="s">
        <v>1778</v>
      </c>
      <c r="E1344" s="12">
        <v>6130.04</v>
      </c>
      <c r="F1344" s="10" t="s">
        <v>1970</v>
      </c>
    </row>
    <row r="1345" spans="1:6" x14ac:dyDescent="0.25">
      <c r="A1345" s="13" t="s">
        <v>3210</v>
      </c>
      <c r="B1345" s="14">
        <v>45952</v>
      </c>
      <c r="C1345" s="13" t="s">
        <v>1818</v>
      </c>
      <c r="D1345" s="13" t="s">
        <v>1780</v>
      </c>
      <c r="E1345" s="15">
        <v>2783.75</v>
      </c>
      <c r="F1345" s="13" t="s">
        <v>2411</v>
      </c>
    </row>
    <row r="1346" spans="1:6" x14ac:dyDescent="0.25">
      <c r="A1346" s="10" t="s">
        <v>3211</v>
      </c>
      <c r="B1346" s="11">
        <v>45946</v>
      </c>
      <c r="C1346" s="10" t="s">
        <v>1818</v>
      </c>
      <c r="D1346" s="10" t="s">
        <v>1783</v>
      </c>
      <c r="E1346" s="12">
        <v>6068.36</v>
      </c>
      <c r="F1346" s="10" t="s">
        <v>1941</v>
      </c>
    </row>
    <row r="1347" spans="1:6" x14ac:dyDescent="0.25">
      <c r="A1347" s="13" t="s">
        <v>3212</v>
      </c>
      <c r="B1347" s="14">
        <v>45955</v>
      </c>
      <c r="C1347" s="13" t="s">
        <v>1818</v>
      </c>
      <c r="D1347" s="13" t="s">
        <v>1786</v>
      </c>
      <c r="E1347" s="15">
        <v>5093.93</v>
      </c>
      <c r="F1347" s="13" t="s">
        <v>1906</v>
      </c>
    </row>
    <row r="1348" spans="1:6" x14ac:dyDescent="0.25">
      <c r="A1348" s="10" t="s">
        <v>3213</v>
      </c>
      <c r="B1348" s="11">
        <v>45949</v>
      </c>
      <c r="C1348" s="10" t="s">
        <v>1818</v>
      </c>
      <c r="D1348" s="10" t="s">
        <v>1789</v>
      </c>
      <c r="E1348" s="12">
        <v>3043.09</v>
      </c>
      <c r="F1348" s="10" t="s">
        <v>1854</v>
      </c>
    </row>
    <row r="1349" spans="1:6" x14ac:dyDescent="0.25">
      <c r="A1349" s="13" t="s">
        <v>3214</v>
      </c>
      <c r="B1349" s="14">
        <v>45955</v>
      </c>
      <c r="C1349" s="13" t="s">
        <v>1818</v>
      </c>
      <c r="D1349" s="13" t="s">
        <v>1792</v>
      </c>
      <c r="E1349" s="15">
        <v>4921.83</v>
      </c>
      <c r="F1349" s="13" t="s">
        <v>1970</v>
      </c>
    </row>
    <row r="1350" spans="1:6" x14ac:dyDescent="0.25">
      <c r="A1350" s="10" t="s">
        <v>3215</v>
      </c>
      <c r="B1350" s="11">
        <v>45936</v>
      </c>
      <c r="C1350" s="10" t="s">
        <v>1818</v>
      </c>
      <c r="D1350" s="10" t="s">
        <v>1795</v>
      </c>
      <c r="E1350" s="12">
        <v>1785.69</v>
      </c>
      <c r="F1350" s="10" t="s">
        <v>1990</v>
      </c>
    </row>
    <row r="1351" spans="1:6" x14ac:dyDescent="0.25">
      <c r="A1351" s="13" t="s">
        <v>3216</v>
      </c>
      <c r="B1351" s="14">
        <v>45952</v>
      </c>
      <c r="C1351" s="13" t="s">
        <v>1818</v>
      </c>
      <c r="D1351" s="13" t="s">
        <v>1797</v>
      </c>
      <c r="E1351" s="15">
        <v>2307.06</v>
      </c>
      <c r="F1351" s="13" t="s">
        <v>1888</v>
      </c>
    </row>
    <row r="1352" spans="1:6" x14ac:dyDescent="0.25">
      <c r="A1352" s="10" t="s">
        <v>3217</v>
      </c>
      <c r="B1352" s="11">
        <v>45934</v>
      </c>
      <c r="C1352" s="10" t="s">
        <v>1786</v>
      </c>
      <c r="D1352" s="10" t="s">
        <v>1775</v>
      </c>
      <c r="E1352" s="12">
        <v>71748.81</v>
      </c>
      <c r="F1352" s="10" t="s">
        <v>1808</v>
      </c>
    </row>
    <row r="1353" spans="1:6" x14ac:dyDescent="0.25">
      <c r="A1353" s="13" t="s">
        <v>3218</v>
      </c>
      <c r="B1353" s="14">
        <v>45934</v>
      </c>
      <c r="C1353" s="13" t="s">
        <v>1786</v>
      </c>
      <c r="D1353" s="13" t="s">
        <v>1778</v>
      </c>
      <c r="E1353" s="15">
        <v>14179.22</v>
      </c>
      <c r="F1353" s="13" t="s">
        <v>1850</v>
      </c>
    </row>
    <row r="1354" spans="1:6" x14ac:dyDescent="0.25">
      <c r="A1354" s="10" t="s">
        <v>3219</v>
      </c>
      <c r="B1354" s="11">
        <v>45939</v>
      </c>
      <c r="C1354" s="10" t="s">
        <v>1786</v>
      </c>
      <c r="D1354" s="10" t="s">
        <v>1780</v>
      </c>
      <c r="E1354" s="12">
        <v>5669.12</v>
      </c>
      <c r="F1354" s="10" t="s">
        <v>1904</v>
      </c>
    </row>
    <row r="1355" spans="1:6" x14ac:dyDescent="0.25">
      <c r="A1355" s="13" t="s">
        <v>3220</v>
      </c>
      <c r="B1355" s="14">
        <v>45951</v>
      </c>
      <c r="C1355" s="13" t="s">
        <v>1786</v>
      </c>
      <c r="D1355" s="13" t="s">
        <v>1783</v>
      </c>
      <c r="E1355" s="15">
        <v>10326.52</v>
      </c>
      <c r="F1355" s="13" t="s">
        <v>1816</v>
      </c>
    </row>
    <row r="1356" spans="1:6" x14ac:dyDescent="0.25">
      <c r="A1356" s="10" t="s">
        <v>3221</v>
      </c>
      <c r="B1356" s="11">
        <v>45956</v>
      </c>
      <c r="C1356" s="10" t="s">
        <v>1786</v>
      </c>
      <c r="D1356" s="10" t="s">
        <v>1786</v>
      </c>
      <c r="E1356" s="12">
        <v>23137.75</v>
      </c>
      <c r="F1356" s="10" t="s">
        <v>1793</v>
      </c>
    </row>
    <row r="1357" spans="1:6" x14ac:dyDescent="0.25">
      <c r="A1357" s="13" t="s">
        <v>3222</v>
      </c>
      <c r="B1357" s="14">
        <v>45954</v>
      </c>
      <c r="C1357" s="13" t="s">
        <v>1786</v>
      </c>
      <c r="D1357" s="13" t="s">
        <v>1789</v>
      </c>
      <c r="E1357" s="15">
        <v>5471.19</v>
      </c>
      <c r="F1357" s="13" t="s">
        <v>1997</v>
      </c>
    </row>
    <row r="1358" spans="1:6" x14ac:dyDescent="0.25">
      <c r="A1358" s="10" t="s">
        <v>3223</v>
      </c>
      <c r="B1358" s="11">
        <v>45942</v>
      </c>
      <c r="C1358" s="10" t="s">
        <v>1786</v>
      </c>
      <c r="D1358" s="10" t="s">
        <v>1792</v>
      </c>
      <c r="E1358" s="12">
        <v>10905.53</v>
      </c>
      <c r="F1358" s="10" t="s">
        <v>1968</v>
      </c>
    </row>
    <row r="1359" spans="1:6" x14ac:dyDescent="0.25">
      <c r="A1359" s="13" t="s">
        <v>3224</v>
      </c>
      <c r="B1359" s="14">
        <v>45931</v>
      </c>
      <c r="C1359" s="13" t="s">
        <v>1786</v>
      </c>
      <c r="D1359" s="13" t="s">
        <v>1795</v>
      </c>
      <c r="E1359" s="15">
        <v>3743.67</v>
      </c>
      <c r="F1359" s="13" t="s">
        <v>1856</v>
      </c>
    </row>
    <row r="1360" spans="1:6" x14ac:dyDescent="0.25">
      <c r="A1360" s="10" t="s">
        <v>3225</v>
      </c>
      <c r="B1360" s="11">
        <v>45935</v>
      </c>
      <c r="C1360" s="10" t="s">
        <v>1786</v>
      </c>
      <c r="D1360" s="10" t="s">
        <v>1797</v>
      </c>
      <c r="E1360" s="12">
        <v>4135.83</v>
      </c>
      <c r="F1360" s="10" t="s">
        <v>2186</v>
      </c>
    </row>
    <row r="1361" spans="1:6" x14ac:dyDescent="0.25">
      <c r="A1361" s="13" t="s">
        <v>3226</v>
      </c>
      <c r="B1361" s="14">
        <v>45952</v>
      </c>
      <c r="C1361" s="13" t="s">
        <v>1792</v>
      </c>
      <c r="D1361" s="13" t="s">
        <v>1775</v>
      </c>
      <c r="E1361" s="15">
        <v>78688.55</v>
      </c>
      <c r="F1361" s="13" t="s">
        <v>1880</v>
      </c>
    </row>
    <row r="1362" spans="1:6" x14ac:dyDescent="0.25">
      <c r="A1362" s="10" t="s">
        <v>3227</v>
      </c>
      <c r="B1362" s="11">
        <v>45948</v>
      </c>
      <c r="C1362" s="10" t="s">
        <v>1792</v>
      </c>
      <c r="D1362" s="10" t="s">
        <v>1778</v>
      </c>
      <c r="E1362" s="12">
        <v>16658.16</v>
      </c>
      <c r="F1362" s="10" t="s">
        <v>1812</v>
      </c>
    </row>
    <row r="1363" spans="1:6" x14ac:dyDescent="0.25">
      <c r="A1363" s="13" t="s">
        <v>3228</v>
      </c>
      <c r="B1363" s="14">
        <v>45953</v>
      </c>
      <c r="C1363" s="13" t="s">
        <v>1792</v>
      </c>
      <c r="D1363" s="13" t="s">
        <v>1780</v>
      </c>
      <c r="E1363" s="15">
        <v>6798.95</v>
      </c>
      <c r="F1363" s="13" t="s">
        <v>1891</v>
      </c>
    </row>
    <row r="1364" spans="1:6" x14ac:dyDescent="0.25">
      <c r="A1364" s="10" t="s">
        <v>3229</v>
      </c>
      <c r="B1364" s="11">
        <v>45940</v>
      </c>
      <c r="C1364" s="10" t="s">
        <v>1792</v>
      </c>
      <c r="D1364" s="10" t="s">
        <v>1783</v>
      </c>
      <c r="E1364" s="12">
        <v>14528.23</v>
      </c>
      <c r="F1364" s="10" t="s">
        <v>1985</v>
      </c>
    </row>
    <row r="1365" spans="1:6" x14ac:dyDescent="0.25">
      <c r="A1365" s="13" t="s">
        <v>3230</v>
      </c>
      <c r="B1365" s="14">
        <v>45931</v>
      </c>
      <c r="C1365" s="13" t="s">
        <v>1792</v>
      </c>
      <c r="D1365" s="13" t="s">
        <v>1786</v>
      </c>
      <c r="E1365" s="15">
        <v>13567.72</v>
      </c>
      <c r="F1365" s="13" t="s">
        <v>1787</v>
      </c>
    </row>
    <row r="1366" spans="1:6" x14ac:dyDescent="0.25">
      <c r="A1366" s="10" t="s">
        <v>3231</v>
      </c>
      <c r="B1366" s="11">
        <v>45939</v>
      </c>
      <c r="C1366" s="10" t="s">
        <v>1792</v>
      </c>
      <c r="D1366" s="10" t="s">
        <v>1789</v>
      </c>
      <c r="E1366" s="12">
        <v>7807.33</v>
      </c>
      <c r="F1366" s="10" t="s">
        <v>2186</v>
      </c>
    </row>
    <row r="1367" spans="1:6" x14ac:dyDescent="0.25">
      <c r="A1367" s="13" t="s">
        <v>3232</v>
      </c>
      <c r="B1367" s="14">
        <v>45950</v>
      </c>
      <c r="C1367" s="13" t="s">
        <v>1792</v>
      </c>
      <c r="D1367" s="13" t="s">
        <v>1792</v>
      </c>
      <c r="E1367" s="15">
        <v>13885.66</v>
      </c>
      <c r="F1367" s="13" t="s">
        <v>1988</v>
      </c>
    </row>
    <row r="1368" spans="1:6" x14ac:dyDescent="0.25">
      <c r="A1368" s="10" t="s">
        <v>3233</v>
      </c>
      <c r="B1368" s="11">
        <v>45942</v>
      </c>
      <c r="C1368" s="10" t="s">
        <v>1792</v>
      </c>
      <c r="D1368" s="10" t="s">
        <v>1795</v>
      </c>
      <c r="E1368" s="12">
        <v>5344.1</v>
      </c>
      <c r="F1368" s="10" t="s">
        <v>1917</v>
      </c>
    </row>
    <row r="1369" spans="1:6" x14ac:dyDescent="0.25">
      <c r="A1369" s="13" t="s">
        <v>3234</v>
      </c>
      <c r="B1369" s="14">
        <v>45949</v>
      </c>
      <c r="C1369" s="13" t="s">
        <v>1792</v>
      </c>
      <c r="D1369" s="13" t="s">
        <v>1797</v>
      </c>
      <c r="E1369" s="15">
        <v>4592.34</v>
      </c>
      <c r="F1369" s="13" t="s">
        <v>2128</v>
      </c>
    </row>
    <row r="1370" spans="1:6" x14ac:dyDescent="0.25">
      <c r="A1370" s="10" t="s">
        <v>3235</v>
      </c>
      <c r="B1370" s="11">
        <v>45935</v>
      </c>
      <c r="C1370" s="10" t="s">
        <v>1862</v>
      </c>
      <c r="D1370" s="10" t="s">
        <v>1775</v>
      </c>
      <c r="E1370" s="12">
        <v>40812.120000000003</v>
      </c>
      <c r="F1370" s="10" t="s">
        <v>1812</v>
      </c>
    </row>
    <row r="1371" spans="1:6" x14ac:dyDescent="0.25">
      <c r="A1371" s="13" t="s">
        <v>3236</v>
      </c>
      <c r="B1371" s="14">
        <v>45932</v>
      </c>
      <c r="C1371" s="13" t="s">
        <v>1862</v>
      </c>
      <c r="D1371" s="13" t="s">
        <v>1778</v>
      </c>
      <c r="E1371" s="15">
        <v>8980.2900000000009</v>
      </c>
      <c r="F1371" s="13" t="s">
        <v>1906</v>
      </c>
    </row>
    <row r="1372" spans="1:6" x14ac:dyDescent="0.25">
      <c r="A1372" s="10" t="s">
        <v>3237</v>
      </c>
      <c r="B1372" s="11">
        <v>45952</v>
      </c>
      <c r="C1372" s="10" t="s">
        <v>1862</v>
      </c>
      <c r="D1372" s="10" t="s">
        <v>1780</v>
      </c>
      <c r="E1372" s="12">
        <v>3970.66</v>
      </c>
      <c r="F1372" s="10" t="s">
        <v>2162</v>
      </c>
    </row>
    <row r="1373" spans="1:6" x14ac:dyDescent="0.25">
      <c r="A1373" s="13" t="s">
        <v>3238</v>
      </c>
      <c r="B1373" s="14">
        <v>45935</v>
      </c>
      <c r="C1373" s="13" t="s">
        <v>1862</v>
      </c>
      <c r="D1373" s="13" t="s">
        <v>1783</v>
      </c>
      <c r="E1373" s="15">
        <v>5633.8</v>
      </c>
      <c r="F1373" s="13" t="s">
        <v>1871</v>
      </c>
    </row>
    <row r="1374" spans="1:6" x14ac:dyDescent="0.25">
      <c r="A1374" s="10" t="s">
        <v>3239</v>
      </c>
      <c r="B1374" s="11">
        <v>45946</v>
      </c>
      <c r="C1374" s="10" t="s">
        <v>1862</v>
      </c>
      <c r="D1374" s="10" t="s">
        <v>1786</v>
      </c>
      <c r="E1374" s="12">
        <v>6407.79</v>
      </c>
      <c r="F1374" s="10" t="s">
        <v>2042</v>
      </c>
    </row>
    <row r="1375" spans="1:6" x14ac:dyDescent="0.25">
      <c r="A1375" s="13" t="s">
        <v>3240</v>
      </c>
      <c r="B1375" s="14">
        <v>45931</v>
      </c>
      <c r="C1375" s="13" t="s">
        <v>1862</v>
      </c>
      <c r="D1375" s="13" t="s">
        <v>1789</v>
      </c>
      <c r="E1375" s="15">
        <v>4187.2</v>
      </c>
      <c r="F1375" s="13" t="s">
        <v>1776</v>
      </c>
    </row>
    <row r="1376" spans="1:6" x14ac:dyDescent="0.25">
      <c r="A1376" s="10" t="s">
        <v>3241</v>
      </c>
      <c r="B1376" s="11">
        <v>45942</v>
      </c>
      <c r="C1376" s="10" t="s">
        <v>1862</v>
      </c>
      <c r="D1376" s="10" t="s">
        <v>1792</v>
      </c>
      <c r="E1376" s="12">
        <v>6565.39</v>
      </c>
      <c r="F1376" s="10" t="s">
        <v>1804</v>
      </c>
    </row>
    <row r="1377" spans="1:6" x14ac:dyDescent="0.25">
      <c r="A1377" s="13" t="s">
        <v>3242</v>
      </c>
      <c r="B1377" s="14">
        <v>45932</v>
      </c>
      <c r="C1377" s="13" t="s">
        <v>1862</v>
      </c>
      <c r="D1377" s="13" t="s">
        <v>1795</v>
      </c>
      <c r="E1377" s="15">
        <v>2513.98</v>
      </c>
      <c r="F1377" s="13" t="s">
        <v>1930</v>
      </c>
    </row>
    <row r="1378" spans="1:6" x14ac:dyDescent="0.25">
      <c r="A1378" s="10" t="s">
        <v>3243</v>
      </c>
      <c r="B1378" s="11">
        <v>45957</v>
      </c>
      <c r="C1378" s="10" t="s">
        <v>1862</v>
      </c>
      <c r="D1378" s="10" t="s">
        <v>1797</v>
      </c>
      <c r="E1378" s="12">
        <v>2615.98</v>
      </c>
      <c r="F1378" s="10" t="s">
        <v>1898</v>
      </c>
    </row>
    <row r="1379" spans="1:6" x14ac:dyDescent="0.25">
      <c r="A1379" s="13" t="s">
        <v>3244</v>
      </c>
      <c r="B1379" s="14">
        <v>45934</v>
      </c>
      <c r="C1379" s="13" t="s">
        <v>1877</v>
      </c>
      <c r="D1379" s="13" t="s">
        <v>1775</v>
      </c>
      <c r="E1379" s="15">
        <v>62652.85</v>
      </c>
      <c r="F1379" s="13" t="s">
        <v>1939</v>
      </c>
    </row>
    <row r="1380" spans="1:6" x14ac:dyDescent="0.25">
      <c r="A1380" s="10" t="s">
        <v>3245</v>
      </c>
      <c r="B1380" s="11">
        <v>45954</v>
      </c>
      <c r="C1380" s="10" t="s">
        <v>1877</v>
      </c>
      <c r="D1380" s="10" t="s">
        <v>1778</v>
      </c>
      <c r="E1380" s="12">
        <v>12010.22</v>
      </c>
      <c r="F1380" s="10" t="s">
        <v>2074</v>
      </c>
    </row>
    <row r="1381" spans="1:6" x14ac:dyDescent="0.25">
      <c r="A1381" s="13" t="s">
        <v>3246</v>
      </c>
      <c r="B1381" s="14">
        <v>45931</v>
      </c>
      <c r="C1381" s="13" t="s">
        <v>1877</v>
      </c>
      <c r="D1381" s="13" t="s">
        <v>1780</v>
      </c>
      <c r="E1381" s="15">
        <v>6900.38</v>
      </c>
      <c r="F1381" s="13" t="s">
        <v>2005</v>
      </c>
    </row>
    <row r="1382" spans="1:6" x14ac:dyDescent="0.25">
      <c r="A1382" s="10" t="s">
        <v>3247</v>
      </c>
      <c r="B1382" s="11">
        <v>45934</v>
      </c>
      <c r="C1382" s="10" t="s">
        <v>1877</v>
      </c>
      <c r="D1382" s="10" t="s">
        <v>1783</v>
      </c>
      <c r="E1382" s="12">
        <v>8805.9</v>
      </c>
      <c r="F1382" s="10" t="s">
        <v>2005</v>
      </c>
    </row>
    <row r="1383" spans="1:6" x14ac:dyDescent="0.25">
      <c r="A1383" s="13" t="s">
        <v>3248</v>
      </c>
      <c r="B1383" s="14">
        <v>45940</v>
      </c>
      <c r="C1383" s="13" t="s">
        <v>1877</v>
      </c>
      <c r="D1383" s="13" t="s">
        <v>1786</v>
      </c>
      <c r="E1383" s="15">
        <v>9240.42</v>
      </c>
      <c r="F1383" s="13" t="s">
        <v>1822</v>
      </c>
    </row>
    <row r="1384" spans="1:6" x14ac:dyDescent="0.25">
      <c r="A1384" s="10" t="s">
        <v>3249</v>
      </c>
      <c r="B1384" s="11">
        <v>45943</v>
      </c>
      <c r="C1384" s="10" t="s">
        <v>1877</v>
      </c>
      <c r="D1384" s="10" t="s">
        <v>1789</v>
      </c>
      <c r="E1384" s="12">
        <v>5831.55</v>
      </c>
      <c r="F1384" s="10" t="s">
        <v>1941</v>
      </c>
    </row>
    <row r="1385" spans="1:6" x14ac:dyDescent="0.25">
      <c r="A1385" s="13" t="s">
        <v>3250</v>
      </c>
      <c r="B1385" s="14">
        <v>45951</v>
      </c>
      <c r="C1385" s="13" t="s">
        <v>1877</v>
      </c>
      <c r="D1385" s="13" t="s">
        <v>1792</v>
      </c>
      <c r="E1385" s="15">
        <v>9286.9599999999991</v>
      </c>
      <c r="F1385" s="13" t="s">
        <v>2042</v>
      </c>
    </row>
    <row r="1386" spans="1:6" x14ac:dyDescent="0.25">
      <c r="A1386" s="10" t="s">
        <v>3251</v>
      </c>
      <c r="B1386" s="11">
        <v>45940</v>
      </c>
      <c r="C1386" s="10" t="s">
        <v>1877</v>
      </c>
      <c r="D1386" s="10" t="s">
        <v>1795</v>
      </c>
      <c r="E1386" s="12">
        <v>3998.61</v>
      </c>
      <c r="F1386" s="10" t="s">
        <v>1804</v>
      </c>
    </row>
    <row r="1387" spans="1:6" x14ac:dyDescent="0.25">
      <c r="A1387" s="13" t="s">
        <v>3252</v>
      </c>
      <c r="B1387" s="14">
        <v>45957</v>
      </c>
      <c r="C1387" s="13" t="s">
        <v>1877</v>
      </c>
      <c r="D1387" s="13" t="s">
        <v>1797</v>
      </c>
      <c r="E1387" s="15">
        <v>3181.11</v>
      </c>
      <c r="F1387" s="13" t="s">
        <v>1988</v>
      </c>
    </row>
    <row r="1388" spans="1:6" x14ac:dyDescent="0.25">
      <c r="A1388" s="10" t="s">
        <v>3253</v>
      </c>
      <c r="B1388" s="11">
        <v>45973</v>
      </c>
      <c r="C1388" s="10" t="s">
        <v>1774</v>
      </c>
      <c r="D1388" s="10" t="s">
        <v>1775</v>
      </c>
      <c r="E1388" s="12">
        <v>100377.89</v>
      </c>
      <c r="F1388" s="10" t="s">
        <v>1826</v>
      </c>
    </row>
    <row r="1389" spans="1:6" x14ac:dyDescent="0.25">
      <c r="A1389" s="13" t="s">
        <v>3254</v>
      </c>
      <c r="B1389" s="14">
        <v>45965</v>
      </c>
      <c r="C1389" s="13" t="s">
        <v>1774</v>
      </c>
      <c r="D1389" s="13" t="s">
        <v>1778</v>
      </c>
      <c r="E1389" s="15">
        <v>19546.29</v>
      </c>
      <c r="F1389" s="13" t="s">
        <v>1985</v>
      </c>
    </row>
    <row r="1390" spans="1:6" x14ac:dyDescent="0.25">
      <c r="A1390" s="10" t="s">
        <v>3255</v>
      </c>
      <c r="B1390" s="11">
        <v>45967</v>
      </c>
      <c r="C1390" s="10" t="s">
        <v>1774</v>
      </c>
      <c r="D1390" s="10" t="s">
        <v>1780</v>
      </c>
      <c r="E1390" s="12">
        <v>10423.99</v>
      </c>
      <c r="F1390" s="10" t="s">
        <v>1927</v>
      </c>
    </row>
    <row r="1391" spans="1:6" x14ac:dyDescent="0.25">
      <c r="A1391" s="13" t="s">
        <v>3256</v>
      </c>
      <c r="B1391" s="14">
        <v>45985</v>
      </c>
      <c r="C1391" s="13" t="s">
        <v>1774</v>
      </c>
      <c r="D1391" s="13" t="s">
        <v>1783</v>
      </c>
      <c r="E1391" s="15">
        <v>15704.33</v>
      </c>
      <c r="F1391" s="13" t="s">
        <v>2113</v>
      </c>
    </row>
    <row r="1392" spans="1:6" x14ac:dyDescent="0.25">
      <c r="A1392" s="10" t="s">
        <v>3257</v>
      </c>
      <c r="B1392" s="11">
        <v>45987</v>
      </c>
      <c r="C1392" s="10" t="s">
        <v>1774</v>
      </c>
      <c r="D1392" s="10" t="s">
        <v>1786</v>
      </c>
      <c r="E1392" s="12">
        <v>16915.3</v>
      </c>
      <c r="F1392" s="10" t="s">
        <v>1927</v>
      </c>
    </row>
    <row r="1393" spans="1:6" x14ac:dyDescent="0.25">
      <c r="A1393" s="13" t="s">
        <v>3258</v>
      </c>
      <c r="B1393" s="14">
        <v>45979</v>
      </c>
      <c r="C1393" s="13" t="s">
        <v>1774</v>
      </c>
      <c r="D1393" s="13" t="s">
        <v>1789</v>
      </c>
      <c r="E1393" s="15">
        <v>10159.530000000001</v>
      </c>
      <c r="F1393" s="13" t="s">
        <v>1977</v>
      </c>
    </row>
    <row r="1394" spans="1:6" x14ac:dyDescent="0.25">
      <c r="A1394" s="10" t="s">
        <v>3259</v>
      </c>
      <c r="B1394" s="11">
        <v>45979</v>
      </c>
      <c r="C1394" s="10" t="s">
        <v>1774</v>
      </c>
      <c r="D1394" s="10" t="s">
        <v>1792</v>
      </c>
      <c r="E1394" s="12">
        <v>15484.09</v>
      </c>
      <c r="F1394" s="10" t="s">
        <v>2411</v>
      </c>
    </row>
    <row r="1395" spans="1:6" x14ac:dyDescent="0.25">
      <c r="A1395" s="13" t="s">
        <v>3260</v>
      </c>
      <c r="B1395" s="14">
        <v>45970</v>
      </c>
      <c r="C1395" s="13" t="s">
        <v>1774</v>
      </c>
      <c r="D1395" s="13" t="s">
        <v>1795</v>
      </c>
      <c r="E1395" s="15">
        <v>6188.61</v>
      </c>
      <c r="F1395" s="13" t="s">
        <v>1997</v>
      </c>
    </row>
    <row r="1396" spans="1:6" x14ac:dyDescent="0.25">
      <c r="A1396" s="10" t="s">
        <v>3261</v>
      </c>
      <c r="B1396" s="11">
        <v>45981</v>
      </c>
      <c r="C1396" s="10" t="s">
        <v>1774</v>
      </c>
      <c r="D1396" s="10" t="s">
        <v>1797</v>
      </c>
      <c r="E1396" s="12">
        <v>5733.65</v>
      </c>
      <c r="F1396" s="10" t="s">
        <v>1836</v>
      </c>
    </row>
    <row r="1397" spans="1:6" x14ac:dyDescent="0.25">
      <c r="A1397" s="13" t="s">
        <v>3262</v>
      </c>
      <c r="B1397" s="14">
        <v>45986</v>
      </c>
      <c r="C1397" s="13" t="s">
        <v>1799</v>
      </c>
      <c r="D1397" s="13" t="s">
        <v>1775</v>
      </c>
      <c r="E1397" s="15">
        <v>44090.83</v>
      </c>
      <c r="F1397" s="13" t="s">
        <v>1906</v>
      </c>
    </row>
    <row r="1398" spans="1:6" x14ac:dyDescent="0.25">
      <c r="A1398" s="10" t="s">
        <v>3263</v>
      </c>
      <c r="B1398" s="11">
        <v>45980</v>
      </c>
      <c r="C1398" s="10" t="s">
        <v>1799</v>
      </c>
      <c r="D1398" s="10" t="s">
        <v>1778</v>
      </c>
      <c r="E1398" s="12">
        <v>7753.73</v>
      </c>
      <c r="F1398" s="10" t="s">
        <v>1844</v>
      </c>
    </row>
    <row r="1399" spans="1:6" x14ac:dyDescent="0.25">
      <c r="A1399" s="13" t="s">
        <v>3264</v>
      </c>
      <c r="B1399" s="14">
        <v>45978</v>
      </c>
      <c r="C1399" s="13" t="s">
        <v>1799</v>
      </c>
      <c r="D1399" s="13" t="s">
        <v>1780</v>
      </c>
      <c r="E1399" s="15">
        <v>3735.51</v>
      </c>
      <c r="F1399" s="13" t="s">
        <v>1820</v>
      </c>
    </row>
    <row r="1400" spans="1:6" x14ac:dyDescent="0.25">
      <c r="A1400" s="10" t="s">
        <v>3265</v>
      </c>
      <c r="B1400" s="11">
        <v>45983</v>
      </c>
      <c r="C1400" s="10" t="s">
        <v>1799</v>
      </c>
      <c r="D1400" s="10" t="s">
        <v>1783</v>
      </c>
      <c r="E1400" s="12">
        <v>7429.25</v>
      </c>
      <c r="F1400" s="10" t="s">
        <v>1854</v>
      </c>
    </row>
    <row r="1401" spans="1:6" x14ac:dyDescent="0.25">
      <c r="A1401" s="13" t="s">
        <v>3266</v>
      </c>
      <c r="B1401" s="14">
        <v>45973</v>
      </c>
      <c r="C1401" s="13" t="s">
        <v>1799</v>
      </c>
      <c r="D1401" s="13" t="s">
        <v>1786</v>
      </c>
      <c r="E1401" s="15">
        <v>6343.62</v>
      </c>
      <c r="F1401" s="13" t="s">
        <v>2128</v>
      </c>
    </row>
    <row r="1402" spans="1:6" x14ac:dyDescent="0.25">
      <c r="A1402" s="10" t="s">
        <v>3267</v>
      </c>
      <c r="B1402" s="11">
        <v>45973</v>
      </c>
      <c r="C1402" s="10" t="s">
        <v>1799</v>
      </c>
      <c r="D1402" s="10" t="s">
        <v>1789</v>
      </c>
      <c r="E1402" s="12">
        <v>4151.32</v>
      </c>
      <c r="F1402" s="10" t="s">
        <v>1884</v>
      </c>
    </row>
    <row r="1403" spans="1:6" x14ac:dyDescent="0.25">
      <c r="A1403" s="13" t="s">
        <v>3268</v>
      </c>
      <c r="B1403" s="14">
        <v>45974</v>
      </c>
      <c r="C1403" s="13" t="s">
        <v>1799</v>
      </c>
      <c r="D1403" s="13" t="s">
        <v>1792</v>
      </c>
      <c r="E1403" s="15">
        <v>5523.2</v>
      </c>
      <c r="F1403" s="13" t="s">
        <v>1810</v>
      </c>
    </row>
    <row r="1404" spans="1:6" x14ac:dyDescent="0.25">
      <c r="A1404" s="10" t="s">
        <v>3269</v>
      </c>
      <c r="B1404" s="11">
        <v>45972</v>
      </c>
      <c r="C1404" s="10" t="s">
        <v>1799</v>
      </c>
      <c r="D1404" s="10" t="s">
        <v>1795</v>
      </c>
      <c r="E1404" s="12">
        <v>2527.09</v>
      </c>
      <c r="F1404" s="10" t="s">
        <v>1985</v>
      </c>
    </row>
    <row r="1405" spans="1:6" x14ac:dyDescent="0.25">
      <c r="A1405" s="13" t="s">
        <v>3270</v>
      </c>
      <c r="B1405" s="14">
        <v>45987</v>
      </c>
      <c r="C1405" s="13" t="s">
        <v>1799</v>
      </c>
      <c r="D1405" s="13" t="s">
        <v>1797</v>
      </c>
      <c r="E1405" s="15">
        <v>2558.7800000000002</v>
      </c>
      <c r="F1405" s="13" t="s">
        <v>2159</v>
      </c>
    </row>
    <row r="1406" spans="1:6" x14ac:dyDescent="0.25">
      <c r="A1406" s="10" t="s">
        <v>3271</v>
      </c>
      <c r="B1406" s="11">
        <v>45968</v>
      </c>
      <c r="C1406" s="10" t="s">
        <v>1818</v>
      </c>
      <c r="D1406" s="10" t="s">
        <v>1775</v>
      </c>
      <c r="E1406" s="12">
        <v>29789.98</v>
      </c>
      <c r="F1406" s="10" t="s">
        <v>1871</v>
      </c>
    </row>
    <row r="1407" spans="1:6" x14ac:dyDescent="0.25">
      <c r="A1407" s="13" t="s">
        <v>3272</v>
      </c>
      <c r="B1407" s="14">
        <v>45971</v>
      </c>
      <c r="C1407" s="13" t="s">
        <v>1818</v>
      </c>
      <c r="D1407" s="13" t="s">
        <v>1778</v>
      </c>
      <c r="E1407" s="15">
        <v>7315.77</v>
      </c>
      <c r="F1407" s="13" t="s">
        <v>2186</v>
      </c>
    </row>
    <row r="1408" spans="1:6" x14ac:dyDescent="0.25">
      <c r="A1408" s="10" t="s">
        <v>3273</v>
      </c>
      <c r="B1408" s="11">
        <v>45981</v>
      </c>
      <c r="C1408" s="10" t="s">
        <v>1818</v>
      </c>
      <c r="D1408" s="10" t="s">
        <v>1780</v>
      </c>
      <c r="E1408" s="12">
        <v>3420.73</v>
      </c>
      <c r="F1408" s="10" t="s">
        <v>1985</v>
      </c>
    </row>
    <row r="1409" spans="1:6" x14ac:dyDescent="0.25">
      <c r="A1409" s="13" t="s">
        <v>3274</v>
      </c>
      <c r="B1409" s="14">
        <v>45979</v>
      </c>
      <c r="C1409" s="13" t="s">
        <v>1818</v>
      </c>
      <c r="D1409" s="13" t="s">
        <v>1783</v>
      </c>
      <c r="E1409" s="15">
        <v>5649.66</v>
      </c>
      <c r="F1409" s="13" t="s">
        <v>1840</v>
      </c>
    </row>
    <row r="1410" spans="1:6" x14ac:dyDescent="0.25">
      <c r="A1410" s="10" t="s">
        <v>3275</v>
      </c>
      <c r="B1410" s="11">
        <v>45967</v>
      </c>
      <c r="C1410" s="10" t="s">
        <v>1818</v>
      </c>
      <c r="D1410" s="10" t="s">
        <v>1786</v>
      </c>
      <c r="E1410" s="12">
        <v>6016.88</v>
      </c>
      <c r="F1410" s="10" t="s">
        <v>1854</v>
      </c>
    </row>
    <row r="1411" spans="1:6" x14ac:dyDescent="0.25">
      <c r="A1411" s="13" t="s">
        <v>3276</v>
      </c>
      <c r="B1411" s="14">
        <v>45976</v>
      </c>
      <c r="C1411" s="13" t="s">
        <v>1818</v>
      </c>
      <c r="D1411" s="13" t="s">
        <v>1789</v>
      </c>
      <c r="E1411" s="15">
        <v>3153.25</v>
      </c>
      <c r="F1411" s="13" t="s">
        <v>2093</v>
      </c>
    </row>
    <row r="1412" spans="1:6" x14ac:dyDescent="0.25">
      <c r="A1412" s="10" t="s">
        <v>3277</v>
      </c>
      <c r="B1412" s="11">
        <v>45976</v>
      </c>
      <c r="C1412" s="10" t="s">
        <v>1818</v>
      </c>
      <c r="D1412" s="10" t="s">
        <v>1792</v>
      </c>
      <c r="E1412" s="12">
        <v>5515.4</v>
      </c>
      <c r="F1412" s="10" t="s">
        <v>2024</v>
      </c>
    </row>
    <row r="1413" spans="1:6" x14ac:dyDescent="0.25">
      <c r="A1413" s="13" t="s">
        <v>3278</v>
      </c>
      <c r="B1413" s="14">
        <v>45966</v>
      </c>
      <c r="C1413" s="13" t="s">
        <v>1818</v>
      </c>
      <c r="D1413" s="13" t="s">
        <v>1795</v>
      </c>
      <c r="E1413" s="15">
        <v>2101.81</v>
      </c>
      <c r="F1413" s="13" t="s">
        <v>1990</v>
      </c>
    </row>
    <row r="1414" spans="1:6" x14ac:dyDescent="0.25">
      <c r="A1414" s="10" t="s">
        <v>3279</v>
      </c>
      <c r="B1414" s="11">
        <v>45972</v>
      </c>
      <c r="C1414" s="10" t="s">
        <v>1818</v>
      </c>
      <c r="D1414" s="10" t="s">
        <v>1797</v>
      </c>
      <c r="E1414" s="12">
        <v>2207.1999999999998</v>
      </c>
      <c r="F1414" s="10" t="s">
        <v>2072</v>
      </c>
    </row>
    <row r="1415" spans="1:6" x14ac:dyDescent="0.25">
      <c r="A1415" s="13" t="s">
        <v>3280</v>
      </c>
      <c r="B1415" s="14">
        <v>45972</v>
      </c>
      <c r="C1415" s="13" t="s">
        <v>1786</v>
      </c>
      <c r="D1415" s="13" t="s">
        <v>1775</v>
      </c>
      <c r="E1415" s="15">
        <v>71248.460000000006</v>
      </c>
      <c r="F1415" s="13" t="s">
        <v>1850</v>
      </c>
    </row>
    <row r="1416" spans="1:6" x14ac:dyDescent="0.25">
      <c r="A1416" s="10" t="s">
        <v>3281</v>
      </c>
      <c r="B1416" s="11">
        <v>45980</v>
      </c>
      <c r="C1416" s="10" t="s">
        <v>1786</v>
      </c>
      <c r="D1416" s="10" t="s">
        <v>1778</v>
      </c>
      <c r="E1416" s="12">
        <v>13447.8</v>
      </c>
      <c r="F1416" s="10" t="s">
        <v>1816</v>
      </c>
    </row>
    <row r="1417" spans="1:6" x14ac:dyDescent="0.25">
      <c r="A1417" s="13" t="s">
        <v>3282</v>
      </c>
      <c r="B1417" s="14">
        <v>45972</v>
      </c>
      <c r="C1417" s="13" t="s">
        <v>1786</v>
      </c>
      <c r="D1417" s="13" t="s">
        <v>1780</v>
      </c>
      <c r="E1417" s="15">
        <v>6019.92</v>
      </c>
      <c r="F1417" s="13" t="s">
        <v>1806</v>
      </c>
    </row>
    <row r="1418" spans="1:6" x14ac:dyDescent="0.25">
      <c r="A1418" s="10" t="s">
        <v>3283</v>
      </c>
      <c r="B1418" s="11">
        <v>45970</v>
      </c>
      <c r="C1418" s="10" t="s">
        <v>1786</v>
      </c>
      <c r="D1418" s="10" t="s">
        <v>1783</v>
      </c>
      <c r="E1418" s="12">
        <v>12282.04</v>
      </c>
      <c r="F1418" s="10" t="s">
        <v>2040</v>
      </c>
    </row>
    <row r="1419" spans="1:6" x14ac:dyDescent="0.25">
      <c r="A1419" s="13" t="s">
        <v>3284</v>
      </c>
      <c r="B1419" s="14">
        <v>45974</v>
      </c>
      <c r="C1419" s="13" t="s">
        <v>1786</v>
      </c>
      <c r="D1419" s="13" t="s">
        <v>1786</v>
      </c>
      <c r="E1419" s="15">
        <v>11743.63</v>
      </c>
      <c r="F1419" s="13" t="s">
        <v>1927</v>
      </c>
    </row>
    <row r="1420" spans="1:6" x14ac:dyDescent="0.25">
      <c r="A1420" s="10" t="s">
        <v>3285</v>
      </c>
      <c r="B1420" s="11">
        <v>45963</v>
      </c>
      <c r="C1420" s="10" t="s">
        <v>1786</v>
      </c>
      <c r="D1420" s="10" t="s">
        <v>1789</v>
      </c>
      <c r="E1420" s="12">
        <v>6699.92</v>
      </c>
      <c r="F1420" s="10" t="s">
        <v>2078</v>
      </c>
    </row>
    <row r="1421" spans="1:6" x14ac:dyDescent="0.25">
      <c r="A1421" s="13" t="s">
        <v>3286</v>
      </c>
      <c r="B1421" s="14">
        <v>45962</v>
      </c>
      <c r="C1421" s="13" t="s">
        <v>1786</v>
      </c>
      <c r="D1421" s="13" t="s">
        <v>1792</v>
      </c>
      <c r="E1421" s="15">
        <v>9468.5400000000009</v>
      </c>
      <c r="F1421" s="13" t="s">
        <v>2024</v>
      </c>
    </row>
    <row r="1422" spans="1:6" x14ac:dyDescent="0.25">
      <c r="A1422" s="10" t="s">
        <v>3287</v>
      </c>
      <c r="B1422" s="11">
        <v>45972</v>
      </c>
      <c r="C1422" s="10" t="s">
        <v>1786</v>
      </c>
      <c r="D1422" s="10" t="s">
        <v>1795</v>
      </c>
      <c r="E1422" s="12">
        <v>4097.43</v>
      </c>
      <c r="F1422" s="10" t="s">
        <v>1939</v>
      </c>
    </row>
    <row r="1423" spans="1:6" x14ac:dyDescent="0.25">
      <c r="A1423" s="13" t="s">
        <v>3288</v>
      </c>
      <c r="B1423" s="14">
        <v>45971</v>
      </c>
      <c r="C1423" s="13" t="s">
        <v>1786</v>
      </c>
      <c r="D1423" s="13" t="s">
        <v>1797</v>
      </c>
      <c r="E1423" s="15">
        <v>4512.87</v>
      </c>
      <c r="F1423" s="13" t="s">
        <v>1810</v>
      </c>
    </row>
    <row r="1424" spans="1:6" x14ac:dyDescent="0.25">
      <c r="A1424" s="10" t="s">
        <v>3289</v>
      </c>
      <c r="B1424" s="11">
        <v>45967</v>
      </c>
      <c r="C1424" s="10" t="s">
        <v>1792</v>
      </c>
      <c r="D1424" s="10" t="s">
        <v>1775</v>
      </c>
      <c r="E1424" s="12">
        <v>75509.42</v>
      </c>
      <c r="F1424" s="10" t="s">
        <v>1863</v>
      </c>
    </row>
    <row r="1425" spans="1:6" x14ac:dyDescent="0.25">
      <c r="A1425" s="13" t="s">
        <v>3290</v>
      </c>
      <c r="B1425" s="14">
        <v>45967</v>
      </c>
      <c r="C1425" s="13" t="s">
        <v>1792</v>
      </c>
      <c r="D1425" s="13" t="s">
        <v>1778</v>
      </c>
      <c r="E1425" s="15">
        <v>19256.599999999999</v>
      </c>
      <c r="F1425" s="13" t="s">
        <v>2062</v>
      </c>
    </row>
    <row r="1426" spans="1:6" x14ac:dyDescent="0.25">
      <c r="A1426" s="10" t="s">
        <v>3291</v>
      </c>
      <c r="B1426" s="11">
        <v>45984</v>
      </c>
      <c r="C1426" s="10" t="s">
        <v>1792</v>
      </c>
      <c r="D1426" s="10" t="s">
        <v>1780</v>
      </c>
      <c r="E1426" s="12">
        <v>7336.64</v>
      </c>
      <c r="F1426" s="10" t="s">
        <v>1856</v>
      </c>
    </row>
    <row r="1427" spans="1:6" x14ac:dyDescent="0.25">
      <c r="A1427" s="13" t="s">
        <v>3292</v>
      </c>
      <c r="B1427" s="14">
        <v>45978</v>
      </c>
      <c r="C1427" s="13" t="s">
        <v>1792</v>
      </c>
      <c r="D1427" s="13" t="s">
        <v>1783</v>
      </c>
      <c r="E1427" s="15">
        <v>13418.97</v>
      </c>
      <c r="F1427" s="13" t="s">
        <v>2062</v>
      </c>
    </row>
    <row r="1428" spans="1:6" x14ac:dyDescent="0.25">
      <c r="A1428" s="10" t="s">
        <v>3293</v>
      </c>
      <c r="B1428" s="11">
        <v>45988</v>
      </c>
      <c r="C1428" s="10" t="s">
        <v>1792</v>
      </c>
      <c r="D1428" s="10" t="s">
        <v>1786</v>
      </c>
      <c r="E1428" s="12">
        <v>13959.61</v>
      </c>
      <c r="F1428" s="10" t="s">
        <v>1808</v>
      </c>
    </row>
    <row r="1429" spans="1:6" x14ac:dyDescent="0.25">
      <c r="A1429" s="13" t="s">
        <v>3294</v>
      </c>
      <c r="B1429" s="14">
        <v>45983</v>
      </c>
      <c r="C1429" s="13" t="s">
        <v>1792</v>
      </c>
      <c r="D1429" s="13" t="s">
        <v>1789</v>
      </c>
      <c r="E1429" s="15">
        <v>6798.19</v>
      </c>
      <c r="F1429" s="13" t="s">
        <v>1898</v>
      </c>
    </row>
    <row r="1430" spans="1:6" x14ac:dyDescent="0.25">
      <c r="A1430" s="10" t="s">
        <v>3295</v>
      </c>
      <c r="B1430" s="11">
        <v>45969</v>
      </c>
      <c r="C1430" s="10" t="s">
        <v>1792</v>
      </c>
      <c r="D1430" s="10" t="s">
        <v>1792</v>
      </c>
      <c r="E1430" s="12">
        <v>12513.07</v>
      </c>
      <c r="F1430" s="10" t="s">
        <v>1884</v>
      </c>
    </row>
    <row r="1431" spans="1:6" x14ac:dyDescent="0.25">
      <c r="A1431" s="13" t="s">
        <v>3296</v>
      </c>
      <c r="B1431" s="14">
        <v>45986</v>
      </c>
      <c r="C1431" s="13" t="s">
        <v>1792</v>
      </c>
      <c r="D1431" s="13" t="s">
        <v>1795</v>
      </c>
      <c r="E1431" s="15">
        <v>5016.24</v>
      </c>
      <c r="F1431" s="13" t="s">
        <v>2093</v>
      </c>
    </row>
    <row r="1432" spans="1:6" x14ac:dyDescent="0.25">
      <c r="A1432" s="10" t="s">
        <v>3297</v>
      </c>
      <c r="B1432" s="11">
        <v>45988</v>
      </c>
      <c r="C1432" s="10" t="s">
        <v>1792</v>
      </c>
      <c r="D1432" s="10" t="s">
        <v>1797</v>
      </c>
      <c r="E1432" s="12">
        <v>4615.3900000000003</v>
      </c>
      <c r="F1432" s="10" t="s">
        <v>1828</v>
      </c>
    </row>
    <row r="1433" spans="1:6" x14ac:dyDescent="0.25">
      <c r="A1433" s="13" t="s">
        <v>3298</v>
      </c>
      <c r="B1433" s="14">
        <v>45976</v>
      </c>
      <c r="C1433" s="13" t="s">
        <v>1862</v>
      </c>
      <c r="D1433" s="13" t="s">
        <v>1775</v>
      </c>
      <c r="E1433" s="15">
        <v>45334.27</v>
      </c>
      <c r="F1433" s="13" t="s">
        <v>1844</v>
      </c>
    </row>
    <row r="1434" spans="1:6" x14ac:dyDescent="0.25">
      <c r="A1434" s="10" t="s">
        <v>3299</v>
      </c>
      <c r="B1434" s="11">
        <v>45965</v>
      </c>
      <c r="C1434" s="10" t="s">
        <v>1862</v>
      </c>
      <c r="D1434" s="10" t="s">
        <v>1778</v>
      </c>
      <c r="E1434" s="12">
        <v>9158.75</v>
      </c>
      <c r="F1434" s="10" t="s">
        <v>1906</v>
      </c>
    </row>
    <row r="1435" spans="1:6" x14ac:dyDescent="0.25">
      <c r="A1435" s="13" t="s">
        <v>3300</v>
      </c>
      <c r="B1435" s="14">
        <v>45988</v>
      </c>
      <c r="C1435" s="13" t="s">
        <v>1862</v>
      </c>
      <c r="D1435" s="13" t="s">
        <v>1780</v>
      </c>
      <c r="E1435" s="15">
        <v>4229.3500000000004</v>
      </c>
      <c r="F1435" s="13" t="s">
        <v>2040</v>
      </c>
    </row>
    <row r="1436" spans="1:6" x14ac:dyDescent="0.25">
      <c r="A1436" s="10" t="s">
        <v>3301</v>
      </c>
      <c r="B1436" s="11">
        <v>45964</v>
      </c>
      <c r="C1436" s="10" t="s">
        <v>1862</v>
      </c>
      <c r="D1436" s="10" t="s">
        <v>1783</v>
      </c>
      <c r="E1436" s="12">
        <v>6531.05</v>
      </c>
      <c r="F1436" s="10" t="s">
        <v>1917</v>
      </c>
    </row>
    <row r="1437" spans="1:6" x14ac:dyDescent="0.25">
      <c r="A1437" s="13" t="s">
        <v>3302</v>
      </c>
      <c r="B1437" s="14">
        <v>45982</v>
      </c>
      <c r="C1437" s="13" t="s">
        <v>1862</v>
      </c>
      <c r="D1437" s="13" t="s">
        <v>1786</v>
      </c>
      <c r="E1437" s="15">
        <v>7231.62</v>
      </c>
      <c r="F1437" s="13" t="s">
        <v>1784</v>
      </c>
    </row>
    <row r="1438" spans="1:6" x14ac:dyDescent="0.25">
      <c r="A1438" s="10" t="s">
        <v>3303</v>
      </c>
      <c r="B1438" s="11">
        <v>45973</v>
      </c>
      <c r="C1438" s="10" t="s">
        <v>1862</v>
      </c>
      <c r="D1438" s="10" t="s">
        <v>1789</v>
      </c>
      <c r="E1438" s="12">
        <v>3737.54</v>
      </c>
      <c r="F1438" s="10" t="s">
        <v>1990</v>
      </c>
    </row>
    <row r="1439" spans="1:6" x14ac:dyDescent="0.25">
      <c r="A1439" s="13" t="s">
        <v>3304</v>
      </c>
      <c r="B1439" s="14">
        <v>45973</v>
      </c>
      <c r="C1439" s="13" t="s">
        <v>1862</v>
      </c>
      <c r="D1439" s="13" t="s">
        <v>1792</v>
      </c>
      <c r="E1439" s="15">
        <v>7071.54</v>
      </c>
      <c r="F1439" s="13" t="s">
        <v>1886</v>
      </c>
    </row>
    <row r="1440" spans="1:6" x14ac:dyDescent="0.25">
      <c r="A1440" s="10" t="s">
        <v>3305</v>
      </c>
      <c r="B1440" s="11">
        <v>45966</v>
      </c>
      <c r="C1440" s="10" t="s">
        <v>1862</v>
      </c>
      <c r="D1440" s="10" t="s">
        <v>1795</v>
      </c>
      <c r="E1440" s="12">
        <v>1978.77</v>
      </c>
      <c r="F1440" s="10" t="s">
        <v>1863</v>
      </c>
    </row>
    <row r="1441" spans="1:6" x14ac:dyDescent="0.25">
      <c r="A1441" s="13" t="s">
        <v>3306</v>
      </c>
      <c r="B1441" s="14">
        <v>45978</v>
      </c>
      <c r="C1441" s="13" t="s">
        <v>1862</v>
      </c>
      <c r="D1441" s="13" t="s">
        <v>1797</v>
      </c>
      <c r="E1441" s="15">
        <v>1974.37</v>
      </c>
      <c r="F1441" s="13" t="s">
        <v>1935</v>
      </c>
    </row>
    <row r="1442" spans="1:6" x14ac:dyDescent="0.25">
      <c r="A1442" s="10" t="s">
        <v>3307</v>
      </c>
      <c r="B1442" s="11">
        <v>45973</v>
      </c>
      <c r="C1442" s="10" t="s">
        <v>1877</v>
      </c>
      <c r="D1442" s="10" t="s">
        <v>1775</v>
      </c>
      <c r="E1442" s="12">
        <v>69564.98</v>
      </c>
      <c r="F1442" s="10" t="s">
        <v>1985</v>
      </c>
    </row>
    <row r="1443" spans="1:6" x14ac:dyDescent="0.25">
      <c r="A1443" s="13" t="s">
        <v>3308</v>
      </c>
      <c r="B1443" s="14">
        <v>45981</v>
      </c>
      <c r="C1443" s="13" t="s">
        <v>1877</v>
      </c>
      <c r="D1443" s="13" t="s">
        <v>1778</v>
      </c>
      <c r="E1443" s="15">
        <v>12690.01</v>
      </c>
      <c r="F1443" s="13" t="s">
        <v>1867</v>
      </c>
    </row>
    <row r="1444" spans="1:6" x14ac:dyDescent="0.25">
      <c r="A1444" s="10" t="s">
        <v>3309</v>
      </c>
      <c r="B1444" s="11">
        <v>45967</v>
      </c>
      <c r="C1444" s="10" t="s">
        <v>1877</v>
      </c>
      <c r="D1444" s="10" t="s">
        <v>1780</v>
      </c>
      <c r="E1444" s="12">
        <v>6217.39</v>
      </c>
      <c r="F1444" s="10" t="s">
        <v>1985</v>
      </c>
    </row>
    <row r="1445" spans="1:6" x14ac:dyDescent="0.25">
      <c r="A1445" s="13" t="s">
        <v>3310</v>
      </c>
      <c r="B1445" s="14">
        <v>45985</v>
      </c>
      <c r="C1445" s="13" t="s">
        <v>1877</v>
      </c>
      <c r="D1445" s="13" t="s">
        <v>1783</v>
      </c>
      <c r="E1445" s="15">
        <v>9770.68</v>
      </c>
      <c r="F1445" s="13" t="s">
        <v>1867</v>
      </c>
    </row>
    <row r="1446" spans="1:6" x14ac:dyDescent="0.25">
      <c r="A1446" s="10" t="s">
        <v>3311</v>
      </c>
      <c r="B1446" s="11">
        <v>45980</v>
      </c>
      <c r="C1446" s="10" t="s">
        <v>1877</v>
      </c>
      <c r="D1446" s="10" t="s">
        <v>1786</v>
      </c>
      <c r="E1446" s="12">
        <v>9740.1</v>
      </c>
      <c r="F1446" s="10" t="s">
        <v>2024</v>
      </c>
    </row>
    <row r="1447" spans="1:6" x14ac:dyDescent="0.25">
      <c r="A1447" s="13" t="s">
        <v>3312</v>
      </c>
      <c r="B1447" s="14">
        <v>45964</v>
      </c>
      <c r="C1447" s="13" t="s">
        <v>1877</v>
      </c>
      <c r="D1447" s="13" t="s">
        <v>1789</v>
      </c>
      <c r="E1447" s="15">
        <v>6413.84</v>
      </c>
      <c r="F1447" s="13" t="s">
        <v>2162</v>
      </c>
    </row>
    <row r="1448" spans="1:6" x14ac:dyDescent="0.25">
      <c r="A1448" s="10" t="s">
        <v>3313</v>
      </c>
      <c r="B1448" s="11">
        <v>45968</v>
      </c>
      <c r="C1448" s="10" t="s">
        <v>1877</v>
      </c>
      <c r="D1448" s="10" t="s">
        <v>1792</v>
      </c>
      <c r="E1448" s="12">
        <v>9811.2199999999993</v>
      </c>
      <c r="F1448" s="10" t="s">
        <v>1781</v>
      </c>
    </row>
    <row r="1449" spans="1:6" x14ac:dyDescent="0.25">
      <c r="A1449" s="13" t="s">
        <v>3314</v>
      </c>
      <c r="B1449" s="14">
        <v>45962</v>
      </c>
      <c r="C1449" s="13" t="s">
        <v>1877</v>
      </c>
      <c r="D1449" s="13" t="s">
        <v>1795</v>
      </c>
      <c r="E1449" s="15">
        <v>3242.02</v>
      </c>
      <c r="F1449" s="13" t="s">
        <v>1979</v>
      </c>
    </row>
    <row r="1450" spans="1:6" x14ac:dyDescent="0.25">
      <c r="A1450" s="10" t="s">
        <v>3315</v>
      </c>
      <c r="B1450" s="11">
        <v>45976</v>
      </c>
      <c r="C1450" s="10" t="s">
        <v>1877</v>
      </c>
      <c r="D1450" s="10" t="s">
        <v>1797</v>
      </c>
      <c r="E1450" s="12">
        <v>3146.61</v>
      </c>
      <c r="F1450" s="10" t="s">
        <v>1941</v>
      </c>
    </row>
    <row r="1451" spans="1:6" x14ac:dyDescent="0.25">
      <c r="A1451" s="13" t="s">
        <v>3316</v>
      </c>
      <c r="B1451" s="14">
        <v>46002</v>
      </c>
      <c r="C1451" s="13" t="s">
        <v>1774</v>
      </c>
      <c r="D1451" s="13" t="s">
        <v>1775</v>
      </c>
      <c r="E1451" s="15">
        <v>113559.73</v>
      </c>
      <c r="F1451" s="13" t="s">
        <v>1844</v>
      </c>
    </row>
    <row r="1452" spans="1:6" x14ac:dyDescent="0.25">
      <c r="A1452" s="10" t="s">
        <v>3317</v>
      </c>
      <c r="B1452" s="11">
        <v>46016</v>
      </c>
      <c r="C1452" s="10" t="s">
        <v>1774</v>
      </c>
      <c r="D1452" s="10" t="s">
        <v>1778</v>
      </c>
      <c r="E1452" s="12">
        <v>18550.61</v>
      </c>
      <c r="F1452" s="10" t="s">
        <v>1836</v>
      </c>
    </row>
    <row r="1453" spans="1:6" x14ac:dyDescent="0.25">
      <c r="A1453" s="13" t="s">
        <v>3318</v>
      </c>
      <c r="B1453" s="14">
        <v>46014</v>
      </c>
      <c r="C1453" s="13" t="s">
        <v>1774</v>
      </c>
      <c r="D1453" s="13" t="s">
        <v>1780</v>
      </c>
      <c r="E1453" s="15">
        <v>11470.03</v>
      </c>
      <c r="F1453" s="13" t="s">
        <v>1867</v>
      </c>
    </row>
    <row r="1454" spans="1:6" x14ac:dyDescent="0.25">
      <c r="A1454" s="10" t="s">
        <v>3319</v>
      </c>
      <c r="B1454" s="11">
        <v>46014</v>
      </c>
      <c r="C1454" s="10" t="s">
        <v>1774</v>
      </c>
      <c r="D1454" s="10" t="s">
        <v>1783</v>
      </c>
      <c r="E1454" s="12">
        <v>13269.82</v>
      </c>
      <c r="F1454" s="10" t="s">
        <v>1917</v>
      </c>
    </row>
    <row r="1455" spans="1:6" x14ac:dyDescent="0.25">
      <c r="A1455" s="13" t="s">
        <v>3320</v>
      </c>
      <c r="B1455" s="14">
        <v>46017</v>
      </c>
      <c r="C1455" s="13" t="s">
        <v>1774</v>
      </c>
      <c r="D1455" s="13" t="s">
        <v>1786</v>
      </c>
      <c r="E1455" s="15">
        <v>13580.17</v>
      </c>
      <c r="F1455" s="13" t="s">
        <v>1970</v>
      </c>
    </row>
    <row r="1456" spans="1:6" x14ac:dyDescent="0.25">
      <c r="A1456" s="10" t="s">
        <v>3321</v>
      </c>
      <c r="B1456" s="11">
        <v>45993</v>
      </c>
      <c r="C1456" s="10" t="s">
        <v>1774</v>
      </c>
      <c r="D1456" s="10" t="s">
        <v>1789</v>
      </c>
      <c r="E1456" s="12">
        <v>10007.18</v>
      </c>
      <c r="F1456" s="10" t="s">
        <v>1898</v>
      </c>
    </row>
    <row r="1457" spans="1:6" x14ac:dyDescent="0.25">
      <c r="A1457" s="13" t="s">
        <v>3322</v>
      </c>
      <c r="B1457" s="14">
        <v>45994</v>
      </c>
      <c r="C1457" s="13" t="s">
        <v>1774</v>
      </c>
      <c r="D1457" s="13" t="s">
        <v>1792</v>
      </c>
      <c r="E1457" s="15">
        <v>17774.810000000001</v>
      </c>
      <c r="F1457" s="13" t="s">
        <v>2040</v>
      </c>
    </row>
    <row r="1458" spans="1:6" x14ac:dyDescent="0.25">
      <c r="A1458" s="10" t="s">
        <v>3323</v>
      </c>
      <c r="B1458" s="11">
        <v>45992</v>
      </c>
      <c r="C1458" s="10" t="s">
        <v>1774</v>
      </c>
      <c r="D1458" s="10" t="s">
        <v>1795</v>
      </c>
      <c r="E1458" s="12">
        <v>6074.38</v>
      </c>
      <c r="F1458" s="10" t="s">
        <v>1906</v>
      </c>
    </row>
    <row r="1459" spans="1:6" x14ac:dyDescent="0.25">
      <c r="A1459" s="13" t="s">
        <v>3324</v>
      </c>
      <c r="B1459" s="14">
        <v>46000</v>
      </c>
      <c r="C1459" s="13" t="s">
        <v>1774</v>
      </c>
      <c r="D1459" s="13" t="s">
        <v>1797</v>
      </c>
      <c r="E1459" s="15">
        <v>6981.08</v>
      </c>
      <c r="F1459" s="13" t="s">
        <v>1859</v>
      </c>
    </row>
    <row r="1460" spans="1:6" x14ac:dyDescent="0.25">
      <c r="A1460" s="10" t="s">
        <v>3325</v>
      </c>
      <c r="B1460" s="11">
        <v>46014</v>
      </c>
      <c r="C1460" s="10" t="s">
        <v>1799</v>
      </c>
      <c r="D1460" s="10" t="s">
        <v>1775</v>
      </c>
      <c r="E1460" s="12">
        <v>49172.49</v>
      </c>
      <c r="F1460" s="10" t="s">
        <v>1844</v>
      </c>
    </row>
    <row r="1461" spans="1:6" x14ac:dyDescent="0.25">
      <c r="A1461" s="13" t="s">
        <v>3326</v>
      </c>
      <c r="B1461" s="14">
        <v>45999</v>
      </c>
      <c r="C1461" s="13" t="s">
        <v>1799</v>
      </c>
      <c r="D1461" s="13" t="s">
        <v>1778</v>
      </c>
      <c r="E1461" s="15">
        <v>9650.19</v>
      </c>
      <c r="F1461" s="13" t="s">
        <v>2062</v>
      </c>
    </row>
    <row r="1462" spans="1:6" x14ac:dyDescent="0.25">
      <c r="A1462" s="10" t="s">
        <v>3327</v>
      </c>
      <c r="B1462" s="11">
        <v>45997</v>
      </c>
      <c r="C1462" s="10" t="s">
        <v>1799</v>
      </c>
      <c r="D1462" s="10" t="s">
        <v>1780</v>
      </c>
      <c r="E1462" s="12">
        <v>4594.3100000000004</v>
      </c>
      <c r="F1462" s="10" t="s">
        <v>1808</v>
      </c>
    </row>
    <row r="1463" spans="1:6" x14ac:dyDescent="0.25">
      <c r="A1463" s="13" t="s">
        <v>3328</v>
      </c>
      <c r="B1463" s="14">
        <v>46015</v>
      </c>
      <c r="C1463" s="13" t="s">
        <v>1799</v>
      </c>
      <c r="D1463" s="13" t="s">
        <v>1783</v>
      </c>
      <c r="E1463" s="15">
        <v>8036.85</v>
      </c>
      <c r="F1463" s="13" t="s">
        <v>1820</v>
      </c>
    </row>
    <row r="1464" spans="1:6" x14ac:dyDescent="0.25">
      <c r="A1464" s="10" t="s">
        <v>3329</v>
      </c>
      <c r="B1464" s="11">
        <v>46005</v>
      </c>
      <c r="C1464" s="10" t="s">
        <v>1799</v>
      </c>
      <c r="D1464" s="10" t="s">
        <v>1786</v>
      </c>
      <c r="E1464" s="12">
        <v>6697.71</v>
      </c>
      <c r="F1464" s="10" t="s">
        <v>2042</v>
      </c>
    </row>
    <row r="1465" spans="1:6" x14ac:dyDescent="0.25">
      <c r="A1465" s="13" t="s">
        <v>3330</v>
      </c>
      <c r="B1465" s="14">
        <v>45993</v>
      </c>
      <c r="C1465" s="13" t="s">
        <v>1799</v>
      </c>
      <c r="D1465" s="13" t="s">
        <v>1789</v>
      </c>
      <c r="E1465" s="15">
        <v>4425.4799999999996</v>
      </c>
      <c r="F1465" s="13" t="s">
        <v>1850</v>
      </c>
    </row>
    <row r="1466" spans="1:6" x14ac:dyDescent="0.25">
      <c r="A1466" s="10" t="s">
        <v>3331</v>
      </c>
      <c r="B1466" s="11">
        <v>46016</v>
      </c>
      <c r="C1466" s="10" t="s">
        <v>1799</v>
      </c>
      <c r="D1466" s="10" t="s">
        <v>1792</v>
      </c>
      <c r="E1466" s="12">
        <v>7269.62</v>
      </c>
      <c r="F1466" s="10" t="s">
        <v>1790</v>
      </c>
    </row>
    <row r="1467" spans="1:6" x14ac:dyDescent="0.25">
      <c r="A1467" s="13" t="s">
        <v>3332</v>
      </c>
      <c r="B1467" s="14">
        <v>46005</v>
      </c>
      <c r="C1467" s="13" t="s">
        <v>1799</v>
      </c>
      <c r="D1467" s="13" t="s">
        <v>1795</v>
      </c>
      <c r="E1467" s="15">
        <v>2588.16</v>
      </c>
      <c r="F1467" s="13" t="s">
        <v>2078</v>
      </c>
    </row>
    <row r="1468" spans="1:6" x14ac:dyDescent="0.25">
      <c r="A1468" s="10" t="s">
        <v>3333</v>
      </c>
      <c r="B1468" s="11">
        <v>45998</v>
      </c>
      <c r="C1468" s="10" t="s">
        <v>1799</v>
      </c>
      <c r="D1468" s="10" t="s">
        <v>1797</v>
      </c>
      <c r="E1468" s="12">
        <v>2952.08</v>
      </c>
      <c r="F1468" s="10" t="s">
        <v>1852</v>
      </c>
    </row>
    <row r="1469" spans="1:6" x14ac:dyDescent="0.25">
      <c r="A1469" s="13" t="s">
        <v>3334</v>
      </c>
      <c r="B1469" s="14">
        <v>45992</v>
      </c>
      <c r="C1469" s="13" t="s">
        <v>1818</v>
      </c>
      <c r="D1469" s="13" t="s">
        <v>1775</v>
      </c>
      <c r="E1469" s="15">
        <v>37281.629999999997</v>
      </c>
      <c r="F1469" s="13" t="s">
        <v>1935</v>
      </c>
    </row>
    <row r="1470" spans="1:6" x14ac:dyDescent="0.25">
      <c r="A1470" s="10" t="s">
        <v>3335</v>
      </c>
      <c r="B1470" s="11">
        <v>45993</v>
      </c>
      <c r="C1470" s="10" t="s">
        <v>1818</v>
      </c>
      <c r="D1470" s="10" t="s">
        <v>1778</v>
      </c>
      <c r="E1470" s="12">
        <v>6217.25</v>
      </c>
      <c r="F1470" s="10" t="s">
        <v>1988</v>
      </c>
    </row>
    <row r="1471" spans="1:6" x14ac:dyDescent="0.25">
      <c r="A1471" s="13" t="s">
        <v>3336</v>
      </c>
      <c r="B1471" s="14">
        <v>45999</v>
      </c>
      <c r="C1471" s="13" t="s">
        <v>1818</v>
      </c>
      <c r="D1471" s="13" t="s">
        <v>1780</v>
      </c>
      <c r="E1471" s="15">
        <v>3387.26</v>
      </c>
      <c r="F1471" s="13" t="s">
        <v>1906</v>
      </c>
    </row>
    <row r="1472" spans="1:6" x14ac:dyDescent="0.25">
      <c r="A1472" s="10" t="s">
        <v>3337</v>
      </c>
      <c r="B1472" s="11">
        <v>46005</v>
      </c>
      <c r="C1472" s="10" t="s">
        <v>1818</v>
      </c>
      <c r="D1472" s="10" t="s">
        <v>1783</v>
      </c>
      <c r="E1472" s="12">
        <v>5744.21</v>
      </c>
      <c r="F1472" s="10" t="s">
        <v>1927</v>
      </c>
    </row>
    <row r="1473" spans="1:6" x14ac:dyDescent="0.25">
      <c r="A1473" s="13" t="s">
        <v>3338</v>
      </c>
      <c r="B1473" s="14">
        <v>45997</v>
      </c>
      <c r="C1473" s="13" t="s">
        <v>1818</v>
      </c>
      <c r="D1473" s="13" t="s">
        <v>1786</v>
      </c>
      <c r="E1473" s="15">
        <v>6059.14</v>
      </c>
      <c r="F1473" s="13" t="s">
        <v>2078</v>
      </c>
    </row>
    <row r="1474" spans="1:6" x14ac:dyDescent="0.25">
      <c r="A1474" s="10" t="s">
        <v>3339</v>
      </c>
      <c r="B1474" s="11">
        <v>46004</v>
      </c>
      <c r="C1474" s="10" t="s">
        <v>1818</v>
      </c>
      <c r="D1474" s="10" t="s">
        <v>1789</v>
      </c>
      <c r="E1474" s="12">
        <v>2994.79</v>
      </c>
      <c r="F1474" s="10" t="s">
        <v>1867</v>
      </c>
    </row>
    <row r="1475" spans="1:6" x14ac:dyDescent="0.25">
      <c r="A1475" s="13" t="s">
        <v>3340</v>
      </c>
      <c r="B1475" s="14">
        <v>46018</v>
      </c>
      <c r="C1475" s="13" t="s">
        <v>1818</v>
      </c>
      <c r="D1475" s="13" t="s">
        <v>1792</v>
      </c>
      <c r="E1475" s="15">
        <v>6014.42</v>
      </c>
      <c r="F1475" s="13" t="s">
        <v>1854</v>
      </c>
    </row>
    <row r="1476" spans="1:6" x14ac:dyDescent="0.25">
      <c r="A1476" s="10" t="s">
        <v>3341</v>
      </c>
      <c r="B1476" s="11">
        <v>46010</v>
      </c>
      <c r="C1476" s="10" t="s">
        <v>1818</v>
      </c>
      <c r="D1476" s="10" t="s">
        <v>1795</v>
      </c>
      <c r="E1476" s="12">
        <v>1941.86</v>
      </c>
      <c r="F1476" s="10" t="s">
        <v>1979</v>
      </c>
    </row>
    <row r="1477" spans="1:6" x14ac:dyDescent="0.25">
      <c r="A1477" s="13" t="s">
        <v>3342</v>
      </c>
      <c r="B1477" s="14">
        <v>45992</v>
      </c>
      <c r="C1477" s="13" t="s">
        <v>1818</v>
      </c>
      <c r="D1477" s="13" t="s">
        <v>1797</v>
      </c>
      <c r="E1477" s="15">
        <v>1810.99</v>
      </c>
      <c r="F1477" s="13" t="s">
        <v>1867</v>
      </c>
    </row>
    <row r="1478" spans="1:6" x14ac:dyDescent="0.25">
      <c r="A1478" s="10" t="s">
        <v>3343</v>
      </c>
      <c r="B1478" s="11">
        <v>45992</v>
      </c>
      <c r="C1478" s="10" t="s">
        <v>1786</v>
      </c>
      <c r="D1478" s="10" t="s">
        <v>1775</v>
      </c>
      <c r="E1478" s="12">
        <v>59463.1</v>
      </c>
      <c r="F1478" s="10" t="s">
        <v>1977</v>
      </c>
    </row>
    <row r="1479" spans="1:6" x14ac:dyDescent="0.25">
      <c r="A1479" s="13" t="s">
        <v>3344</v>
      </c>
      <c r="B1479" s="14">
        <v>45999</v>
      </c>
      <c r="C1479" s="13" t="s">
        <v>1786</v>
      </c>
      <c r="D1479" s="13" t="s">
        <v>1778</v>
      </c>
      <c r="E1479" s="15">
        <v>13367</v>
      </c>
      <c r="F1479" s="13" t="s">
        <v>1828</v>
      </c>
    </row>
    <row r="1480" spans="1:6" x14ac:dyDescent="0.25">
      <c r="A1480" s="10" t="s">
        <v>3345</v>
      </c>
      <c r="B1480" s="11">
        <v>45994</v>
      </c>
      <c r="C1480" s="10" t="s">
        <v>1786</v>
      </c>
      <c r="D1480" s="10" t="s">
        <v>1780</v>
      </c>
      <c r="E1480" s="12">
        <v>5777.16</v>
      </c>
      <c r="F1480" s="10" t="s">
        <v>1854</v>
      </c>
    </row>
    <row r="1481" spans="1:6" x14ac:dyDescent="0.25">
      <c r="A1481" s="13" t="s">
        <v>3346</v>
      </c>
      <c r="B1481" s="14">
        <v>45996</v>
      </c>
      <c r="C1481" s="13" t="s">
        <v>1786</v>
      </c>
      <c r="D1481" s="13" t="s">
        <v>1783</v>
      </c>
      <c r="E1481" s="15">
        <v>9611.16</v>
      </c>
      <c r="F1481" s="13" t="s">
        <v>1904</v>
      </c>
    </row>
    <row r="1482" spans="1:6" x14ac:dyDescent="0.25">
      <c r="A1482" s="10" t="s">
        <v>3347</v>
      </c>
      <c r="B1482" s="11">
        <v>46008</v>
      </c>
      <c r="C1482" s="10" t="s">
        <v>1786</v>
      </c>
      <c r="D1482" s="10" t="s">
        <v>1786</v>
      </c>
      <c r="E1482" s="12">
        <v>9512.2900000000009</v>
      </c>
      <c r="F1482" s="10" t="s">
        <v>2162</v>
      </c>
    </row>
    <row r="1483" spans="1:6" x14ac:dyDescent="0.25">
      <c r="A1483" s="13" t="s">
        <v>3348</v>
      </c>
      <c r="B1483" s="14">
        <v>45998</v>
      </c>
      <c r="C1483" s="13" t="s">
        <v>1786</v>
      </c>
      <c r="D1483" s="13" t="s">
        <v>1789</v>
      </c>
      <c r="E1483" s="15">
        <v>7415.94</v>
      </c>
      <c r="F1483" s="13" t="s">
        <v>2162</v>
      </c>
    </row>
    <row r="1484" spans="1:6" x14ac:dyDescent="0.25">
      <c r="A1484" s="10" t="s">
        <v>3349</v>
      </c>
      <c r="B1484" s="11">
        <v>46005</v>
      </c>
      <c r="C1484" s="10" t="s">
        <v>1786</v>
      </c>
      <c r="D1484" s="10" t="s">
        <v>1792</v>
      </c>
      <c r="E1484" s="12">
        <v>9927.16</v>
      </c>
      <c r="F1484" s="10" t="s">
        <v>1804</v>
      </c>
    </row>
    <row r="1485" spans="1:6" x14ac:dyDescent="0.25">
      <c r="A1485" s="13" t="s">
        <v>3350</v>
      </c>
      <c r="B1485" s="14">
        <v>46001</v>
      </c>
      <c r="C1485" s="13" t="s">
        <v>1786</v>
      </c>
      <c r="D1485" s="13" t="s">
        <v>1795</v>
      </c>
      <c r="E1485" s="15">
        <v>4593.22</v>
      </c>
      <c r="F1485" s="13" t="s">
        <v>1865</v>
      </c>
    </row>
    <row r="1486" spans="1:6" x14ac:dyDescent="0.25">
      <c r="A1486" s="10" t="s">
        <v>3351</v>
      </c>
      <c r="B1486" s="11">
        <v>45997</v>
      </c>
      <c r="C1486" s="10" t="s">
        <v>1786</v>
      </c>
      <c r="D1486" s="10" t="s">
        <v>1797</v>
      </c>
      <c r="E1486" s="12">
        <v>3873.79</v>
      </c>
      <c r="F1486" s="10" t="s">
        <v>1816</v>
      </c>
    </row>
    <row r="1487" spans="1:6" x14ac:dyDescent="0.25">
      <c r="A1487" s="13" t="s">
        <v>3352</v>
      </c>
      <c r="B1487" s="14">
        <v>46018</v>
      </c>
      <c r="C1487" s="13" t="s">
        <v>1792</v>
      </c>
      <c r="D1487" s="13" t="s">
        <v>1775</v>
      </c>
      <c r="E1487" s="15">
        <v>93913.63</v>
      </c>
      <c r="F1487" s="13" t="s">
        <v>1836</v>
      </c>
    </row>
    <row r="1488" spans="1:6" x14ac:dyDescent="0.25">
      <c r="A1488" s="10" t="s">
        <v>3353</v>
      </c>
      <c r="B1488" s="11">
        <v>46004</v>
      </c>
      <c r="C1488" s="10" t="s">
        <v>1792</v>
      </c>
      <c r="D1488" s="10" t="s">
        <v>1778</v>
      </c>
      <c r="E1488" s="12">
        <v>18481.349999999999</v>
      </c>
      <c r="F1488" s="10" t="s">
        <v>1808</v>
      </c>
    </row>
    <row r="1489" spans="1:6" x14ac:dyDescent="0.25">
      <c r="A1489" s="13" t="s">
        <v>3354</v>
      </c>
      <c r="B1489" s="14">
        <v>45999</v>
      </c>
      <c r="C1489" s="13" t="s">
        <v>1792</v>
      </c>
      <c r="D1489" s="13" t="s">
        <v>1780</v>
      </c>
      <c r="E1489" s="15">
        <v>9821.99</v>
      </c>
      <c r="F1489" s="13" t="s">
        <v>1867</v>
      </c>
    </row>
    <row r="1490" spans="1:6" x14ac:dyDescent="0.25">
      <c r="A1490" s="10" t="s">
        <v>3355</v>
      </c>
      <c r="B1490" s="11">
        <v>45997</v>
      </c>
      <c r="C1490" s="10" t="s">
        <v>1792</v>
      </c>
      <c r="D1490" s="10" t="s">
        <v>1783</v>
      </c>
      <c r="E1490" s="12">
        <v>13647.03</v>
      </c>
      <c r="F1490" s="10" t="s">
        <v>1830</v>
      </c>
    </row>
    <row r="1491" spans="1:6" x14ac:dyDescent="0.25">
      <c r="A1491" s="13" t="s">
        <v>3356</v>
      </c>
      <c r="B1491" s="14">
        <v>46013</v>
      </c>
      <c r="C1491" s="13" t="s">
        <v>1792</v>
      </c>
      <c r="D1491" s="13" t="s">
        <v>1786</v>
      </c>
      <c r="E1491" s="15">
        <v>12110.77</v>
      </c>
      <c r="F1491" s="13" t="s">
        <v>1806</v>
      </c>
    </row>
    <row r="1492" spans="1:6" x14ac:dyDescent="0.25">
      <c r="A1492" s="10" t="s">
        <v>3357</v>
      </c>
      <c r="B1492" s="11">
        <v>46006</v>
      </c>
      <c r="C1492" s="10" t="s">
        <v>1792</v>
      </c>
      <c r="D1492" s="10" t="s">
        <v>1789</v>
      </c>
      <c r="E1492" s="12">
        <v>9249.09</v>
      </c>
      <c r="F1492" s="10" t="s">
        <v>1880</v>
      </c>
    </row>
    <row r="1493" spans="1:6" x14ac:dyDescent="0.25">
      <c r="A1493" s="13" t="s">
        <v>3358</v>
      </c>
      <c r="B1493" s="14">
        <v>46012</v>
      </c>
      <c r="C1493" s="13" t="s">
        <v>1792</v>
      </c>
      <c r="D1493" s="13" t="s">
        <v>1792</v>
      </c>
      <c r="E1493" s="15">
        <v>13824.33</v>
      </c>
      <c r="F1493" s="13" t="s">
        <v>1924</v>
      </c>
    </row>
    <row r="1494" spans="1:6" x14ac:dyDescent="0.25">
      <c r="A1494" s="10" t="s">
        <v>3359</v>
      </c>
      <c r="B1494" s="11">
        <v>46018</v>
      </c>
      <c r="C1494" s="10" t="s">
        <v>1792</v>
      </c>
      <c r="D1494" s="10" t="s">
        <v>1795</v>
      </c>
      <c r="E1494" s="12">
        <v>5481.56</v>
      </c>
      <c r="F1494" s="10" t="s">
        <v>1875</v>
      </c>
    </row>
    <row r="1495" spans="1:6" x14ac:dyDescent="0.25">
      <c r="A1495" s="13" t="s">
        <v>3360</v>
      </c>
      <c r="B1495" s="14">
        <v>46007</v>
      </c>
      <c r="C1495" s="13" t="s">
        <v>1792</v>
      </c>
      <c r="D1495" s="13" t="s">
        <v>1797</v>
      </c>
      <c r="E1495" s="15">
        <v>4544.1099999999997</v>
      </c>
      <c r="F1495" s="13" t="s">
        <v>1990</v>
      </c>
    </row>
    <row r="1496" spans="1:6" x14ac:dyDescent="0.25">
      <c r="A1496" s="10" t="s">
        <v>3361</v>
      </c>
      <c r="B1496" s="11">
        <v>45996</v>
      </c>
      <c r="C1496" s="10" t="s">
        <v>1862</v>
      </c>
      <c r="D1496" s="10" t="s">
        <v>1775</v>
      </c>
      <c r="E1496" s="12">
        <v>40473.82</v>
      </c>
      <c r="F1496" s="10" t="s">
        <v>1816</v>
      </c>
    </row>
    <row r="1497" spans="1:6" x14ac:dyDescent="0.25">
      <c r="A1497" s="13" t="s">
        <v>3362</v>
      </c>
      <c r="B1497" s="14">
        <v>45997</v>
      </c>
      <c r="C1497" s="13" t="s">
        <v>1862</v>
      </c>
      <c r="D1497" s="13" t="s">
        <v>1778</v>
      </c>
      <c r="E1497" s="15">
        <v>9474.35</v>
      </c>
      <c r="F1497" s="13" t="s">
        <v>1958</v>
      </c>
    </row>
    <row r="1498" spans="1:6" x14ac:dyDescent="0.25">
      <c r="A1498" s="10" t="s">
        <v>3363</v>
      </c>
      <c r="B1498" s="11">
        <v>45998</v>
      </c>
      <c r="C1498" s="10" t="s">
        <v>1862</v>
      </c>
      <c r="D1498" s="10" t="s">
        <v>1780</v>
      </c>
      <c r="E1498" s="12">
        <v>4681.43</v>
      </c>
      <c r="F1498" s="10" t="s">
        <v>1790</v>
      </c>
    </row>
    <row r="1499" spans="1:6" x14ac:dyDescent="0.25">
      <c r="A1499" s="13" t="s">
        <v>3364</v>
      </c>
      <c r="B1499" s="14">
        <v>46003</v>
      </c>
      <c r="C1499" s="13" t="s">
        <v>1862</v>
      </c>
      <c r="D1499" s="13" t="s">
        <v>1783</v>
      </c>
      <c r="E1499" s="15">
        <v>6769.53</v>
      </c>
      <c r="F1499" s="13" t="s">
        <v>2062</v>
      </c>
    </row>
    <row r="1500" spans="1:6" x14ac:dyDescent="0.25">
      <c r="A1500" s="10" t="s">
        <v>3365</v>
      </c>
      <c r="B1500" s="11">
        <v>45996</v>
      </c>
      <c r="C1500" s="10" t="s">
        <v>1862</v>
      </c>
      <c r="D1500" s="10" t="s">
        <v>1786</v>
      </c>
      <c r="E1500" s="12">
        <v>5417.56</v>
      </c>
      <c r="F1500" s="10" t="s">
        <v>1871</v>
      </c>
    </row>
    <row r="1501" spans="1:6" x14ac:dyDescent="0.25">
      <c r="A1501" s="13" t="s">
        <v>3366</v>
      </c>
      <c r="B1501" s="14">
        <v>46010</v>
      </c>
      <c r="C1501" s="13" t="s">
        <v>1862</v>
      </c>
      <c r="D1501" s="13" t="s">
        <v>1789</v>
      </c>
      <c r="E1501" s="15">
        <v>3325.53</v>
      </c>
      <c r="F1501" s="13" t="s">
        <v>2162</v>
      </c>
    </row>
    <row r="1502" spans="1:6" x14ac:dyDescent="0.25">
      <c r="A1502" s="10" t="s">
        <v>3367</v>
      </c>
      <c r="B1502" s="11">
        <v>46016</v>
      </c>
      <c r="C1502" s="10" t="s">
        <v>1862</v>
      </c>
      <c r="D1502" s="10" t="s">
        <v>1792</v>
      </c>
      <c r="E1502" s="12">
        <v>6681.69</v>
      </c>
      <c r="F1502" s="10" t="s">
        <v>1828</v>
      </c>
    </row>
    <row r="1503" spans="1:6" x14ac:dyDescent="0.25">
      <c r="A1503" s="13" t="s">
        <v>3368</v>
      </c>
      <c r="B1503" s="14">
        <v>46011</v>
      </c>
      <c r="C1503" s="13" t="s">
        <v>1862</v>
      </c>
      <c r="D1503" s="13" t="s">
        <v>1795</v>
      </c>
      <c r="E1503" s="15">
        <v>2132.92</v>
      </c>
      <c r="F1503" s="13" t="s">
        <v>2128</v>
      </c>
    </row>
    <row r="1504" spans="1:6" x14ac:dyDescent="0.25">
      <c r="A1504" s="10" t="s">
        <v>3369</v>
      </c>
      <c r="B1504" s="11">
        <v>46015</v>
      </c>
      <c r="C1504" s="10" t="s">
        <v>1862</v>
      </c>
      <c r="D1504" s="10" t="s">
        <v>1797</v>
      </c>
      <c r="E1504" s="12">
        <v>2814.71</v>
      </c>
      <c r="F1504" s="10" t="s">
        <v>1946</v>
      </c>
    </row>
    <row r="1505" spans="1:6" x14ac:dyDescent="0.25">
      <c r="A1505" s="13" t="s">
        <v>3370</v>
      </c>
      <c r="B1505" s="14">
        <v>45996</v>
      </c>
      <c r="C1505" s="13" t="s">
        <v>1877</v>
      </c>
      <c r="D1505" s="13" t="s">
        <v>1775</v>
      </c>
      <c r="E1505" s="15">
        <v>68079.22</v>
      </c>
      <c r="F1505" s="13" t="s">
        <v>1800</v>
      </c>
    </row>
    <row r="1506" spans="1:6" x14ac:dyDescent="0.25">
      <c r="A1506" s="10" t="s">
        <v>3371</v>
      </c>
      <c r="B1506" s="11">
        <v>45992</v>
      </c>
      <c r="C1506" s="10" t="s">
        <v>1877</v>
      </c>
      <c r="D1506" s="10" t="s">
        <v>1778</v>
      </c>
      <c r="E1506" s="12">
        <v>11126.18</v>
      </c>
      <c r="F1506" s="10" t="s">
        <v>1844</v>
      </c>
    </row>
    <row r="1507" spans="1:6" x14ac:dyDescent="0.25">
      <c r="A1507" s="13" t="s">
        <v>3372</v>
      </c>
      <c r="B1507" s="14">
        <v>46004</v>
      </c>
      <c r="C1507" s="13" t="s">
        <v>1877</v>
      </c>
      <c r="D1507" s="13" t="s">
        <v>1780</v>
      </c>
      <c r="E1507" s="15">
        <v>7173.72</v>
      </c>
      <c r="F1507" s="13" t="s">
        <v>1977</v>
      </c>
    </row>
    <row r="1508" spans="1:6" x14ac:dyDescent="0.25">
      <c r="A1508" s="10" t="s">
        <v>3373</v>
      </c>
      <c r="B1508" s="11">
        <v>46012</v>
      </c>
      <c r="C1508" s="10" t="s">
        <v>1877</v>
      </c>
      <c r="D1508" s="10" t="s">
        <v>1783</v>
      </c>
      <c r="E1508" s="12">
        <v>10908</v>
      </c>
      <c r="F1508" s="10" t="s">
        <v>1939</v>
      </c>
    </row>
    <row r="1509" spans="1:6" x14ac:dyDescent="0.25">
      <c r="A1509" s="13" t="s">
        <v>3374</v>
      </c>
      <c r="B1509" s="14">
        <v>46011</v>
      </c>
      <c r="C1509" s="13" t="s">
        <v>1877</v>
      </c>
      <c r="D1509" s="13" t="s">
        <v>1786</v>
      </c>
      <c r="E1509" s="15">
        <v>8924.77</v>
      </c>
      <c r="F1509" s="13" t="s">
        <v>1833</v>
      </c>
    </row>
    <row r="1510" spans="1:6" x14ac:dyDescent="0.25">
      <c r="A1510" s="10" t="s">
        <v>3375</v>
      </c>
      <c r="B1510" s="11">
        <v>46000</v>
      </c>
      <c r="C1510" s="10" t="s">
        <v>1877</v>
      </c>
      <c r="D1510" s="10" t="s">
        <v>1789</v>
      </c>
      <c r="E1510" s="12">
        <v>6496.89</v>
      </c>
      <c r="F1510" s="10" t="s">
        <v>1988</v>
      </c>
    </row>
    <row r="1511" spans="1:6" x14ac:dyDescent="0.25">
      <c r="A1511" s="13" t="s">
        <v>3376</v>
      </c>
      <c r="B1511" s="14">
        <v>46010</v>
      </c>
      <c r="C1511" s="13" t="s">
        <v>1877</v>
      </c>
      <c r="D1511" s="13" t="s">
        <v>1792</v>
      </c>
      <c r="E1511" s="15">
        <v>10133.31</v>
      </c>
      <c r="F1511" s="13" t="s">
        <v>1979</v>
      </c>
    </row>
    <row r="1512" spans="1:6" x14ac:dyDescent="0.25">
      <c r="A1512" s="10" t="s">
        <v>3377</v>
      </c>
      <c r="B1512" s="11">
        <v>46013</v>
      </c>
      <c r="C1512" s="10" t="s">
        <v>1877</v>
      </c>
      <c r="D1512" s="10" t="s">
        <v>1795</v>
      </c>
      <c r="E1512" s="12">
        <v>3852.31</v>
      </c>
      <c r="F1512" s="10" t="s">
        <v>2072</v>
      </c>
    </row>
    <row r="1513" spans="1:6" x14ac:dyDescent="0.25">
      <c r="A1513" s="13" t="s">
        <v>3378</v>
      </c>
      <c r="B1513" s="14">
        <v>45996</v>
      </c>
      <c r="C1513" s="13" t="s">
        <v>1877</v>
      </c>
      <c r="D1513" s="13" t="s">
        <v>1797</v>
      </c>
      <c r="E1513" s="15">
        <v>4003.91</v>
      </c>
      <c r="F1513" s="13" t="s">
        <v>2078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0.79998168889431442"/>
  </sheetPr>
  <dimension ref="A1:D15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2" width="16" customWidth="1"/>
    <col min="3" max="3" width="12" customWidth="1"/>
    <col min="4" max="4" width="11" customWidth="1"/>
  </cols>
  <sheetData>
    <row r="1" spans="1:4" ht="30" customHeight="1" x14ac:dyDescent="0.25">
      <c r="A1" s="17" t="s">
        <v>3</v>
      </c>
      <c r="B1" s="17" t="s">
        <v>4</v>
      </c>
      <c r="C1" s="17" t="s">
        <v>6</v>
      </c>
      <c r="D1" s="17" t="s">
        <v>52</v>
      </c>
    </row>
    <row r="2" spans="1:4" x14ac:dyDescent="0.25">
      <c r="A2" s="11">
        <v>45292</v>
      </c>
      <c r="B2" s="10" t="s">
        <v>1862</v>
      </c>
      <c r="C2" s="10" t="s">
        <v>1792</v>
      </c>
      <c r="D2" s="12">
        <v>7172.8</v>
      </c>
    </row>
    <row r="3" spans="1:4" x14ac:dyDescent="0.25">
      <c r="A3" s="14">
        <v>45292</v>
      </c>
      <c r="B3" s="13" t="s">
        <v>1862</v>
      </c>
      <c r="C3" s="13" t="s">
        <v>1797</v>
      </c>
      <c r="D3" s="15">
        <v>2287.23</v>
      </c>
    </row>
    <row r="4" spans="1:4" x14ac:dyDescent="0.25">
      <c r="A4" s="11">
        <v>45292</v>
      </c>
      <c r="B4" s="10" t="s">
        <v>1774</v>
      </c>
      <c r="C4" s="10" t="s">
        <v>1775</v>
      </c>
      <c r="D4" s="12">
        <v>103935.79</v>
      </c>
    </row>
    <row r="5" spans="1:4" x14ac:dyDescent="0.25">
      <c r="A5" s="14">
        <v>45292</v>
      </c>
      <c r="B5" s="13" t="s">
        <v>1774</v>
      </c>
      <c r="C5" s="13" t="s">
        <v>1780</v>
      </c>
      <c r="D5" s="15">
        <v>8702.9</v>
      </c>
    </row>
    <row r="6" spans="1:4" x14ac:dyDescent="0.25">
      <c r="A6" s="11">
        <v>45292</v>
      </c>
      <c r="B6" s="10" t="s">
        <v>1792</v>
      </c>
      <c r="C6" s="10" t="s">
        <v>1780</v>
      </c>
      <c r="D6" s="12">
        <v>8807.7800000000007</v>
      </c>
    </row>
    <row r="7" spans="1:4" x14ac:dyDescent="0.25">
      <c r="A7" s="14">
        <v>45292</v>
      </c>
      <c r="B7" s="13" t="s">
        <v>1862</v>
      </c>
      <c r="C7" s="13" t="s">
        <v>1795</v>
      </c>
      <c r="D7" s="15">
        <v>2500.19</v>
      </c>
    </row>
    <row r="8" spans="1:4" x14ac:dyDescent="0.25">
      <c r="A8" s="11">
        <v>45292</v>
      </c>
      <c r="B8" s="10" t="s">
        <v>1799</v>
      </c>
      <c r="C8" s="10" t="s">
        <v>1778</v>
      </c>
      <c r="D8" s="12">
        <v>9395.31</v>
      </c>
    </row>
    <row r="9" spans="1:4" x14ac:dyDescent="0.25">
      <c r="A9" s="14">
        <v>45292</v>
      </c>
      <c r="B9" s="13" t="s">
        <v>1786</v>
      </c>
      <c r="C9" s="13" t="s">
        <v>1778</v>
      </c>
      <c r="D9" s="15">
        <v>15466.21</v>
      </c>
    </row>
    <row r="10" spans="1:4" x14ac:dyDescent="0.25">
      <c r="A10" s="11">
        <v>45292</v>
      </c>
      <c r="B10" s="10" t="s">
        <v>1786</v>
      </c>
      <c r="C10" s="10" t="s">
        <v>1789</v>
      </c>
      <c r="D10" s="12">
        <v>8146.36</v>
      </c>
    </row>
    <row r="11" spans="1:4" x14ac:dyDescent="0.25">
      <c r="A11" s="14">
        <v>45292</v>
      </c>
      <c r="B11" s="13" t="s">
        <v>1792</v>
      </c>
      <c r="C11" s="13" t="s">
        <v>1792</v>
      </c>
      <c r="D11" s="15">
        <v>18171.09</v>
      </c>
    </row>
    <row r="12" spans="1:4" x14ac:dyDescent="0.25">
      <c r="A12" s="11">
        <v>45292</v>
      </c>
      <c r="B12" s="10" t="s">
        <v>1877</v>
      </c>
      <c r="C12" s="10" t="s">
        <v>1778</v>
      </c>
      <c r="D12" s="12">
        <v>13269.64</v>
      </c>
    </row>
    <row r="13" spans="1:4" x14ac:dyDescent="0.25">
      <c r="A13" s="14">
        <v>45292</v>
      </c>
      <c r="B13" s="13" t="s">
        <v>1862</v>
      </c>
      <c r="C13" s="13" t="s">
        <v>1780</v>
      </c>
      <c r="D13" s="15">
        <v>4152.17</v>
      </c>
    </row>
    <row r="14" spans="1:4" x14ac:dyDescent="0.25">
      <c r="A14" s="11">
        <v>45292</v>
      </c>
      <c r="B14" s="10" t="s">
        <v>1799</v>
      </c>
      <c r="C14" s="10" t="s">
        <v>1786</v>
      </c>
      <c r="D14" s="12">
        <v>8199.02</v>
      </c>
    </row>
    <row r="15" spans="1:4" x14ac:dyDescent="0.25">
      <c r="A15" s="14">
        <v>45292</v>
      </c>
      <c r="B15" s="13" t="s">
        <v>1786</v>
      </c>
      <c r="C15" s="13" t="s">
        <v>1783</v>
      </c>
      <c r="D15" s="15">
        <v>10438.98</v>
      </c>
    </row>
    <row r="16" spans="1:4" x14ac:dyDescent="0.25">
      <c r="A16" s="11">
        <v>45292</v>
      </c>
      <c r="B16" s="10" t="s">
        <v>1786</v>
      </c>
      <c r="C16" s="10" t="s">
        <v>1786</v>
      </c>
      <c r="D16" s="12">
        <v>12192.33</v>
      </c>
    </row>
    <row r="17" spans="1:4" x14ac:dyDescent="0.25">
      <c r="A17" s="14">
        <v>45292</v>
      </c>
      <c r="B17" s="13" t="s">
        <v>1877</v>
      </c>
      <c r="C17" s="13" t="s">
        <v>1795</v>
      </c>
      <c r="D17" s="15">
        <v>3677.28</v>
      </c>
    </row>
    <row r="18" spans="1:4" x14ac:dyDescent="0.25">
      <c r="A18" s="11">
        <v>45292</v>
      </c>
      <c r="B18" s="10" t="s">
        <v>1799</v>
      </c>
      <c r="C18" s="10" t="s">
        <v>1792</v>
      </c>
      <c r="D18" s="12">
        <v>9148.14</v>
      </c>
    </row>
    <row r="19" spans="1:4" x14ac:dyDescent="0.25">
      <c r="A19" s="14">
        <v>45292</v>
      </c>
      <c r="B19" s="13" t="s">
        <v>1774</v>
      </c>
      <c r="C19" s="13" t="s">
        <v>1783</v>
      </c>
      <c r="D19" s="15">
        <v>13673.05</v>
      </c>
    </row>
    <row r="20" spans="1:4" x14ac:dyDescent="0.25">
      <c r="A20" s="11">
        <v>45292</v>
      </c>
      <c r="B20" s="10" t="s">
        <v>1877</v>
      </c>
      <c r="C20" s="10" t="s">
        <v>1783</v>
      </c>
      <c r="D20" s="12">
        <v>11484.32</v>
      </c>
    </row>
    <row r="21" spans="1:4" x14ac:dyDescent="0.25">
      <c r="A21" s="14">
        <v>45292</v>
      </c>
      <c r="B21" s="13" t="s">
        <v>1818</v>
      </c>
      <c r="C21" s="13" t="s">
        <v>1797</v>
      </c>
      <c r="D21" s="15">
        <v>2286.44</v>
      </c>
    </row>
    <row r="22" spans="1:4" x14ac:dyDescent="0.25">
      <c r="A22" s="11">
        <v>45292</v>
      </c>
      <c r="B22" s="10" t="s">
        <v>1818</v>
      </c>
      <c r="C22" s="10" t="s">
        <v>1780</v>
      </c>
      <c r="D22" s="12">
        <v>3965.33</v>
      </c>
    </row>
    <row r="23" spans="1:4" x14ac:dyDescent="0.25">
      <c r="A23" s="14">
        <v>45292</v>
      </c>
      <c r="B23" s="13" t="s">
        <v>1877</v>
      </c>
      <c r="C23" s="13" t="s">
        <v>1775</v>
      </c>
      <c r="D23" s="15">
        <v>58634.9</v>
      </c>
    </row>
    <row r="24" spans="1:4" x14ac:dyDescent="0.25">
      <c r="A24" s="11">
        <v>45292</v>
      </c>
      <c r="B24" s="10" t="s">
        <v>1799</v>
      </c>
      <c r="C24" s="10" t="s">
        <v>1789</v>
      </c>
      <c r="D24" s="12">
        <v>3489.66</v>
      </c>
    </row>
    <row r="25" spans="1:4" x14ac:dyDescent="0.25">
      <c r="A25" s="14">
        <v>45292</v>
      </c>
      <c r="B25" s="13" t="s">
        <v>1786</v>
      </c>
      <c r="C25" s="13" t="s">
        <v>1792</v>
      </c>
      <c r="D25" s="15">
        <v>11099.35</v>
      </c>
    </row>
    <row r="26" spans="1:4" x14ac:dyDescent="0.25">
      <c r="A26" s="11">
        <v>45292</v>
      </c>
      <c r="B26" s="10" t="s">
        <v>1792</v>
      </c>
      <c r="C26" s="10" t="s">
        <v>1789</v>
      </c>
      <c r="D26" s="12">
        <v>9053.8700000000008</v>
      </c>
    </row>
    <row r="27" spans="1:4" x14ac:dyDescent="0.25">
      <c r="A27" s="14">
        <v>45292</v>
      </c>
      <c r="B27" s="13" t="s">
        <v>1862</v>
      </c>
      <c r="C27" s="13" t="s">
        <v>1789</v>
      </c>
      <c r="D27" s="15">
        <v>4970.4399999999996</v>
      </c>
    </row>
    <row r="28" spans="1:4" x14ac:dyDescent="0.25">
      <c r="A28" s="11">
        <v>45292</v>
      </c>
      <c r="B28" s="10" t="s">
        <v>1774</v>
      </c>
      <c r="C28" s="10" t="s">
        <v>1778</v>
      </c>
      <c r="D28" s="12">
        <v>25741.01</v>
      </c>
    </row>
    <row r="29" spans="1:4" x14ac:dyDescent="0.25">
      <c r="A29" s="14">
        <v>45292</v>
      </c>
      <c r="B29" s="13" t="s">
        <v>1862</v>
      </c>
      <c r="C29" s="13" t="s">
        <v>1786</v>
      </c>
      <c r="D29" s="15">
        <v>8063.69</v>
      </c>
    </row>
    <row r="30" spans="1:4" x14ac:dyDescent="0.25">
      <c r="A30" s="11">
        <v>45292</v>
      </c>
      <c r="B30" s="10" t="s">
        <v>1862</v>
      </c>
      <c r="C30" s="10" t="s">
        <v>1783</v>
      </c>
      <c r="D30" s="12">
        <v>6835.55</v>
      </c>
    </row>
    <row r="31" spans="1:4" x14ac:dyDescent="0.25">
      <c r="A31" s="14">
        <v>45292</v>
      </c>
      <c r="B31" s="13" t="s">
        <v>1774</v>
      </c>
      <c r="C31" s="13" t="s">
        <v>1789</v>
      </c>
      <c r="D31" s="15">
        <v>10427.89</v>
      </c>
    </row>
    <row r="32" spans="1:4" x14ac:dyDescent="0.25">
      <c r="A32" s="11">
        <v>45292</v>
      </c>
      <c r="B32" s="10" t="s">
        <v>1877</v>
      </c>
      <c r="C32" s="10" t="s">
        <v>1792</v>
      </c>
      <c r="D32" s="12">
        <v>12692.23</v>
      </c>
    </row>
    <row r="33" spans="1:4" x14ac:dyDescent="0.25">
      <c r="A33" s="14">
        <v>45292</v>
      </c>
      <c r="B33" s="13" t="s">
        <v>1862</v>
      </c>
      <c r="C33" s="13" t="s">
        <v>1775</v>
      </c>
      <c r="D33" s="15">
        <v>44896.31</v>
      </c>
    </row>
    <row r="34" spans="1:4" x14ac:dyDescent="0.25">
      <c r="A34" s="11">
        <v>45292</v>
      </c>
      <c r="B34" s="10" t="s">
        <v>1792</v>
      </c>
      <c r="C34" s="10" t="s">
        <v>1797</v>
      </c>
      <c r="D34" s="12">
        <v>4697.3999999999996</v>
      </c>
    </row>
    <row r="35" spans="1:4" x14ac:dyDescent="0.25">
      <c r="A35" s="14">
        <v>45292</v>
      </c>
      <c r="B35" s="13" t="s">
        <v>1774</v>
      </c>
      <c r="C35" s="13" t="s">
        <v>1797</v>
      </c>
      <c r="D35" s="15">
        <v>6434.37</v>
      </c>
    </row>
    <row r="36" spans="1:4" x14ac:dyDescent="0.25">
      <c r="A36" s="11">
        <v>45292</v>
      </c>
      <c r="B36" s="10" t="s">
        <v>1786</v>
      </c>
      <c r="C36" s="10" t="s">
        <v>1797</v>
      </c>
      <c r="D36" s="12">
        <v>4573.7</v>
      </c>
    </row>
    <row r="37" spans="1:4" x14ac:dyDescent="0.25">
      <c r="A37" s="14">
        <v>45292</v>
      </c>
      <c r="B37" s="13" t="s">
        <v>1786</v>
      </c>
      <c r="C37" s="13" t="s">
        <v>1775</v>
      </c>
      <c r="D37" s="15">
        <v>76699.28</v>
      </c>
    </row>
    <row r="38" spans="1:4" x14ac:dyDescent="0.25">
      <c r="A38" s="11">
        <v>45292</v>
      </c>
      <c r="B38" s="10" t="s">
        <v>1792</v>
      </c>
      <c r="C38" s="10" t="s">
        <v>1783</v>
      </c>
      <c r="D38" s="12">
        <v>13434.62</v>
      </c>
    </row>
    <row r="39" spans="1:4" x14ac:dyDescent="0.25">
      <c r="A39" s="14">
        <v>45292</v>
      </c>
      <c r="B39" s="13" t="s">
        <v>1799</v>
      </c>
      <c r="C39" s="13" t="s">
        <v>1797</v>
      </c>
      <c r="D39" s="15">
        <v>2834.13</v>
      </c>
    </row>
    <row r="40" spans="1:4" x14ac:dyDescent="0.25">
      <c r="A40" s="11">
        <v>45292</v>
      </c>
      <c r="B40" s="10" t="s">
        <v>1774</v>
      </c>
      <c r="C40" s="10" t="s">
        <v>1786</v>
      </c>
      <c r="D40" s="12">
        <v>18119.060000000001</v>
      </c>
    </row>
    <row r="41" spans="1:4" x14ac:dyDescent="0.25">
      <c r="A41" s="14">
        <v>45292</v>
      </c>
      <c r="B41" s="13" t="s">
        <v>1877</v>
      </c>
      <c r="C41" s="13" t="s">
        <v>1780</v>
      </c>
      <c r="D41" s="15">
        <v>6538.9</v>
      </c>
    </row>
    <row r="42" spans="1:4" x14ac:dyDescent="0.25">
      <c r="A42" s="11">
        <v>45292</v>
      </c>
      <c r="B42" s="10" t="s">
        <v>1799</v>
      </c>
      <c r="C42" s="10" t="s">
        <v>1795</v>
      </c>
      <c r="D42" s="12">
        <v>3172.42</v>
      </c>
    </row>
    <row r="43" spans="1:4" x14ac:dyDescent="0.25">
      <c r="A43" s="14">
        <v>45292</v>
      </c>
      <c r="B43" s="13" t="s">
        <v>1792</v>
      </c>
      <c r="C43" s="13" t="s">
        <v>1786</v>
      </c>
      <c r="D43" s="15">
        <v>14986.54</v>
      </c>
    </row>
    <row r="44" spans="1:4" x14ac:dyDescent="0.25">
      <c r="A44" s="11">
        <v>45292</v>
      </c>
      <c r="B44" s="10" t="s">
        <v>1862</v>
      </c>
      <c r="C44" s="10" t="s">
        <v>1778</v>
      </c>
      <c r="D44" s="12">
        <v>6929.83</v>
      </c>
    </row>
    <row r="45" spans="1:4" x14ac:dyDescent="0.25">
      <c r="A45" s="14">
        <v>45292</v>
      </c>
      <c r="B45" s="13" t="s">
        <v>1774</v>
      </c>
      <c r="C45" s="13" t="s">
        <v>1792</v>
      </c>
      <c r="D45" s="15">
        <v>16106.42</v>
      </c>
    </row>
    <row r="46" spans="1:4" x14ac:dyDescent="0.25">
      <c r="A46" s="11">
        <v>45292</v>
      </c>
      <c r="B46" s="10" t="s">
        <v>1877</v>
      </c>
      <c r="C46" s="10" t="s">
        <v>1786</v>
      </c>
      <c r="D46" s="12">
        <v>9683.42</v>
      </c>
    </row>
    <row r="47" spans="1:4" x14ac:dyDescent="0.25">
      <c r="A47" s="14">
        <v>45292</v>
      </c>
      <c r="B47" s="13" t="s">
        <v>1774</v>
      </c>
      <c r="C47" s="13" t="s">
        <v>1795</v>
      </c>
      <c r="D47" s="15">
        <v>7807.82</v>
      </c>
    </row>
    <row r="48" spans="1:4" x14ac:dyDescent="0.25">
      <c r="A48" s="11">
        <v>45292</v>
      </c>
      <c r="B48" s="10" t="s">
        <v>1818</v>
      </c>
      <c r="C48" s="10" t="s">
        <v>1783</v>
      </c>
      <c r="D48" s="12">
        <v>5192.49</v>
      </c>
    </row>
    <row r="49" spans="1:4" x14ac:dyDescent="0.25">
      <c r="A49" s="14">
        <v>45292</v>
      </c>
      <c r="B49" s="13" t="s">
        <v>1818</v>
      </c>
      <c r="C49" s="13" t="s">
        <v>1789</v>
      </c>
      <c r="D49" s="15">
        <v>3191.94</v>
      </c>
    </row>
    <row r="50" spans="1:4" x14ac:dyDescent="0.25">
      <c r="A50" s="11">
        <v>45292</v>
      </c>
      <c r="B50" s="10" t="s">
        <v>1799</v>
      </c>
      <c r="C50" s="10" t="s">
        <v>1780</v>
      </c>
      <c r="D50" s="12">
        <v>3722.93</v>
      </c>
    </row>
    <row r="51" spans="1:4" x14ac:dyDescent="0.25">
      <c r="A51" s="14">
        <v>45292</v>
      </c>
      <c r="B51" s="13" t="s">
        <v>1799</v>
      </c>
      <c r="C51" s="13" t="s">
        <v>1783</v>
      </c>
      <c r="D51" s="15">
        <v>6057.41</v>
      </c>
    </row>
    <row r="52" spans="1:4" x14ac:dyDescent="0.25">
      <c r="A52" s="11">
        <v>45292</v>
      </c>
      <c r="B52" s="10" t="s">
        <v>1792</v>
      </c>
      <c r="C52" s="10" t="s">
        <v>1775</v>
      </c>
      <c r="D52" s="12">
        <v>93885.73</v>
      </c>
    </row>
    <row r="53" spans="1:4" x14ac:dyDescent="0.25">
      <c r="A53" s="14">
        <v>45292</v>
      </c>
      <c r="B53" s="13" t="s">
        <v>1877</v>
      </c>
      <c r="C53" s="13" t="s">
        <v>1797</v>
      </c>
      <c r="D53" s="15">
        <v>2996.71</v>
      </c>
    </row>
    <row r="54" spans="1:4" x14ac:dyDescent="0.25">
      <c r="A54" s="11">
        <v>45292</v>
      </c>
      <c r="B54" s="10" t="s">
        <v>1818</v>
      </c>
      <c r="C54" s="10" t="s">
        <v>1778</v>
      </c>
      <c r="D54" s="12">
        <v>7932.07</v>
      </c>
    </row>
    <row r="55" spans="1:4" x14ac:dyDescent="0.25">
      <c r="A55" s="14">
        <v>45292</v>
      </c>
      <c r="B55" s="13" t="s">
        <v>1786</v>
      </c>
      <c r="C55" s="13" t="s">
        <v>1795</v>
      </c>
      <c r="D55" s="15">
        <v>4962.78</v>
      </c>
    </row>
    <row r="56" spans="1:4" x14ac:dyDescent="0.25">
      <c r="A56" s="11">
        <v>45292</v>
      </c>
      <c r="B56" s="10" t="s">
        <v>1818</v>
      </c>
      <c r="C56" s="10" t="s">
        <v>1786</v>
      </c>
      <c r="D56" s="12">
        <v>5225.2299999999996</v>
      </c>
    </row>
    <row r="57" spans="1:4" x14ac:dyDescent="0.25">
      <c r="A57" s="14">
        <v>45292</v>
      </c>
      <c r="B57" s="13" t="s">
        <v>1818</v>
      </c>
      <c r="C57" s="13" t="s">
        <v>1795</v>
      </c>
      <c r="D57" s="15">
        <v>1987.64</v>
      </c>
    </row>
    <row r="58" spans="1:4" x14ac:dyDescent="0.25">
      <c r="A58" s="11">
        <v>45292</v>
      </c>
      <c r="B58" s="10" t="s">
        <v>1792</v>
      </c>
      <c r="C58" s="10" t="s">
        <v>1778</v>
      </c>
      <c r="D58" s="12">
        <v>19180.52</v>
      </c>
    </row>
    <row r="59" spans="1:4" x14ac:dyDescent="0.25">
      <c r="A59" s="14">
        <v>45292</v>
      </c>
      <c r="B59" s="13" t="s">
        <v>1818</v>
      </c>
      <c r="C59" s="13" t="s">
        <v>1775</v>
      </c>
      <c r="D59" s="15">
        <v>35835.19</v>
      </c>
    </row>
    <row r="60" spans="1:4" x14ac:dyDescent="0.25">
      <c r="A60" s="11">
        <v>45292</v>
      </c>
      <c r="B60" s="10" t="s">
        <v>1792</v>
      </c>
      <c r="C60" s="10" t="s">
        <v>1795</v>
      </c>
      <c r="D60" s="12">
        <v>4863.2</v>
      </c>
    </row>
    <row r="61" spans="1:4" x14ac:dyDescent="0.25">
      <c r="A61" s="14">
        <v>45292</v>
      </c>
      <c r="B61" s="13" t="s">
        <v>1877</v>
      </c>
      <c r="C61" s="13" t="s">
        <v>1789</v>
      </c>
      <c r="D61" s="15">
        <v>4964.12</v>
      </c>
    </row>
    <row r="62" spans="1:4" x14ac:dyDescent="0.25">
      <c r="A62" s="11">
        <v>45292</v>
      </c>
      <c r="B62" s="10" t="s">
        <v>1818</v>
      </c>
      <c r="C62" s="10" t="s">
        <v>1792</v>
      </c>
      <c r="D62" s="12">
        <v>7428.42</v>
      </c>
    </row>
    <row r="63" spans="1:4" x14ac:dyDescent="0.25">
      <c r="A63" s="14">
        <v>45292</v>
      </c>
      <c r="B63" s="13" t="s">
        <v>1799</v>
      </c>
      <c r="C63" s="13" t="s">
        <v>1775</v>
      </c>
      <c r="D63" s="15">
        <v>37382.46</v>
      </c>
    </row>
    <row r="64" spans="1:4" x14ac:dyDescent="0.25">
      <c r="A64" s="11">
        <v>45292</v>
      </c>
      <c r="B64" s="10" t="s">
        <v>1786</v>
      </c>
      <c r="C64" s="10" t="s">
        <v>1780</v>
      </c>
      <c r="D64" s="12">
        <v>6852.3</v>
      </c>
    </row>
    <row r="65" spans="1:4" x14ac:dyDescent="0.25">
      <c r="A65" s="14">
        <v>45323</v>
      </c>
      <c r="B65" s="13" t="s">
        <v>1792</v>
      </c>
      <c r="C65" s="13" t="s">
        <v>1778</v>
      </c>
      <c r="D65" s="15">
        <v>15161.38</v>
      </c>
    </row>
    <row r="66" spans="1:4" x14ac:dyDescent="0.25">
      <c r="A66" s="11">
        <v>45323</v>
      </c>
      <c r="B66" s="10" t="s">
        <v>1877</v>
      </c>
      <c r="C66" s="10" t="s">
        <v>1778</v>
      </c>
      <c r="D66" s="12">
        <v>12664.15</v>
      </c>
    </row>
    <row r="67" spans="1:4" x14ac:dyDescent="0.25">
      <c r="A67" s="14">
        <v>45323</v>
      </c>
      <c r="B67" s="13" t="s">
        <v>1818</v>
      </c>
      <c r="C67" s="13" t="s">
        <v>1775</v>
      </c>
      <c r="D67" s="15">
        <v>41576.53</v>
      </c>
    </row>
    <row r="68" spans="1:4" x14ac:dyDescent="0.25">
      <c r="A68" s="11">
        <v>45323</v>
      </c>
      <c r="B68" s="10" t="s">
        <v>1799</v>
      </c>
      <c r="C68" s="10" t="s">
        <v>1795</v>
      </c>
      <c r="D68" s="12">
        <v>2928.93</v>
      </c>
    </row>
    <row r="69" spans="1:4" x14ac:dyDescent="0.25">
      <c r="A69" s="14">
        <v>45323</v>
      </c>
      <c r="B69" s="13" t="s">
        <v>1862</v>
      </c>
      <c r="C69" s="13" t="s">
        <v>1792</v>
      </c>
      <c r="D69" s="15">
        <v>6648.03</v>
      </c>
    </row>
    <row r="70" spans="1:4" x14ac:dyDescent="0.25">
      <c r="A70" s="11">
        <v>45323</v>
      </c>
      <c r="B70" s="10" t="s">
        <v>1818</v>
      </c>
      <c r="C70" s="10" t="s">
        <v>1780</v>
      </c>
      <c r="D70" s="12">
        <v>4485.8100000000004</v>
      </c>
    </row>
    <row r="71" spans="1:4" x14ac:dyDescent="0.25">
      <c r="A71" s="14">
        <v>45323</v>
      </c>
      <c r="B71" s="13" t="s">
        <v>1799</v>
      </c>
      <c r="C71" s="13" t="s">
        <v>1786</v>
      </c>
      <c r="D71" s="15">
        <v>7068.57</v>
      </c>
    </row>
    <row r="72" spans="1:4" x14ac:dyDescent="0.25">
      <c r="A72" s="11">
        <v>45323</v>
      </c>
      <c r="B72" s="10" t="s">
        <v>1774</v>
      </c>
      <c r="C72" s="10" t="s">
        <v>1778</v>
      </c>
      <c r="D72" s="12">
        <v>24973.08</v>
      </c>
    </row>
    <row r="73" spans="1:4" x14ac:dyDescent="0.25">
      <c r="A73" s="14">
        <v>45323</v>
      </c>
      <c r="B73" s="13" t="s">
        <v>1786</v>
      </c>
      <c r="C73" s="13" t="s">
        <v>1786</v>
      </c>
      <c r="D73" s="15">
        <v>13225.71</v>
      </c>
    </row>
    <row r="74" spans="1:4" x14ac:dyDescent="0.25">
      <c r="A74" s="11">
        <v>45323</v>
      </c>
      <c r="B74" s="10" t="s">
        <v>1786</v>
      </c>
      <c r="C74" s="10" t="s">
        <v>1795</v>
      </c>
      <c r="D74" s="12">
        <v>3872.77</v>
      </c>
    </row>
    <row r="75" spans="1:4" x14ac:dyDescent="0.25">
      <c r="A75" s="14">
        <v>45323</v>
      </c>
      <c r="B75" s="13" t="s">
        <v>1792</v>
      </c>
      <c r="C75" s="13" t="s">
        <v>1792</v>
      </c>
      <c r="D75" s="15">
        <v>15888.4</v>
      </c>
    </row>
    <row r="76" spans="1:4" x14ac:dyDescent="0.25">
      <c r="A76" s="11">
        <v>45323</v>
      </c>
      <c r="B76" s="10" t="s">
        <v>1877</v>
      </c>
      <c r="C76" s="10" t="s">
        <v>1789</v>
      </c>
      <c r="D76" s="12">
        <v>5563.29</v>
      </c>
    </row>
    <row r="77" spans="1:4" x14ac:dyDescent="0.25">
      <c r="A77" s="14">
        <v>45323</v>
      </c>
      <c r="B77" s="13" t="s">
        <v>1862</v>
      </c>
      <c r="C77" s="13" t="s">
        <v>1786</v>
      </c>
      <c r="D77" s="15">
        <v>7087.8</v>
      </c>
    </row>
    <row r="78" spans="1:4" x14ac:dyDescent="0.25">
      <c r="A78" s="11">
        <v>45323</v>
      </c>
      <c r="B78" s="10" t="s">
        <v>1774</v>
      </c>
      <c r="C78" s="10" t="s">
        <v>1780</v>
      </c>
      <c r="D78" s="12">
        <v>11782.95</v>
      </c>
    </row>
    <row r="79" spans="1:4" x14ac:dyDescent="0.25">
      <c r="A79" s="14">
        <v>45323</v>
      </c>
      <c r="B79" s="13" t="s">
        <v>1877</v>
      </c>
      <c r="C79" s="13" t="s">
        <v>1780</v>
      </c>
      <c r="D79" s="15">
        <v>5563.69</v>
      </c>
    </row>
    <row r="80" spans="1:4" x14ac:dyDescent="0.25">
      <c r="A80" s="11">
        <v>45323</v>
      </c>
      <c r="B80" s="10" t="s">
        <v>1818</v>
      </c>
      <c r="C80" s="10" t="s">
        <v>1795</v>
      </c>
      <c r="D80" s="12">
        <v>2624.65</v>
      </c>
    </row>
    <row r="81" spans="1:4" x14ac:dyDescent="0.25">
      <c r="A81" s="14">
        <v>45323</v>
      </c>
      <c r="B81" s="13" t="s">
        <v>1877</v>
      </c>
      <c r="C81" s="13" t="s">
        <v>1783</v>
      </c>
      <c r="D81" s="15">
        <v>10950.2</v>
      </c>
    </row>
    <row r="82" spans="1:4" x14ac:dyDescent="0.25">
      <c r="A82" s="11">
        <v>45323</v>
      </c>
      <c r="B82" s="10" t="s">
        <v>1862</v>
      </c>
      <c r="C82" s="10" t="s">
        <v>1778</v>
      </c>
      <c r="D82" s="12">
        <v>7543.48</v>
      </c>
    </row>
    <row r="83" spans="1:4" x14ac:dyDescent="0.25">
      <c r="A83" s="14">
        <v>45323</v>
      </c>
      <c r="B83" s="13" t="s">
        <v>1818</v>
      </c>
      <c r="C83" s="13" t="s">
        <v>1786</v>
      </c>
      <c r="D83" s="15">
        <v>6759.52</v>
      </c>
    </row>
    <row r="84" spans="1:4" x14ac:dyDescent="0.25">
      <c r="A84" s="11">
        <v>45323</v>
      </c>
      <c r="B84" s="10" t="s">
        <v>1818</v>
      </c>
      <c r="C84" s="10" t="s">
        <v>1778</v>
      </c>
      <c r="D84" s="12">
        <v>8479.76</v>
      </c>
    </row>
    <row r="85" spans="1:4" x14ac:dyDescent="0.25">
      <c r="A85" s="14">
        <v>45323</v>
      </c>
      <c r="B85" s="13" t="s">
        <v>1799</v>
      </c>
      <c r="C85" s="13" t="s">
        <v>1783</v>
      </c>
      <c r="D85" s="15">
        <v>9079.64</v>
      </c>
    </row>
    <row r="86" spans="1:4" x14ac:dyDescent="0.25">
      <c r="A86" s="11">
        <v>45323</v>
      </c>
      <c r="B86" s="10" t="s">
        <v>1774</v>
      </c>
      <c r="C86" s="10" t="s">
        <v>1792</v>
      </c>
      <c r="D86" s="12">
        <v>18615.98</v>
      </c>
    </row>
    <row r="87" spans="1:4" x14ac:dyDescent="0.25">
      <c r="A87" s="14">
        <v>45323</v>
      </c>
      <c r="B87" s="13" t="s">
        <v>1774</v>
      </c>
      <c r="C87" s="13" t="s">
        <v>1797</v>
      </c>
      <c r="D87" s="15">
        <v>5281.06</v>
      </c>
    </row>
    <row r="88" spans="1:4" x14ac:dyDescent="0.25">
      <c r="A88" s="11">
        <v>45323</v>
      </c>
      <c r="B88" s="10" t="s">
        <v>1786</v>
      </c>
      <c r="C88" s="10" t="s">
        <v>1783</v>
      </c>
      <c r="D88" s="12">
        <v>14333.7</v>
      </c>
    </row>
    <row r="89" spans="1:4" x14ac:dyDescent="0.25">
      <c r="A89" s="14">
        <v>45323</v>
      </c>
      <c r="B89" s="13" t="s">
        <v>1786</v>
      </c>
      <c r="C89" s="13" t="s">
        <v>1778</v>
      </c>
      <c r="D89" s="15">
        <v>16288</v>
      </c>
    </row>
    <row r="90" spans="1:4" x14ac:dyDescent="0.25">
      <c r="A90" s="11">
        <v>45323</v>
      </c>
      <c r="B90" s="10" t="s">
        <v>1877</v>
      </c>
      <c r="C90" s="10" t="s">
        <v>1792</v>
      </c>
      <c r="D90" s="12">
        <v>10652.97</v>
      </c>
    </row>
    <row r="91" spans="1:4" x14ac:dyDescent="0.25">
      <c r="A91" s="14">
        <v>45323</v>
      </c>
      <c r="B91" s="13" t="s">
        <v>1799</v>
      </c>
      <c r="C91" s="13" t="s">
        <v>1780</v>
      </c>
      <c r="D91" s="15">
        <v>5199.32</v>
      </c>
    </row>
    <row r="92" spans="1:4" x14ac:dyDescent="0.25">
      <c r="A92" s="11">
        <v>45323</v>
      </c>
      <c r="B92" s="10" t="s">
        <v>1774</v>
      </c>
      <c r="C92" s="10" t="s">
        <v>1775</v>
      </c>
      <c r="D92" s="12">
        <v>105332.36</v>
      </c>
    </row>
    <row r="93" spans="1:4" x14ac:dyDescent="0.25">
      <c r="A93" s="14">
        <v>45323</v>
      </c>
      <c r="B93" s="13" t="s">
        <v>1862</v>
      </c>
      <c r="C93" s="13" t="s">
        <v>1795</v>
      </c>
      <c r="D93" s="15">
        <v>2243.73</v>
      </c>
    </row>
    <row r="94" spans="1:4" x14ac:dyDescent="0.25">
      <c r="A94" s="11">
        <v>45323</v>
      </c>
      <c r="B94" s="10" t="s">
        <v>1786</v>
      </c>
      <c r="C94" s="10" t="s">
        <v>1797</v>
      </c>
      <c r="D94" s="12">
        <v>4190.8100000000004</v>
      </c>
    </row>
    <row r="95" spans="1:4" x14ac:dyDescent="0.25">
      <c r="A95" s="14">
        <v>45323</v>
      </c>
      <c r="B95" s="13" t="s">
        <v>1792</v>
      </c>
      <c r="C95" s="13" t="s">
        <v>1786</v>
      </c>
      <c r="D95" s="15">
        <v>15986.62</v>
      </c>
    </row>
    <row r="96" spans="1:4" x14ac:dyDescent="0.25">
      <c r="A96" s="11">
        <v>45323</v>
      </c>
      <c r="B96" s="10" t="s">
        <v>1774</v>
      </c>
      <c r="C96" s="10" t="s">
        <v>1783</v>
      </c>
      <c r="D96" s="12">
        <v>13192.28</v>
      </c>
    </row>
    <row r="97" spans="1:4" x14ac:dyDescent="0.25">
      <c r="A97" s="14">
        <v>45323</v>
      </c>
      <c r="B97" s="13" t="s">
        <v>1792</v>
      </c>
      <c r="C97" s="13" t="s">
        <v>1783</v>
      </c>
      <c r="D97" s="15">
        <v>14156.47</v>
      </c>
    </row>
    <row r="98" spans="1:4" x14ac:dyDescent="0.25">
      <c r="A98" s="11">
        <v>45323</v>
      </c>
      <c r="B98" s="10" t="s">
        <v>1877</v>
      </c>
      <c r="C98" s="10" t="s">
        <v>1775</v>
      </c>
      <c r="D98" s="12">
        <v>76097.850000000006</v>
      </c>
    </row>
    <row r="99" spans="1:4" x14ac:dyDescent="0.25">
      <c r="A99" s="14">
        <v>45323</v>
      </c>
      <c r="B99" s="13" t="s">
        <v>1862</v>
      </c>
      <c r="C99" s="13" t="s">
        <v>1783</v>
      </c>
      <c r="D99" s="15">
        <v>8004.88</v>
      </c>
    </row>
    <row r="100" spans="1:4" x14ac:dyDescent="0.25">
      <c r="A100" s="11">
        <v>45323</v>
      </c>
      <c r="B100" s="10" t="s">
        <v>1799</v>
      </c>
      <c r="C100" s="10" t="s">
        <v>1797</v>
      </c>
      <c r="D100" s="12">
        <v>2719.95</v>
      </c>
    </row>
    <row r="101" spans="1:4" x14ac:dyDescent="0.25">
      <c r="A101" s="14">
        <v>45323</v>
      </c>
      <c r="B101" s="13" t="s">
        <v>1799</v>
      </c>
      <c r="C101" s="13" t="s">
        <v>1792</v>
      </c>
      <c r="D101" s="15">
        <v>7486.16</v>
      </c>
    </row>
    <row r="102" spans="1:4" x14ac:dyDescent="0.25">
      <c r="A102" s="11">
        <v>45323</v>
      </c>
      <c r="B102" s="10" t="s">
        <v>1792</v>
      </c>
      <c r="C102" s="10" t="s">
        <v>1775</v>
      </c>
      <c r="D102" s="12">
        <v>101716.32</v>
      </c>
    </row>
    <row r="103" spans="1:4" x14ac:dyDescent="0.25">
      <c r="A103" s="14">
        <v>45323</v>
      </c>
      <c r="B103" s="13" t="s">
        <v>1792</v>
      </c>
      <c r="C103" s="13" t="s">
        <v>1795</v>
      </c>
      <c r="D103" s="15">
        <v>5892.63</v>
      </c>
    </row>
    <row r="104" spans="1:4" x14ac:dyDescent="0.25">
      <c r="A104" s="11">
        <v>45323</v>
      </c>
      <c r="B104" s="10" t="s">
        <v>1774</v>
      </c>
      <c r="C104" s="10" t="s">
        <v>1786</v>
      </c>
      <c r="D104" s="12">
        <v>20890.93</v>
      </c>
    </row>
    <row r="105" spans="1:4" x14ac:dyDescent="0.25">
      <c r="A105" s="14">
        <v>45323</v>
      </c>
      <c r="B105" s="13" t="s">
        <v>1818</v>
      </c>
      <c r="C105" s="13" t="s">
        <v>1792</v>
      </c>
      <c r="D105" s="15">
        <v>7291.05</v>
      </c>
    </row>
    <row r="106" spans="1:4" x14ac:dyDescent="0.25">
      <c r="A106" s="11">
        <v>45323</v>
      </c>
      <c r="B106" s="10" t="s">
        <v>1818</v>
      </c>
      <c r="C106" s="10" t="s">
        <v>1783</v>
      </c>
      <c r="D106" s="12">
        <v>6479.95</v>
      </c>
    </row>
    <row r="107" spans="1:4" x14ac:dyDescent="0.25">
      <c r="A107" s="14">
        <v>45323</v>
      </c>
      <c r="B107" s="13" t="s">
        <v>1786</v>
      </c>
      <c r="C107" s="13" t="s">
        <v>1792</v>
      </c>
      <c r="D107" s="15">
        <v>11761.31</v>
      </c>
    </row>
    <row r="108" spans="1:4" x14ac:dyDescent="0.25">
      <c r="A108" s="11">
        <v>45323</v>
      </c>
      <c r="B108" s="10" t="s">
        <v>1792</v>
      </c>
      <c r="C108" s="10" t="s">
        <v>1789</v>
      </c>
      <c r="D108" s="12">
        <v>8458</v>
      </c>
    </row>
    <row r="109" spans="1:4" x14ac:dyDescent="0.25">
      <c r="A109" s="14">
        <v>45323</v>
      </c>
      <c r="B109" s="13" t="s">
        <v>1877</v>
      </c>
      <c r="C109" s="13" t="s">
        <v>1797</v>
      </c>
      <c r="D109" s="15">
        <v>4009.08</v>
      </c>
    </row>
    <row r="110" spans="1:4" x14ac:dyDescent="0.25">
      <c r="A110" s="11">
        <v>45323</v>
      </c>
      <c r="B110" s="10" t="s">
        <v>1877</v>
      </c>
      <c r="C110" s="10" t="s">
        <v>1795</v>
      </c>
      <c r="D110" s="12">
        <v>4576.2</v>
      </c>
    </row>
    <row r="111" spans="1:4" x14ac:dyDescent="0.25">
      <c r="A111" s="14">
        <v>45323</v>
      </c>
      <c r="B111" s="13" t="s">
        <v>1862</v>
      </c>
      <c r="C111" s="13" t="s">
        <v>1789</v>
      </c>
      <c r="D111" s="15">
        <v>5069.97</v>
      </c>
    </row>
    <row r="112" spans="1:4" x14ac:dyDescent="0.25">
      <c r="A112" s="11">
        <v>45323</v>
      </c>
      <c r="B112" s="10" t="s">
        <v>1818</v>
      </c>
      <c r="C112" s="10" t="s">
        <v>1789</v>
      </c>
      <c r="D112" s="12">
        <v>3649.5</v>
      </c>
    </row>
    <row r="113" spans="1:4" x14ac:dyDescent="0.25">
      <c r="A113" s="14">
        <v>45323</v>
      </c>
      <c r="B113" s="13" t="s">
        <v>1799</v>
      </c>
      <c r="C113" s="13" t="s">
        <v>1778</v>
      </c>
      <c r="D113" s="15">
        <v>7984.65</v>
      </c>
    </row>
    <row r="114" spans="1:4" x14ac:dyDescent="0.25">
      <c r="A114" s="11">
        <v>45323</v>
      </c>
      <c r="B114" s="10" t="s">
        <v>1792</v>
      </c>
      <c r="C114" s="10" t="s">
        <v>1797</v>
      </c>
      <c r="D114" s="12">
        <v>5345.07</v>
      </c>
    </row>
    <row r="115" spans="1:4" x14ac:dyDescent="0.25">
      <c r="A115" s="14">
        <v>45323</v>
      </c>
      <c r="B115" s="13" t="s">
        <v>1862</v>
      </c>
      <c r="C115" s="13" t="s">
        <v>1797</v>
      </c>
      <c r="D115" s="15">
        <v>3144.01</v>
      </c>
    </row>
    <row r="116" spans="1:4" x14ac:dyDescent="0.25">
      <c r="A116" s="11">
        <v>45323</v>
      </c>
      <c r="B116" s="10" t="s">
        <v>1774</v>
      </c>
      <c r="C116" s="10" t="s">
        <v>1789</v>
      </c>
      <c r="D116" s="12">
        <v>11479.95</v>
      </c>
    </row>
    <row r="117" spans="1:4" x14ac:dyDescent="0.25">
      <c r="A117" s="14">
        <v>45323</v>
      </c>
      <c r="B117" s="13" t="s">
        <v>1786</v>
      </c>
      <c r="C117" s="13" t="s">
        <v>1780</v>
      </c>
      <c r="D117" s="15">
        <v>7710.54</v>
      </c>
    </row>
    <row r="118" spans="1:4" x14ac:dyDescent="0.25">
      <c r="A118" s="11">
        <v>45323</v>
      </c>
      <c r="B118" s="10" t="s">
        <v>1877</v>
      </c>
      <c r="C118" s="10" t="s">
        <v>1786</v>
      </c>
      <c r="D118" s="12">
        <v>8993.2999999999993</v>
      </c>
    </row>
    <row r="119" spans="1:4" x14ac:dyDescent="0.25">
      <c r="A119" s="14">
        <v>45323</v>
      </c>
      <c r="B119" s="13" t="s">
        <v>1786</v>
      </c>
      <c r="C119" s="13" t="s">
        <v>1789</v>
      </c>
      <c r="D119" s="15">
        <v>7063.33</v>
      </c>
    </row>
    <row r="120" spans="1:4" x14ac:dyDescent="0.25">
      <c r="A120" s="11">
        <v>45323</v>
      </c>
      <c r="B120" s="10" t="s">
        <v>1862</v>
      </c>
      <c r="C120" s="10" t="s">
        <v>1775</v>
      </c>
      <c r="D120" s="12">
        <v>47081.58</v>
      </c>
    </row>
    <row r="121" spans="1:4" x14ac:dyDescent="0.25">
      <c r="A121" s="14">
        <v>45323</v>
      </c>
      <c r="B121" s="13" t="s">
        <v>1862</v>
      </c>
      <c r="C121" s="13" t="s">
        <v>1780</v>
      </c>
      <c r="D121" s="15">
        <v>4758.59</v>
      </c>
    </row>
    <row r="122" spans="1:4" x14ac:dyDescent="0.25">
      <c r="A122" s="11">
        <v>45323</v>
      </c>
      <c r="B122" s="10" t="s">
        <v>1799</v>
      </c>
      <c r="C122" s="10" t="s">
        <v>1789</v>
      </c>
      <c r="D122" s="12">
        <v>4954.47</v>
      </c>
    </row>
    <row r="123" spans="1:4" x14ac:dyDescent="0.25">
      <c r="A123" s="14">
        <v>45323</v>
      </c>
      <c r="B123" s="13" t="s">
        <v>1774</v>
      </c>
      <c r="C123" s="13" t="s">
        <v>1795</v>
      </c>
      <c r="D123" s="15">
        <v>6180.11</v>
      </c>
    </row>
    <row r="124" spans="1:4" x14ac:dyDescent="0.25">
      <c r="A124" s="11">
        <v>45323</v>
      </c>
      <c r="B124" s="10" t="s">
        <v>1799</v>
      </c>
      <c r="C124" s="10" t="s">
        <v>1775</v>
      </c>
      <c r="D124" s="12">
        <v>54199.15</v>
      </c>
    </row>
    <row r="125" spans="1:4" x14ac:dyDescent="0.25">
      <c r="A125" s="14">
        <v>45323</v>
      </c>
      <c r="B125" s="13" t="s">
        <v>1786</v>
      </c>
      <c r="C125" s="13" t="s">
        <v>1775</v>
      </c>
      <c r="D125" s="15">
        <v>78957.990000000005</v>
      </c>
    </row>
    <row r="126" spans="1:4" x14ac:dyDescent="0.25">
      <c r="A126" s="11">
        <v>45323</v>
      </c>
      <c r="B126" s="10" t="s">
        <v>1818</v>
      </c>
      <c r="C126" s="10" t="s">
        <v>1797</v>
      </c>
      <c r="D126" s="12">
        <v>2477.73</v>
      </c>
    </row>
    <row r="127" spans="1:4" x14ac:dyDescent="0.25">
      <c r="A127" s="14">
        <v>45323</v>
      </c>
      <c r="B127" s="13" t="s">
        <v>1792</v>
      </c>
      <c r="C127" s="13" t="s">
        <v>1780</v>
      </c>
      <c r="D127" s="15">
        <v>10422.14</v>
      </c>
    </row>
    <row r="128" spans="1:4" x14ac:dyDescent="0.25">
      <c r="A128" s="11">
        <v>45352</v>
      </c>
      <c r="B128" s="10" t="s">
        <v>1792</v>
      </c>
      <c r="C128" s="10" t="s">
        <v>1792</v>
      </c>
      <c r="D128" s="12">
        <v>17755.599999999999</v>
      </c>
    </row>
    <row r="129" spans="1:4" x14ac:dyDescent="0.25">
      <c r="A129" s="14">
        <v>45352</v>
      </c>
      <c r="B129" s="13" t="s">
        <v>1877</v>
      </c>
      <c r="C129" s="13" t="s">
        <v>1775</v>
      </c>
      <c r="D129" s="15">
        <v>71569.649999999994</v>
      </c>
    </row>
    <row r="130" spans="1:4" x14ac:dyDescent="0.25">
      <c r="A130" s="11">
        <v>45352</v>
      </c>
      <c r="B130" s="10" t="s">
        <v>1818</v>
      </c>
      <c r="C130" s="10" t="s">
        <v>1789</v>
      </c>
      <c r="D130" s="12">
        <v>3785.38</v>
      </c>
    </row>
    <row r="131" spans="1:4" x14ac:dyDescent="0.25">
      <c r="A131" s="14">
        <v>45352</v>
      </c>
      <c r="B131" s="13" t="s">
        <v>1786</v>
      </c>
      <c r="C131" s="13" t="s">
        <v>1789</v>
      </c>
      <c r="D131" s="15">
        <v>8814.49</v>
      </c>
    </row>
    <row r="132" spans="1:4" x14ac:dyDescent="0.25">
      <c r="A132" s="11">
        <v>45352</v>
      </c>
      <c r="B132" s="10" t="s">
        <v>1786</v>
      </c>
      <c r="C132" s="10" t="s">
        <v>1780</v>
      </c>
      <c r="D132" s="12">
        <v>7767.17</v>
      </c>
    </row>
    <row r="133" spans="1:4" x14ac:dyDescent="0.25">
      <c r="A133" s="14">
        <v>45352</v>
      </c>
      <c r="B133" s="13" t="s">
        <v>1877</v>
      </c>
      <c r="C133" s="13" t="s">
        <v>1792</v>
      </c>
      <c r="D133" s="15">
        <v>9980.9599999999991</v>
      </c>
    </row>
    <row r="134" spans="1:4" x14ac:dyDescent="0.25">
      <c r="A134" s="11">
        <v>45352</v>
      </c>
      <c r="B134" s="10" t="s">
        <v>1877</v>
      </c>
      <c r="C134" s="10" t="s">
        <v>1778</v>
      </c>
      <c r="D134" s="12">
        <v>17683.55</v>
      </c>
    </row>
    <row r="135" spans="1:4" x14ac:dyDescent="0.25">
      <c r="A135" s="14">
        <v>45352</v>
      </c>
      <c r="B135" s="13" t="s">
        <v>1799</v>
      </c>
      <c r="C135" s="13" t="s">
        <v>1783</v>
      </c>
      <c r="D135" s="15">
        <v>6327.42</v>
      </c>
    </row>
    <row r="136" spans="1:4" x14ac:dyDescent="0.25">
      <c r="A136" s="11">
        <v>45352</v>
      </c>
      <c r="B136" s="10" t="s">
        <v>1774</v>
      </c>
      <c r="C136" s="10" t="s">
        <v>1792</v>
      </c>
      <c r="D136" s="12">
        <v>16282.08</v>
      </c>
    </row>
    <row r="137" spans="1:4" x14ac:dyDescent="0.25">
      <c r="A137" s="14">
        <v>45352</v>
      </c>
      <c r="B137" s="13" t="s">
        <v>1774</v>
      </c>
      <c r="C137" s="13" t="s">
        <v>1778</v>
      </c>
      <c r="D137" s="15">
        <v>23304.57</v>
      </c>
    </row>
    <row r="138" spans="1:4" x14ac:dyDescent="0.25">
      <c r="A138" s="11">
        <v>45352</v>
      </c>
      <c r="B138" s="10" t="s">
        <v>1818</v>
      </c>
      <c r="C138" s="10" t="s">
        <v>1795</v>
      </c>
      <c r="D138" s="12">
        <v>2805.98</v>
      </c>
    </row>
    <row r="139" spans="1:4" x14ac:dyDescent="0.25">
      <c r="A139" s="14">
        <v>45352</v>
      </c>
      <c r="B139" s="13" t="s">
        <v>1877</v>
      </c>
      <c r="C139" s="13" t="s">
        <v>1797</v>
      </c>
      <c r="D139" s="15">
        <v>5062.16</v>
      </c>
    </row>
    <row r="140" spans="1:4" x14ac:dyDescent="0.25">
      <c r="A140" s="11">
        <v>45352</v>
      </c>
      <c r="B140" s="10" t="s">
        <v>1818</v>
      </c>
      <c r="C140" s="10" t="s">
        <v>1780</v>
      </c>
      <c r="D140" s="12">
        <v>4170.22</v>
      </c>
    </row>
    <row r="141" spans="1:4" x14ac:dyDescent="0.25">
      <c r="A141" s="14">
        <v>45352</v>
      </c>
      <c r="B141" s="13" t="s">
        <v>1786</v>
      </c>
      <c r="C141" s="13" t="s">
        <v>1775</v>
      </c>
      <c r="D141" s="15">
        <v>75080.56</v>
      </c>
    </row>
    <row r="142" spans="1:4" x14ac:dyDescent="0.25">
      <c r="A142" s="11">
        <v>45352</v>
      </c>
      <c r="B142" s="10" t="s">
        <v>1792</v>
      </c>
      <c r="C142" s="10" t="s">
        <v>1797</v>
      </c>
      <c r="D142" s="12">
        <v>5835.27</v>
      </c>
    </row>
    <row r="143" spans="1:4" x14ac:dyDescent="0.25">
      <c r="A143" s="14">
        <v>45352</v>
      </c>
      <c r="B143" s="13" t="s">
        <v>1877</v>
      </c>
      <c r="C143" s="13" t="s">
        <v>1795</v>
      </c>
      <c r="D143" s="15">
        <v>4611.8500000000004</v>
      </c>
    </row>
    <row r="144" spans="1:4" x14ac:dyDescent="0.25">
      <c r="A144" s="11">
        <v>45352</v>
      </c>
      <c r="B144" s="10" t="s">
        <v>1786</v>
      </c>
      <c r="C144" s="10" t="s">
        <v>1786</v>
      </c>
      <c r="D144" s="12">
        <v>13117.53</v>
      </c>
    </row>
    <row r="145" spans="1:4" x14ac:dyDescent="0.25">
      <c r="A145" s="14">
        <v>45352</v>
      </c>
      <c r="B145" s="13" t="s">
        <v>1792</v>
      </c>
      <c r="C145" s="13" t="s">
        <v>1775</v>
      </c>
      <c r="D145" s="15">
        <v>103529.26</v>
      </c>
    </row>
    <row r="146" spans="1:4" x14ac:dyDescent="0.25">
      <c r="A146" s="11">
        <v>45352</v>
      </c>
      <c r="B146" s="10" t="s">
        <v>1862</v>
      </c>
      <c r="C146" s="10" t="s">
        <v>1775</v>
      </c>
      <c r="D146" s="12">
        <v>41486.230000000003</v>
      </c>
    </row>
    <row r="147" spans="1:4" x14ac:dyDescent="0.25">
      <c r="A147" s="14">
        <v>45352</v>
      </c>
      <c r="B147" s="13" t="s">
        <v>1774</v>
      </c>
      <c r="C147" s="13" t="s">
        <v>1775</v>
      </c>
      <c r="D147" s="15">
        <v>119414.55</v>
      </c>
    </row>
    <row r="148" spans="1:4" x14ac:dyDescent="0.25">
      <c r="A148" s="11">
        <v>45352</v>
      </c>
      <c r="B148" s="10" t="s">
        <v>1877</v>
      </c>
      <c r="C148" s="10" t="s">
        <v>1780</v>
      </c>
      <c r="D148" s="12">
        <v>6149.24</v>
      </c>
    </row>
    <row r="149" spans="1:4" x14ac:dyDescent="0.25">
      <c r="A149" s="14">
        <v>45352</v>
      </c>
      <c r="B149" s="13" t="s">
        <v>1862</v>
      </c>
      <c r="C149" s="13" t="s">
        <v>1778</v>
      </c>
      <c r="D149" s="15">
        <v>10426.299999999999</v>
      </c>
    </row>
    <row r="150" spans="1:4" x14ac:dyDescent="0.25">
      <c r="A150" s="11">
        <v>45352</v>
      </c>
      <c r="B150" s="10" t="s">
        <v>1818</v>
      </c>
      <c r="C150" s="10" t="s">
        <v>1783</v>
      </c>
      <c r="D150" s="12">
        <v>6579.6</v>
      </c>
    </row>
    <row r="151" spans="1:4" x14ac:dyDescent="0.25">
      <c r="A151" s="14">
        <v>45352</v>
      </c>
      <c r="B151" s="13" t="s">
        <v>1799</v>
      </c>
      <c r="C151" s="13" t="s">
        <v>1775</v>
      </c>
      <c r="D151" s="15">
        <v>47078.82</v>
      </c>
    </row>
    <row r="152" spans="1:4" x14ac:dyDescent="0.25">
      <c r="A152" s="11">
        <v>45352</v>
      </c>
      <c r="B152" s="10" t="s">
        <v>1774</v>
      </c>
      <c r="C152" s="10" t="s">
        <v>1780</v>
      </c>
      <c r="D152" s="12">
        <v>9336.68</v>
      </c>
    </row>
    <row r="153" spans="1:4" x14ac:dyDescent="0.25">
      <c r="A153" s="14">
        <v>45352</v>
      </c>
      <c r="B153" s="13" t="s">
        <v>1786</v>
      </c>
      <c r="C153" s="13" t="s">
        <v>1783</v>
      </c>
      <c r="D153" s="15">
        <v>10401.41</v>
      </c>
    </row>
    <row r="154" spans="1:4" x14ac:dyDescent="0.25">
      <c r="A154" s="11">
        <v>45352</v>
      </c>
      <c r="B154" s="10" t="s">
        <v>1818</v>
      </c>
      <c r="C154" s="10" t="s">
        <v>1797</v>
      </c>
      <c r="D154" s="12">
        <v>2237.1799999999998</v>
      </c>
    </row>
    <row r="155" spans="1:4" x14ac:dyDescent="0.25">
      <c r="A155" s="14">
        <v>45352</v>
      </c>
      <c r="B155" s="13" t="s">
        <v>1799</v>
      </c>
      <c r="C155" s="13" t="s">
        <v>1778</v>
      </c>
      <c r="D155" s="15">
        <v>10555.31</v>
      </c>
    </row>
    <row r="156" spans="1:4" x14ac:dyDescent="0.25">
      <c r="A156" s="11">
        <v>45352</v>
      </c>
      <c r="B156" s="10" t="s">
        <v>1786</v>
      </c>
      <c r="C156" s="10" t="s">
        <v>1778</v>
      </c>
      <c r="D156" s="12">
        <v>13013.55</v>
      </c>
    </row>
    <row r="157" spans="1:4" x14ac:dyDescent="0.25">
      <c r="A157" s="14">
        <v>45352</v>
      </c>
      <c r="B157" s="13" t="s">
        <v>1799</v>
      </c>
      <c r="C157" s="13" t="s">
        <v>1789</v>
      </c>
      <c r="D157" s="15">
        <v>4881.88</v>
      </c>
    </row>
    <row r="158" spans="1:4" x14ac:dyDescent="0.25">
      <c r="A158" s="11">
        <v>45352</v>
      </c>
      <c r="B158" s="10" t="s">
        <v>1799</v>
      </c>
      <c r="C158" s="10" t="s">
        <v>1786</v>
      </c>
      <c r="D158" s="12">
        <v>8237.2099999999991</v>
      </c>
    </row>
    <row r="159" spans="1:4" x14ac:dyDescent="0.25">
      <c r="A159" s="14">
        <v>45352</v>
      </c>
      <c r="B159" s="13" t="s">
        <v>1877</v>
      </c>
      <c r="C159" s="13" t="s">
        <v>1789</v>
      </c>
      <c r="D159" s="15">
        <v>5739.79</v>
      </c>
    </row>
    <row r="160" spans="1:4" x14ac:dyDescent="0.25">
      <c r="A160" s="11">
        <v>45352</v>
      </c>
      <c r="B160" s="10" t="s">
        <v>1818</v>
      </c>
      <c r="C160" s="10" t="s">
        <v>1778</v>
      </c>
      <c r="D160" s="12">
        <v>8723.73</v>
      </c>
    </row>
    <row r="161" spans="1:4" x14ac:dyDescent="0.25">
      <c r="A161" s="14">
        <v>45352</v>
      </c>
      <c r="B161" s="13" t="s">
        <v>1799</v>
      </c>
      <c r="C161" s="13" t="s">
        <v>1797</v>
      </c>
      <c r="D161" s="15">
        <v>3008.18</v>
      </c>
    </row>
    <row r="162" spans="1:4" x14ac:dyDescent="0.25">
      <c r="A162" s="11">
        <v>45352</v>
      </c>
      <c r="B162" s="10" t="s">
        <v>1818</v>
      </c>
      <c r="C162" s="10" t="s">
        <v>1792</v>
      </c>
      <c r="D162" s="12">
        <v>6312.86</v>
      </c>
    </row>
    <row r="163" spans="1:4" x14ac:dyDescent="0.25">
      <c r="A163" s="14">
        <v>45352</v>
      </c>
      <c r="B163" s="13" t="s">
        <v>1774</v>
      </c>
      <c r="C163" s="13" t="s">
        <v>1797</v>
      </c>
      <c r="D163" s="15">
        <v>7067.92</v>
      </c>
    </row>
    <row r="164" spans="1:4" x14ac:dyDescent="0.25">
      <c r="A164" s="11">
        <v>45352</v>
      </c>
      <c r="B164" s="10" t="s">
        <v>1774</v>
      </c>
      <c r="C164" s="10" t="s">
        <v>1795</v>
      </c>
      <c r="D164" s="12">
        <v>7522.04</v>
      </c>
    </row>
    <row r="165" spans="1:4" x14ac:dyDescent="0.25">
      <c r="A165" s="14">
        <v>45352</v>
      </c>
      <c r="B165" s="13" t="s">
        <v>1792</v>
      </c>
      <c r="C165" s="13" t="s">
        <v>1786</v>
      </c>
      <c r="D165" s="15">
        <v>17658.34</v>
      </c>
    </row>
    <row r="166" spans="1:4" x14ac:dyDescent="0.25">
      <c r="A166" s="11">
        <v>45352</v>
      </c>
      <c r="B166" s="10" t="s">
        <v>1799</v>
      </c>
      <c r="C166" s="10" t="s">
        <v>1780</v>
      </c>
      <c r="D166" s="12">
        <v>4335.5600000000004</v>
      </c>
    </row>
    <row r="167" spans="1:4" x14ac:dyDescent="0.25">
      <c r="A167" s="14">
        <v>45352</v>
      </c>
      <c r="B167" s="13" t="s">
        <v>1792</v>
      </c>
      <c r="C167" s="13" t="s">
        <v>1778</v>
      </c>
      <c r="D167" s="15">
        <v>17092.64</v>
      </c>
    </row>
    <row r="168" spans="1:4" x14ac:dyDescent="0.25">
      <c r="A168" s="11">
        <v>45352</v>
      </c>
      <c r="B168" s="10" t="s">
        <v>1862</v>
      </c>
      <c r="C168" s="10" t="s">
        <v>1786</v>
      </c>
      <c r="D168" s="12">
        <v>7625.43</v>
      </c>
    </row>
    <row r="169" spans="1:4" x14ac:dyDescent="0.25">
      <c r="A169" s="14">
        <v>45352</v>
      </c>
      <c r="B169" s="13" t="s">
        <v>1818</v>
      </c>
      <c r="C169" s="13" t="s">
        <v>1786</v>
      </c>
      <c r="D169" s="15">
        <v>7595.38</v>
      </c>
    </row>
    <row r="170" spans="1:4" x14ac:dyDescent="0.25">
      <c r="A170" s="11">
        <v>45352</v>
      </c>
      <c r="B170" s="10" t="s">
        <v>1799</v>
      </c>
      <c r="C170" s="10" t="s">
        <v>1792</v>
      </c>
      <c r="D170" s="12">
        <v>7194.59</v>
      </c>
    </row>
    <row r="171" spans="1:4" x14ac:dyDescent="0.25">
      <c r="A171" s="14">
        <v>45352</v>
      </c>
      <c r="B171" s="13" t="s">
        <v>1877</v>
      </c>
      <c r="C171" s="13" t="s">
        <v>1786</v>
      </c>
      <c r="D171" s="15">
        <v>11510.48</v>
      </c>
    </row>
    <row r="172" spans="1:4" x14ac:dyDescent="0.25">
      <c r="A172" s="11">
        <v>45352</v>
      </c>
      <c r="B172" s="10" t="s">
        <v>1862</v>
      </c>
      <c r="C172" s="10" t="s">
        <v>1792</v>
      </c>
      <c r="D172" s="12">
        <v>6979.43</v>
      </c>
    </row>
    <row r="173" spans="1:4" x14ac:dyDescent="0.25">
      <c r="A173" s="14">
        <v>45352</v>
      </c>
      <c r="B173" s="13" t="s">
        <v>1862</v>
      </c>
      <c r="C173" s="13" t="s">
        <v>1795</v>
      </c>
      <c r="D173" s="15">
        <v>2583.2800000000002</v>
      </c>
    </row>
    <row r="174" spans="1:4" x14ac:dyDescent="0.25">
      <c r="A174" s="11">
        <v>45352</v>
      </c>
      <c r="B174" s="10" t="s">
        <v>1818</v>
      </c>
      <c r="C174" s="10" t="s">
        <v>1775</v>
      </c>
      <c r="D174" s="12">
        <v>49345.77</v>
      </c>
    </row>
    <row r="175" spans="1:4" x14ac:dyDescent="0.25">
      <c r="A175" s="14">
        <v>45352</v>
      </c>
      <c r="B175" s="13" t="s">
        <v>1799</v>
      </c>
      <c r="C175" s="13" t="s">
        <v>1795</v>
      </c>
      <c r="D175" s="15">
        <v>2947.1</v>
      </c>
    </row>
    <row r="176" spans="1:4" x14ac:dyDescent="0.25">
      <c r="A176" s="11">
        <v>45352</v>
      </c>
      <c r="B176" s="10" t="s">
        <v>1792</v>
      </c>
      <c r="C176" s="10" t="s">
        <v>1783</v>
      </c>
      <c r="D176" s="12">
        <v>15272.85</v>
      </c>
    </row>
    <row r="177" spans="1:4" x14ac:dyDescent="0.25">
      <c r="A177" s="14">
        <v>45352</v>
      </c>
      <c r="B177" s="13" t="s">
        <v>1862</v>
      </c>
      <c r="C177" s="13" t="s">
        <v>1797</v>
      </c>
      <c r="D177" s="15">
        <v>2785.29</v>
      </c>
    </row>
    <row r="178" spans="1:4" x14ac:dyDescent="0.25">
      <c r="A178" s="11">
        <v>45352</v>
      </c>
      <c r="B178" s="10" t="s">
        <v>1862</v>
      </c>
      <c r="C178" s="10" t="s">
        <v>1783</v>
      </c>
      <c r="D178" s="12">
        <v>7398.96</v>
      </c>
    </row>
    <row r="179" spans="1:4" x14ac:dyDescent="0.25">
      <c r="A179" s="14">
        <v>45352</v>
      </c>
      <c r="B179" s="13" t="s">
        <v>1774</v>
      </c>
      <c r="C179" s="13" t="s">
        <v>1789</v>
      </c>
      <c r="D179" s="15">
        <v>10522.82</v>
      </c>
    </row>
    <row r="180" spans="1:4" x14ac:dyDescent="0.25">
      <c r="A180" s="11">
        <v>45352</v>
      </c>
      <c r="B180" s="10" t="s">
        <v>1786</v>
      </c>
      <c r="C180" s="10" t="s">
        <v>1792</v>
      </c>
      <c r="D180" s="12">
        <v>15605.43</v>
      </c>
    </row>
    <row r="181" spans="1:4" x14ac:dyDescent="0.25">
      <c r="A181" s="14">
        <v>45352</v>
      </c>
      <c r="B181" s="13" t="s">
        <v>1786</v>
      </c>
      <c r="C181" s="13" t="s">
        <v>1795</v>
      </c>
      <c r="D181" s="15">
        <v>4393.09</v>
      </c>
    </row>
    <row r="182" spans="1:4" x14ac:dyDescent="0.25">
      <c r="A182" s="11">
        <v>45352</v>
      </c>
      <c r="B182" s="10" t="s">
        <v>1792</v>
      </c>
      <c r="C182" s="10" t="s">
        <v>1789</v>
      </c>
      <c r="D182" s="12">
        <v>8585.8700000000008</v>
      </c>
    </row>
    <row r="183" spans="1:4" x14ac:dyDescent="0.25">
      <c r="A183" s="14">
        <v>45352</v>
      </c>
      <c r="B183" s="13" t="s">
        <v>1862</v>
      </c>
      <c r="C183" s="13" t="s">
        <v>1789</v>
      </c>
      <c r="D183" s="15">
        <v>5066.47</v>
      </c>
    </row>
    <row r="184" spans="1:4" x14ac:dyDescent="0.25">
      <c r="A184" s="11">
        <v>45352</v>
      </c>
      <c r="B184" s="10" t="s">
        <v>1774</v>
      </c>
      <c r="C184" s="10" t="s">
        <v>1783</v>
      </c>
      <c r="D184" s="12">
        <v>14911.47</v>
      </c>
    </row>
    <row r="185" spans="1:4" x14ac:dyDescent="0.25">
      <c r="A185" s="14">
        <v>45352</v>
      </c>
      <c r="B185" s="13" t="s">
        <v>1792</v>
      </c>
      <c r="C185" s="13" t="s">
        <v>1780</v>
      </c>
      <c r="D185" s="15">
        <v>9617.66</v>
      </c>
    </row>
    <row r="186" spans="1:4" x14ac:dyDescent="0.25">
      <c r="A186" s="11">
        <v>45352</v>
      </c>
      <c r="B186" s="10" t="s">
        <v>1862</v>
      </c>
      <c r="C186" s="10" t="s">
        <v>1780</v>
      </c>
      <c r="D186" s="12">
        <v>4341.24</v>
      </c>
    </row>
    <row r="187" spans="1:4" x14ac:dyDescent="0.25">
      <c r="A187" s="14">
        <v>45352</v>
      </c>
      <c r="B187" s="13" t="s">
        <v>1786</v>
      </c>
      <c r="C187" s="13" t="s">
        <v>1797</v>
      </c>
      <c r="D187" s="15">
        <v>5127.57</v>
      </c>
    </row>
    <row r="188" spans="1:4" x14ac:dyDescent="0.25">
      <c r="A188" s="11">
        <v>45352</v>
      </c>
      <c r="B188" s="10" t="s">
        <v>1774</v>
      </c>
      <c r="C188" s="10" t="s">
        <v>1786</v>
      </c>
      <c r="D188" s="12">
        <v>19426.09</v>
      </c>
    </row>
    <row r="189" spans="1:4" x14ac:dyDescent="0.25">
      <c r="A189" s="14">
        <v>45352</v>
      </c>
      <c r="B189" s="13" t="s">
        <v>1792</v>
      </c>
      <c r="C189" s="13" t="s">
        <v>1795</v>
      </c>
      <c r="D189" s="15">
        <v>5492.56</v>
      </c>
    </row>
    <row r="190" spans="1:4" x14ac:dyDescent="0.25">
      <c r="A190" s="11">
        <v>45352</v>
      </c>
      <c r="B190" s="10" t="s">
        <v>1877</v>
      </c>
      <c r="C190" s="10" t="s">
        <v>1783</v>
      </c>
      <c r="D190" s="12">
        <v>11344.24</v>
      </c>
    </row>
    <row r="191" spans="1:4" x14ac:dyDescent="0.25">
      <c r="A191" s="14">
        <v>45383</v>
      </c>
      <c r="B191" s="13" t="s">
        <v>1862</v>
      </c>
      <c r="C191" s="13" t="s">
        <v>1786</v>
      </c>
      <c r="D191" s="15">
        <v>7551.72</v>
      </c>
    </row>
    <row r="192" spans="1:4" x14ac:dyDescent="0.25">
      <c r="A192" s="11">
        <v>45383</v>
      </c>
      <c r="B192" s="10" t="s">
        <v>1818</v>
      </c>
      <c r="C192" s="10" t="s">
        <v>1786</v>
      </c>
      <c r="D192" s="12">
        <v>7372.74</v>
      </c>
    </row>
    <row r="193" spans="1:4" x14ac:dyDescent="0.25">
      <c r="A193" s="14">
        <v>45383</v>
      </c>
      <c r="B193" s="13" t="s">
        <v>1799</v>
      </c>
      <c r="C193" s="13" t="s">
        <v>1780</v>
      </c>
      <c r="D193" s="15">
        <v>4338.51</v>
      </c>
    </row>
    <row r="194" spans="1:4" x14ac:dyDescent="0.25">
      <c r="A194" s="11">
        <v>45383</v>
      </c>
      <c r="B194" s="10" t="s">
        <v>1792</v>
      </c>
      <c r="C194" s="10" t="s">
        <v>1775</v>
      </c>
      <c r="D194" s="12">
        <v>104776.04</v>
      </c>
    </row>
    <row r="195" spans="1:4" x14ac:dyDescent="0.25">
      <c r="A195" s="14">
        <v>45383</v>
      </c>
      <c r="B195" s="13" t="s">
        <v>1877</v>
      </c>
      <c r="C195" s="13" t="s">
        <v>1786</v>
      </c>
      <c r="D195" s="15">
        <v>10983.16</v>
      </c>
    </row>
    <row r="196" spans="1:4" x14ac:dyDescent="0.25">
      <c r="A196" s="11">
        <v>45383</v>
      </c>
      <c r="B196" s="10" t="s">
        <v>1799</v>
      </c>
      <c r="C196" s="10" t="s">
        <v>1792</v>
      </c>
      <c r="D196" s="12">
        <v>7691.4</v>
      </c>
    </row>
    <row r="197" spans="1:4" x14ac:dyDescent="0.25">
      <c r="A197" s="14">
        <v>45383</v>
      </c>
      <c r="B197" s="13" t="s">
        <v>1774</v>
      </c>
      <c r="C197" s="13" t="s">
        <v>1780</v>
      </c>
      <c r="D197" s="15">
        <v>12606.62</v>
      </c>
    </row>
    <row r="198" spans="1:4" x14ac:dyDescent="0.25">
      <c r="A198" s="11">
        <v>45383</v>
      </c>
      <c r="B198" s="10" t="s">
        <v>1786</v>
      </c>
      <c r="C198" s="10" t="s">
        <v>1780</v>
      </c>
      <c r="D198" s="12">
        <v>7499.55</v>
      </c>
    </row>
    <row r="199" spans="1:4" x14ac:dyDescent="0.25">
      <c r="A199" s="14">
        <v>45383</v>
      </c>
      <c r="B199" s="13" t="s">
        <v>1774</v>
      </c>
      <c r="C199" s="13" t="s">
        <v>1789</v>
      </c>
      <c r="D199" s="15">
        <v>14288.39</v>
      </c>
    </row>
    <row r="200" spans="1:4" x14ac:dyDescent="0.25">
      <c r="A200" s="11">
        <v>45383</v>
      </c>
      <c r="B200" s="10" t="s">
        <v>1786</v>
      </c>
      <c r="C200" s="10" t="s">
        <v>1792</v>
      </c>
      <c r="D200" s="12">
        <v>12080.6</v>
      </c>
    </row>
    <row r="201" spans="1:4" x14ac:dyDescent="0.25">
      <c r="A201" s="14">
        <v>45383</v>
      </c>
      <c r="B201" s="13" t="s">
        <v>1786</v>
      </c>
      <c r="C201" s="13" t="s">
        <v>1795</v>
      </c>
      <c r="D201" s="15">
        <v>4328.8500000000004</v>
      </c>
    </row>
    <row r="202" spans="1:4" x14ac:dyDescent="0.25">
      <c r="A202" s="11">
        <v>45383</v>
      </c>
      <c r="B202" s="10" t="s">
        <v>1862</v>
      </c>
      <c r="C202" s="10" t="s">
        <v>1775</v>
      </c>
      <c r="D202" s="12">
        <v>47862.77</v>
      </c>
    </row>
    <row r="203" spans="1:4" x14ac:dyDescent="0.25">
      <c r="A203" s="14">
        <v>45383</v>
      </c>
      <c r="B203" s="13" t="s">
        <v>1818</v>
      </c>
      <c r="C203" s="13" t="s">
        <v>1783</v>
      </c>
      <c r="D203" s="15">
        <v>7825.45</v>
      </c>
    </row>
    <row r="204" spans="1:4" x14ac:dyDescent="0.25">
      <c r="A204" s="11">
        <v>45383</v>
      </c>
      <c r="B204" s="10" t="s">
        <v>1799</v>
      </c>
      <c r="C204" s="10" t="s">
        <v>1789</v>
      </c>
      <c r="D204" s="12">
        <v>4010.07</v>
      </c>
    </row>
    <row r="205" spans="1:4" x14ac:dyDescent="0.25">
      <c r="A205" s="14">
        <v>45383</v>
      </c>
      <c r="B205" s="13" t="s">
        <v>1774</v>
      </c>
      <c r="C205" s="13" t="s">
        <v>1783</v>
      </c>
      <c r="D205" s="15">
        <v>19551.25</v>
      </c>
    </row>
    <row r="206" spans="1:4" x14ac:dyDescent="0.25">
      <c r="A206" s="11">
        <v>45383</v>
      </c>
      <c r="B206" s="10" t="s">
        <v>1792</v>
      </c>
      <c r="C206" s="10" t="s">
        <v>1792</v>
      </c>
      <c r="D206" s="12">
        <v>19074.900000000001</v>
      </c>
    </row>
    <row r="207" spans="1:4" x14ac:dyDescent="0.25">
      <c r="A207" s="14">
        <v>45383</v>
      </c>
      <c r="B207" s="13" t="s">
        <v>1862</v>
      </c>
      <c r="C207" s="13" t="s">
        <v>1789</v>
      </c>
      <c r="D207" s="15">
        <v>4573.3999999999996</v>
      </c>
    </row>
    <row r="208" spans="1:4" x14ac:dyDescent="0.25">
      <c r="A208" s="11">
        <v>45383</v>
      </c>
      <c r="B208" s="10" t="s">
        <v>1792</v>
      </c>
      <c r="C208" s="10" t="s">
        <v>1789</v>
      </c>
      <c r="D208" s="12">
        <v>8387.16</v>
      </c>
    </row>
    <row r="209" spans="1:4" x14ac:dyDescent="0.25">
      <c r="A209" s="14">
        <v>45383</v>
      </c>
      <c r="B209" s="13" t="s">
        <v>1877</v>
      </c>
      <c r="C209" s="13" t="s">
        <v>1795</v>
      </c>
      <c r="D209" s="15">
        <v>3516.35</v>
      </c>
    </row>
    <row r="210" spans="1:4" x14ac:dyDescent="0.25">
      <c r="A210" s="11">
        <v>45383</v>
      </c>
      <c r="B210" s="10" t="s">
        <v>1818</v>
      </c>
      <c r="C210" s="10" t="s">
        <v>1795</v>
      </c>
      <c r="D210" s="12">
        <v>2265.2800000000002</v>
      </c>
    </row>
    <row r="211" spans="1:4" x14ac:dyDescent="0.25">
      <c r="A211" s="14">
        <v>45383</v>
      </c>
      <c r="B211" s="13" t="s">
        <v>1786</v>
      </c>
      <c r="C211" s="13" t="s">
        <v>1786</v>
      </c>
      <c r="D211" s="15">
        <v>13850.61</v>
      </c>
    </row>
    <row r="212" spans="1:4" x14ac:dyDescent="0.25">
      <c r="A212" s="11">
        <v>45383</v>
      </c>
      <c r="B212" s="10" t="s">
        <v>1786</v>
      </c>
      <c r="C212" s="10" t="s">
        <v>1775</v>
      </c>
      <c r="D212" s="12">
        <v>91583.92</v>
      </c>
    </row>
    <row r="213" spans="1:4" x14ac:dyDescent="0.25">
      <c r="A213" s="14">
        <v>45383</v>
      </c>
      <c r="B213" s="13" t="s">
        <v>1877</v>
      </c>
      <c r="C213" s="13" t="s">
        <v>1775</v>
      </c>
      <c r="D213" s="15">
        <v>61318.19</v>
      </c>
    </row>
    <row r="214" spans="1:4" x14ac:dyDescent="0.25">
      <c r="A214" s="11">
        <v>45383</v>
      </c>
      <c r="B214" s="10" t="s">
        <v>1774</v>
      </c>
      <c r="C214" s="10" t="s">
        <v>1797</v>
      </c>
      <c r="D214" s="12">
        <v>5259.24</v>
      </c>
    </row>
    <row r="215" spans="1:4" x14ac:dyDescent="0.25">
      <c r="A215" s="14">
        <v>45383</v>
      </c>
      <c r="B215" s="13" t="s">
        <v>1792</v>
      </c>
      <c r="C215" s="13" t="s">
        <v>1783</v>
      </c>
      <c r="D215" s="15">
        <v>16145.11</v>
      </c>
    </row>
    <row r="216" spans="1:4" x14ac:dyDescent="0.25">
      <c r="A216" s="11">
        <v>45383</v>
      </c>
      <c r="B216" s="10" t="s">
        <v>1792</v>
      </c>
      <c r="C216" s="10" t="s">
        <v>1780</v>
      </c>
      <c r="D216" s="12">
        <v>9614.0499999999993</v>
      </c>
    </row>
    <row r="217" spans="1:4" x14ac:dyDescent="0.25">
      <c r="A217" s="14">
        <v>45383</v>
      </c>
      <c r="B217" s="13" t="s">
        <v>1877</v>
      </c>
      <c r="C217" s="13" t="s">
        <v>1792</v>
      </c>
      <c r="D217" s="15">
        <v>11338.01</v>
      </c>
    </row>
    <row r="218" spans="1:4" x14ac:dyDescent="0.25">
      <c r="A218" s="11">
        <v>45383</v>
      </c>
      <c r="B218" s="10" t="s">
        <v>1877</v>
      </c>
      <c r="C218" s="10" t="s">
        <v>1780</v>
      </c>
      <c r="D218" s="12">
        <v>6826.42</v>
      </c>
    </row>
    <row r="219" spans="1:4" x14ac:dyDescent="0.25">
      <c r="A219" s="14">
        <v>45383</v>
      </c>
      <c r="B219" s="13" t="s">
        <v>1818</v>
      </c>
      <c r="C219" s="13" t="s">
        <v>1775</v>
      </c>
      <c r="D219" s="15">
        <v>37314.39</v>
      </c>
    </row>
    <row r="220" spans="1:4" x14ac:dyDescent="0.25">
      <c r="A220" s="11">
        <v>45383</v>
      </c>
      <c r="B220" s="10" t="s">
        <v>1818</v>
      </c>
      <c r="C220" s="10" t="s">
        <v>1789</v>
      </c>
      <c r="D220" s="12">
        <v>3276.48</v>
      </c>
    </row>
    <row r="221" spans="1:4" x14ac:dyDescent="0.25">
      <c r="A221" s="14">
        <v>45383</v>
      </c>
      <c r="B221" s="13" t="s">
        <v>1792</v>
      </c>
      <c r="C221" s="13" t="s">
        <v>1786</v>
      </c>
      <c r="D221" s="15">
        <v>14432.24</v>
      </c>
    </row>
    <row r="222" spans="1:4" x14ac:dyDescent="0.25">
      <c r="A222" s="11">
        <v>45383</v>
      </c>
      <c r="B222" s="10" t="s">
        <v>1862</v>
      </c>
      <c r="C222" s="10" t="s">
        <v>1783</v>
      </c>
      <c r="D222" s="12">
        <v>7659.2</v>
      </c>
    </row>
    <row r="223" spans="1:4" x14ac:dyDescent="0.25">
      <c r="A223" s="14">
        <v>45383</v>
      </c>
      <c r="B223" s="13" t="s">
        <v>1818</v>
      </c>
      <c r="C223" s="13" t="s">
        <v>1797</v>
      </c>
      <c r="D223" s="15">
        <v>2741.47</v>
      </c>
    </row>
    <row r="224" spans="1:4" x14ac:dyDescent="0.25">
      <c r="A224" s="11">
        <v>45383</v>
      </c>
      <c r="B224" s="10" t="s">
        <v>1818</v>
      </c>
      <c r="C224" s="10" t="s">
        <v>1778</v>
      </c>
      <c r="D224" s="12">
        <v>6625.15</v>
      </c>
    </row>
    <row r="225" spans="1:4" x14ac:dyDescent="0.25">
      <c r="A225" s="14">
        <v>45383</v>
      </c>
      <c r="B225" s="13" t="s">
        <v>1799</v>
      </c>
      <c r="C225" s="13" t="s">
        <v>1783</v>
      </c>
      <c r="D225" s="15">
        <v>9244.2000000000007</v>
      </c>
    </row>
    <row r="226" spans="1:4" x14ac:dyDescent="0.25">
      <c r="A226" s="11">
        <v>45383</v>
      </c>
      <c r="B226" s="10" t="s">
        <v>1774</v>
      </c>
      <c r="C226" s="10" t="s">
        <v>1778</v>
      </c>
      <c r="D226" s="12">
        <v>23516.55</v>
      </c>
    </row>
    <row r="227" spans="1:4" x14ac:dyDescent="0.25">
      <c r="A227" s="14">
        <v>45383</v>
      </c>
      <c r="B227" s="13" t="s">
        <v>1799</v>
      </c>
      <c r="C227" s="13" t="s">
        <v>1778</v>
      </c>
      <c r="D227" s="15">
        <v>10169.25</v>
      </c>
    </row>
    <row r="228" spans="1:4" x14ac:dyDescent="0.25">
      <c r="A228" s="11">
        <v>45383</v>
      </c>
      <c r="B228" s="10" t="s">
        <v>1774</v>
      </c>
      <c r="C228" s="10" t="s">
        <v>1775</v>
      </c>
      <c r="D228" s="12">
        <v>117321.55</v>
      </c>
    </row>
    <row r="229" spans="1:4" x14ac:dyDescent="0.25">
      <c r="A229" s="14">
        <v>45383</v>
      </c>
      <c r="B229" s="13" t="s">
        <v>1786</v>
      </c>
      <c r="C229" s="13" t="s">
        <v>1797</v>
      </c>
      <c r="D229" s="15">
        <v>5697.75</v>
      </c>
    </row>
    <row r="230" spans="1:4" x14ac:dyDescent="0.25">
      <c r="A230" s="11">
        <v>45383</v>
      </c>
      <c r="B230" s="10" t="s">
        <v>1774</v>
      </c>
      <c r="C230" s="10" t="s">
        <v>1792</v>
      </c>
      <c r="D230" s="12">
        <v>13792.66</v>
      </c>
    </row>
    <row r="231" spans="1:4" x14ac:dyDescent="0.25">
      <c r="A231" s="14">
        <v>45383</v>
      </c>
      <c r="B231" s="13" t="s">
        <v>1877</v>
      </c>
      <c r="C231" s="13" t="s">
        <v>1783</v>
      </c>
      <c r="D231" s="15">
        <v>14399.61</v>
      </c>
    </row>
    <row r="232" spans="1:4" x14ac:dyDescent="0.25">
      <c r="A232" s="11">
        <v>45383</v>
      </c>
      <c r="B232" s="10" t="s">
        <v>1799</v>
      </c>
      <c r="C232" s="10" t="s">
        <v>1797</v>
      </c>
      <c r="D232" s="12">
        <v>2544.7399999999998</v>
      </c>
    </row>
    <row r="233" spans="1:4" x14ac:dyDescent="0.25">
      <c r="A233" s="14">
        <v>45383</v>
      </c>
      <c r="B233" s="13" t="s">
        <v>1877</v>
      </c>
      <c r="C233" s="13" t="s">
        <v>1789</v>
      </c>
      <c r="D233" s="15">
        <v>7581.3</v>
      </c>
    </row>
    <row r="234" spans="1:4" x14ac:dyDescent="0.25">
      <c r="A234" s="11">
        <v>45383</v>
      </c>
      <c r="B234" s="10" t="s">
        <v>1877</v>
      </c>
      <c r="C234" s="10" t="s">
        <v>1797</v>
      </c>
      <c r="D234" s="12">
        <v>3904.94</v>
      </c>
    </row>
    <row r="235" spans="1:4" x14ac:dyDescent="0.25">
      <c r="A235" s="14">
        <v>45383</v>
      </c>
      <c r="B235" s="13" t="s">
        <v>1862</v>
      </c>
      <c r="C235" s="13" t="s">
        <v>1780</v>
      </c>
      <c r="D235" s="15">
        <v>4542.17</v>
      </c>
    </row>
    <row r="236" spans="1:4" x14ac:dyDescent="0.25">
      <c r="A236" s="11">
        <v>45383</v>
      </c>
      <c r="B236" s="10" t="s">
        <v>1792</v>
      </c>
      <c r="C236" s="10" t="s">
        <v>1797</v>
      </c>
      <c r="D236" s="12">
        <v>6735.39</v>
      </c>
    </row>
    <row r="237" spans="1:4" x14ac:dyDescent="0.25">
      <c r="A237" s="14">
        <v>45383</v>
      </c>
      <c r="B237" s="13" t="s">
        <v>1774</v>
      </c>
      <c r="C237" s="13" t="s">
        <v>1786</v>
      </c>
      <c r="D237" s="15">
        <v>22964.69</v>
      </c>
    </row>
    <row r="238" spans="1:4" x14ac:dyDescent="0.25">
      <c r="A238" s="11">
        <v>45383</v>
      </c>
      <c r="B238" s="10" t="s">
        <v>1862</v>
      </c>
      <c r="C238" s="10" t="s">
        <v>1792</v>
      </c>
      <c r="D238" s="12">
        <v>6350.51</v>
      </c>
    </row>
    <row r="239" spans="1:4" x14ac:dyDescent="0.25">
      <c r="A239" s="14">
        <v>45383</v>
      </c>
      <c r="B239" s="13" t="s">
        <v>1862</v>
      </c>
      <c r="C239" s="13" t="s">
        <v>1795</v>
      </c>
      <c r="D239" s="15">
        <v>2584.11</v>
      </c>
    </row>
    <row r="240" spans="1:4" x14ac:dyDescent="0.25">
      <c r="A240" s="11">
        <v>45383</v>
      </c>
      <c r="B240" s="10" t="s">
        <v>1818</v>
      </c>
      <c r="C240" s="10" t="s">
        <v>1780</v>
      </c>
      <c r="D240" s="12">
        <v>3366.2</v>
      </c>
    </row>
    <row r="241" spans="1:4" x14ac:dyDescent="0.25">
      <c r="A241" s="14">
        <v>45383</v>
      </c>
      <c r="B241" s="13" t="s">
        <v>1792</v>
      </c>
      <c r="C241" s="13" t="s">
        <v>1778</v>
      </c>
      <c r="D241" s="15">
        <v>19446.740000000002</v>
      </c>
    </row>
    <row r="242" spans="1:4" x14ac:dyDescent="0.25">
      <c r="A242" s="11">
        <v>45383</v>
      </c>
      <c r="B242" s="10" t="s">
        <v>1862</v>
      </c>
      <c r="C242" s="10" t="s">
        <v>1797</v>
      </c>
      <c r="D242" s="12">
        <v>2999.1</v>
      </c>
    </row>
    <row r="243" spans="1:4" x14ac:dyDescent="0.25">
      <c r="A243" s="14">
        <v>45383</v>
      </c>
      <c r="B243" s="13" t="s">
        <v>1799</v>
      </c>
      <c r="C243" s="13" t="s">
        <v>1775</v>
      </c>
      <c r="D243" s="15">
        <v>43852.99</v>
      </c>
    </row>
    <row r="244" spans="1:4" x14ac:dyDescent="0.25">
      <c r="A244" s="11">
        <v>45383</v>
      </c>
      <c r="B244" s="10" t="s">
        <v>1786</v>
      </c>
      <c r="C244" s="10" t="s">
        <v>1789</v>
      </c>
      <c r="D244" s="12">
        <v>6674.73</v>
      </c>
    </row>
    <row r="245" spans="1:4" x14ac:dyDescent="0.25">
      <c r="A245" s="14">
        <v>45383</v>
      </c>
      <c r="B245" s="13" t="s">
        <v>1792</v>
      </c>
      <c r="C245" s="13" t="s">
        <v>1795</v>
      </c>
      <c r="D245" s="15">
        <v>7165.42</v>
      </c>
    </row>
    <row r="246" spans="1:4" x14ac:dyDescent="0.25">
      <c r="A246" s="11">
        <v>45383</v>
      </c>
      <c r="B246" s="10" t="s">
        <v>1774</v>
      </c>
      <c r="C246" s="10" t="s">
        <v>1795</v>
      </c>
      <c r="D246" s="12">
        <v>6245.39</v>
      </c>
    </row>
    <row r="247" spans="1:4" x14ac:dyDescent="0.25">
      <c r="A247" s="14">
        <v>45383</v>
      </c>
      <c r="B247" s="13" t="s">
        <v>1786</v>
      </c>
      <c r="C247" s="13" t="s">
        <v>1783</v>
      </c>
      <c r="D247" s="15">
        <v>15409.86</v>
      </c>
    </row>
    <row r="248" spans="1:4" x14ac:dyDescent="0.25">
      <c r="A248" s="11">
        <v>45383</v>
      </c>
      <c r="B248" s="10" t="s">
        <v>1799</v>
      </c>
      <c r="C248" s="10" t="s">
        <v>1786</v>
      </c>
      <c r="D248" s="12">
        <v>6774.72</v>
      </c>
    </row>
    <row r="249" spans="1:4" x14ac:dyDescent="0.25">
      <c r="A249" s="14">
        <v>45383</v>
      </c>
      <c r="B249" s="13" t="s">
        <v>1862</v>
      </c>
      <c r="C249" s="13" t="s">
        <v>1778</v>
      </c>
      <c r="D249" s="15">
        <v>9115.31</v>
      </c>
    </row>
    <row r="250" spans="1:4" x14ac:dyDescent="0.25">
      <c r="A250" s="11">
        <v>45383</v>
      </c>
      <c r="B250" s="10" t="s">
        <v>1818</v>
      </c>
      <c r="C250" s="10" t="s">
        <v>1792</v>
      </c>
      <c r="D250" s="12">
        <v>7901.15</v>
      </c>
    </row>
    <row r="251" spans="1:4" x14ac:dyDescent="0.25">
      <c r="A251" s="14">
        <v>45383</v>
      </c>
      <c r="B251" s="13" t="s">
        <v>1799</v>
      </c>
      <c r="C251" s="13" t="s">
        <v>1795</v>
      </c>
      <c r="D251" s="15">
        <v>3123.35</v>
      </c>
    </row>
    <row r="252" spans="1:4" x14ac:dyDescent="0.25">
      <c r="A252" s="11">
        <v>45383</v>
      </c>
      <c r="B252" s="10" t="s">
        <v>1786</v>
      </c>
      <c r="C252" s="10" t="s">
        <v>1778</v>
      </c>
      <c r="D252" s="12">
        <v>13714.15</v>
      </c>
    </row>
    <row r="253" spans="1:4" x14ac:dyDescent="0.25">
      <c r="A253" s="14">
        <v>45383</v>
      </c>
      <c r="B253" s="13" t="s">
        <v>1877</v>
      </c>
      <c r="C253" s="13" t="s">
        <v>1778</v>
      </c>
      <c r="D253" s="15">
        <v>16493.04</v>
      </c>
    </row>
    <row r="254" spans="1:4" x14ac:dyDescent="0.25">
      <c r="A254" s="11">
        <v>45413</v>
      </c>
      <c r="B254" s="10" t="s">
        <v>1877</v>
      </c>
      <c r="C254" s="10" t="s">
        <v>1797</v>
      </c>
      <c r="D254" s="12">
        <v>4910.76</v>
      </c>
    </row>
    <row r="255" spans="1:4" x14ac:dyDescent="0.25">
      <c r="A255" s="14">
        <v>45413</v>
      </c>
      <c r="B255" s="13" t="s">
        <v>1818</v>
      </c>
      <c r="C255" s="13" t="s">
        <v>1783</v>
      </c>
      <c r="D255" s="15">
        <v>8147.06</v>
      </c>
    </row>
    <row r="256" spans="1:4" x14ac:dyDescent="0.25">
      <c r="A256" s="11">
        <v>45413</v>
      </c>
      <c r="B256" s="10" t="s">
        <v>1786</v>
      </c>
      <c r="C256" s="10" t="s">
        <v>1786</v>
      </c>
      <c r="D256" s="12">
        <v>11111.59</v>
      </c>
    </row>
    <row r="257" spans="1:4" x14ac:dyDescent="0.25">
      <c r="A257" s="14">
        <v>45413</v>
      </c>
      <c r="B257" s="13" t="s">
        <v>1786</v>
      </c>
      <c r="C257" s="13" t="s">
        <v>1797</v>
      </c>
      <c r="D257" s="15">
        <v>5181.0600000000004</v>
      </c>
    </row>
    <row r="258" spans="1:4" x14ac:dyDescent="0.25">
      <c r="A258" s="11">
        <v>45413</v>
      </c>
      <c r="B258" s="10" t="s">
        <v>1792</v>
      </c>
      <c r="C258" s="10" t="s">
        <v>1792</v>
      </c>
      <c r="D258" s="12">
        <v>16727.16</v>
      </c>
    </row>
    <row r="259" spans="1:4" x14ac:dyDescent="0.25">
      <c r="A259" s="14">
        <v>45413</v>
      </c>
      <c r="B259" s="13" t="s">
        <v>1799</v>
      </c>
      <c r="C259" s="13" t="s">
        <v>1789</v>
      </c>
      <c r="D259" s="15">
        <v>5504.97</v>
      </c>
    </row>
    <row r="260" spans="1:4" x14ac:dyDescent="0.25">
      <c r="A260" s="11">
        <v>45413</v>
      </c>
      <c r="B260" s="10" t="s">
        <v>1877</v>
      </c>
      <c r="C260" s="10" t="s">
        <v>1775</v>
      </c>
      <c r="D260" s="12">
        <v>62313.23</v>
      </c>
    </row>
    <row r="261" spans="1:4" x14ac:dyDescent="0.25">
      <c r="A261" s="14">
        <v>45413</v>
      </c>
      <c r="B261" s="13" t="s">
        <v>1877</v>
      </c>
      <c r="C261" s="13" t="s">
        <v>1789</v>
      </c>
      <c r="D261" s="15">
        <v>6836.46</v>
      </c>
    </row>
    <row r="262" spans="1:4" x14ac:dyDescent="0.25">
      <c r="A262" s="11">
        <v>45413</v>
      </c>
      <c r="B262" s="10" t="s">
        <v>1818</v>
      </c>
      <c r="C262" s="10" t="s">
        <v>1797</v>
      </c>
      <c r="D262" s="12">
        <v>2451.91</v>
      </c>
    </row>
    <row r="263" spans="1:4" x14ac:dyDescent="0.25">
      <c r="A263" s="14">
        <v>45413</v>
      </c>
      <c r="B263" s="13" t="s">
        <v>1818</v>
      </c>
      <c r="C263" s="13" t="s">
        <v>1775</v>
      </c>
      <c r="D263" s="15">
        <v>36618.97</v>
      </c>
    </row>
    <row r="264" spans="1:4" x14ac:dyDescent="0.25">
      <c r="A264" s="11">
        <v>45413</v>
      </c>
      <c r="B264" s="10" t="s">
        <v>1799</v>
      </c>
      <c r="C264" s="10" t="s">
        <v>1795</v>
      </c>
      <c r="D264" s="12">
        <v>3363.6</v>
      </c>
    </row>
    <row r="265" spans="1:4" x14ac:dyDescent="0.25">
      <c r="A265" s="14">
        <v>45413</v>
      </c>
      <c r="B265" s="13" t="s">
        <v>1862</v>
      </c>
      <c r="C265" s="13" t="s">
        <v>1783</v>
      </c>
      <c r="D265" s="15">
        <v>7170.3</v>
      </c>
    </row>
    <row r="266" spans="1:4" x14ac:dyDescent="0.25">
      <c r="A266" s="11">
        <v>45413</v>
      </c>
      <c r="B266" s="10" t="s">
        <v>1818</v>
      </c>
      <c r="C266" s="10" t="s">
        <v>1795</v>
      </c>
      <c r="D266" s="12">
        <v>2706.27</v>
      </c>
    </row>
    <row r="267" spans="1:4" x14ac:dyDescent="0.25">
      <c r="A267" s="14">
        <v>45413</v>
      </c>
      <c r="B267" s="13" t="s">
        <v>1862</v>
      </c>
      <c r="C267" s="13" t="s">
        <v>1795</v>
      </c>
      <c r="D267" s="15">
        <v>2467.4</v>
      </c>
    </row>
    <row r="268" spans="1:4" x14ac:dyDescent="0.25">
      <c r="A268" s="11">
        <v>45413</v>
      </c>
      <c r="B268" s="10" t="s">
        <v>1818</v>
      </c>
      <c r="C268" s="10" t="s">
        <v>1792</v>
      </c>
      <c r="D268" s="12">
        <v>6333.55</v>
      </c>
    </row>
    <row r="269" spans="1:4" x14ac:dyDescent="0.25">
      <c r="A269" s="14">
        <v>45413</v>
      </c>
      <c r="B269" s="13" t="s">
        <v>1799</v>
      </c>
      <c r="C269" s="13" t="s">
        <v>1786</v>
      </c>
      <c r="D269" s="15">
        <v>9219.8700000000008</v>
      </c>
    </row>
    <row r="270" spans="1:4" x14ac:dyDescent="0.25">
      <c r="A270" s="11">
        <v>45413</v>
      </c>
      <c r="B270" s="10" t="s">
        <v>1792</v>
      </c>
      <c r="C270" s="10" t="s">
        <v>1775</v>
      </c>
      <c r="D270" s="12">
        <v>99956.34</v>
      </c>
    </row>
    <row r="271" spans="1:4" x14ac:dyDescent="0.25">
      <c r="A271" s="14">
        <v>45413</v>
      </c>
      <c r="B271" s="13" t="s">
        <v>1818</v>
      </c>
      <c r="C271" s="13" t="s">
        <v>1778</v>
      </c>
      <c r="D271" s="15">
        <v>8734.61</v>
      </c>
    </row>
    <row r="272" spans="1:4" x14ac:dyDescent="0.25">
      <c r="A272" s="11">
        <v>45413</v>
      </c>
      <c r="B272" s="10" t="s">
        <v>1799</v>
      </c>
      <c r="C272" s="10" t="s">
        <v>1775</v>
      </c>
      <c r="D272" s="12">
        <v>52078.64</v>
      </c>
    </row>
    <row r="273" spans="1:4" x14ac:dyDescent="0.25">
      <c r="A273" s="14">
        <v>45413</v>
      </c>
      <c r="B273" s="13" t="s">
        <v>1799</v>
      </c>
      <c r="C273" s="13" t="s">
        <v>1783</v>
      </c>
      <c r="D273" s="15">
        <v>7043.6</v>
      </c>
    </row>
    <row r="274" spans="1:4" x14ac:dyDescent="0.25">
      <c r="A274" s="11">
        <v>45413</v>
      </c>
      <c r="B274" s="10" t="s">
        <v>1792</v>
      </c>
      <c r="C274" s="10" t="s">
        <v>1783</v>
      </c>
      <c r="D274" s="12">
        <v>14519.29</v>
      </c>
    </row>
    <row r="275" spans="1:4" x14ac:dyDescent="0.25">
      <c r="A275" s="14">
        <v>45413</v>
      </c>
      <c r="B275" s="13" t="s">
        <v>1792</v>
      </c>
      <c r="C275" s="13" t="s">
        <v>1795</v>
      </c>
      <c r="D275" s="15">
        <v>5008.43</v>
      </c>
    </row>
    <row r="276" spans="1:4" x14ac:dyDescent="0.25">
      <c r="A276" s="11">
        <v>45413</v>
      </c>
      <c r="B276" s="10" t="s">
        <v>1799</v>
      </c>
      <c r="C276" s="10" t="s">
        <v>1778</v>
      </c>
      <c r="D276" s="12">
        <v>10972.65</v>
      </c>
    </row>
    <row r="277" spans="1:4" x14ac:dyDescent="0.25">
      <c r="A277" s="14">
        <v>45413</v>
      </c>
      <c r="B277" s="13" t="s">
        <v>1786</v>
      </c>
      <c r="C277" s="13" t="s">
        <v>1783</v>
      </c>
      <c r="D277" s="15">
        <v>13343.01</v>
      </c>
    </row>
    <row r="278" spans="1:4" x14ac:dyDescent="0.25">
      <c r="A278" s="11">
        <v>45413</v>
      </c>
      <c r="B278" s="10" t="s">
        <v>1792</v>
      </c>
      <c r="C278" s="10" t="s">
        <v>1778</v>
      </c>
      <c r="D278" s="12">
        <v>15665.28</v>
      </c>
    </row>
    <row r="279" spans="1:4" x14ac:dyDescent="0.25">
      <c r="A279" s="14">
        <v>45413</v>
      </c>
      <c r="B279" s="13" t="s">
        <v>1877</v>
      </c>
      <c r="C279" s="13" t="s">
        <v>1786</v>
      </c>
      <c r="D279" s="15">
        <v>12306.47</v>
      </c>
    </row>
    <row r="280" spans="1:4" x14ac:dyDescent="0.25">
      <c r="A280" s="11">
        <v>45413</v>
      </c>
      <c r="B280" s="10" t="s">
        <v>1862</v>
      </c>
      <c r="C280" s="10" t="s">
        <v>1786</v>
      </c>
      <c r="D280" s="12">
        <v>6263.41</v>
      </c>
    </row>
    <row r="281" spans="1:4" x14ac:dyDescent="0.25">
      <c r="A281" s="14">
        <v>45413</v>
      </c>
      <c r="B281" s="13" t="s">
        <v>1818</v>
      </c>
      <c r="C281" s="13" t="s">
        <v>1780</v>
      </c>
      <c r="D281" s="15">
        <v>4251.6099999999997</v>
      </c>
    </row>
    <row r="282" spans="1:4" x14ac:dyDescent="0.25">
      <c r="A282" s="11">
        <v>45413</v>
      </c>
      <c r="B282" s="10" t="s">
        <v>1774</v>
      </c>
      <c r="C282" s="10" t="s">
        <v>1786</v>
      </c>
      <c r="D282" s="12">
        <v>18483.14</v>
      </c>
    </row>
    <row r="283" spans="1:4" x14ac:dyDescent="0.25">
      <c r="A283" s="14">
        <v>45413</v>
      </c>
      <c r="B283" s="13" t="s">
        <v>1774</v>
      </c>
      <c r="C283" s="13" t="s">
        <v>1783</v>
      </c>
      <c r="D283" s="15">
        <v>18691.349999999999</v>
      </c>
    </row>
    <row r="284" spans="1:4" x14ac:dyDescent="0.25">
      <c r="A284" s="11">
        <v>45413</v>
      </c>
      <c r="B284" s="10" t="s">
        <v>1818</v>
      </c>
      <c r="C284" s="10" t="s">
        <v>1789</v>
      </c>
      <c r="D284" s="12">
        <v>3799.76</v>
      </c>
    </row>
    <row r="285" spans="1:4" x14ac:dyDescent="0.25">
      <c r="A285" s="14">
        <v>45413</v>
      </c>
      <c r="B285" s="13" t="s">
        <v>1774</v>
      </c>
      <c r="C285" s="13" t="s">
        <v>1792</v>
      </c>
      <c r="D285" s="15">
        <v>18936.8</v>
      </c>
    </row>
    <row r="286" spans="1:4" x14ac:dyDescent="0.25">
      <c r="A286" s="11">
        <v>45413</v>
      </c>
      <c r="B286" s="10" t="s">
        <v>1786</v>
      </c>
      <c r="C286" s="10" t="s">
        <v>1795</v>
      </c>
      <c r="D286" s="12">
        <v>4992.47</v>
      </c>
    </row>
    <row r="287" spans="1:4" x14ac:dyDescent="0.25">
      <c r="A287" s="14">
        <v>45413</v>
      </c>
      <c r="B287" s="13" t="s">
        <v>1774</v>
      </c>
      <c r="C287" s="13" t="s">
        <v>1795</v>
      </c>
      <c r="D287" s="15">
        <v>5397.55</v>
      </c>
    </row>
    <row r="288" spans="1:4" x14ac:dyDescent="0.25">
      <c r="A288" s="11">
        <v>45413</v>
      </c>
      <c r="B288" s="10" t="s">
        <v>1792</v>
      </c>
      <c r="C288" s="10" t="s">
        <v>1786</v>
      </c>
      <c r="D288" s="12">
        <v>13823.5</v>
      </c>
    </row>
    <row r="289" spans="1:4" x14ac:dyDescent="0.25">
      <c r="A289" s="14">
        <v>45413</v>
      </c>
      <c r="B289" s="13" t="s">
        <v>1877</v>
      </c>
      <c r="C289" s="13" t="s">
        <v>1783</v>
      </c>
      <c r="D289" s="15">
        <v>10877.43</v>
      </c>
    </row>
    <row r="290" spans="1:4" x14ac:dyDescent="0.25">
      <c r="A290" s="11">
        <v>45413</v>
      </c>
      <c r="B290" s="10" t="s">
        <v>1799</v>
      </c>
      <c r="C290" s="10" t="s">
        <v>1780</v>
      </c>
      <c r="D290" s="12">
        <v>5049.54</v>
      </c>
    </row>
    <row r="291" spans="1:4" x14ac:dyDescent="0.25">
      <c r="A291" s="14">
        <v>45413</v>
      </c>
      <c r="B291" s="13" t="s">
        <v>1774</v>
      </c>
      <c r="C291" s="13" t="s">
        <v>1775</v>
      </c>
      <c r="D291" s="15">
        <v>139412.45000000001</v>
      </c>
    </row>
    <row r="292" spans="1:4" x14ac:dyDescent="0.25">
      <c r="A292" s="11">
        <v>45413</v>
      </c>
      <c r="B292" s="10" t="s">
        <v>1786</v>
      </c>
      <c r="C292" s="10" t="s">
        <v>1792</v>
      </c>
      <c r="D292" s="12">
        <v>11184.38</v>
      </c>
    </row>
    <row r="293" spans="1:4" x14ac:dyDescent="0.25">
      <c r="A293" s="14">
        <v>45413</v>
      </c>
      <c r="B293" s="13" t="s">
        <v>1786</v>
      </c>
      <c r="C293" s="13" t="s">
        <v>1778</v>
      </c>
      <c r="D293" s="15">
        <v>17154.419999999998</v>
      </c>
    </row>
    <row r="294" spans="1:4" x14ac:dyDescent="0.25">
      <c r="A294" s="11">
        <v>45413</v>
      </c>
      <c r="B294" s="10" t="s">
        <v>1877</v>
      </c>
      <c r="C294" s="10" t="s">
        <v>1780</v>
      </c>
      <c r="D294" s="12">
        <v>8014.62</v>
      </c>
    </row>
    <row r="295" spans="1:4" x14ac:dyDescent="0.25">
      <c r="A295" s="14">
        <v>45413</v>
      </c>
      <c r="B295" s="13" t="s">
        <v>1818</v>
      </c>
      <c r="C295" s="13" t="s">
        <v>1786</v>
      </c>
      <c r="D295" s="15">
        <v>6778.73</v>
      </c>
    </row>
    <row r="296" spans="1:4" x14ac:dyDescent="0.25">
      <c r="A296" s="11">
        <v>45413</v>
      </c>
      <c r="B296" s="10" t="s">
        <v>1786</v>
      </c>
      <c r="C296" s="10" t="s">
        <v>1789</v>
      </c>
      <c r="D296" s="12">
        <v>6929.67</v>
      </c>
    </row>
    <row r="297" spans="1:4" x14ac:dyDescent="0.25">
      <c r="A297" s="14">
        <v>45413</v>
      </c>
      <c r="B297" s="13" t="s">
        <v>1877</v>
      </c>
      <c r="C297" s="13" t="s">
        <v>1778</v>
      </c>
      <c r="D297" s="15">
        <v>12080.6</v>
      </c>
    </row>
    <row r="298" spans="1:4" x14ac:dyDescent="0.25">
      <c r="A298" s="11">
        <v>45413</v>
      </c>
      <c r="B298" s="10" t="s">
        <v>1877</v>
      </c>
      <c r="C298" s="10" t="s">
        <v>1792</v>
      </c>
      <c r="D298" s="12">
        <v>12963.87</v>
      </c>
    </row>
    <row r="299" spans="1:4" x14ac:dyDescent="0.25">
      <c r="A299" s="14">
        <v>45413</v>
      </c>
      <c r="B299" s="13" t="s">
        <v>1877</v>
      </c>
      <c r="C299" s="13" t="s">
        <v>1795</v>
      </c>
      <c r="D299" s="15">
        <v>4416.66</v>
      </c>
    </row>
    <row r="300" spans="1:4" x14ac:dyDescent="0.25">
      <c r="A300" s="11">
        <v>45413</v>
      </c>
      <c r="B300" s="10" t="s">
        <v>1862</v>
      </c>
      <c r="C300" s="10" t="s">
        <v>1792</v>
      </c>
      <c r="D300" s="12">
        <v>8583.64</v>
      </c>
    </row>
    <row r="301" spans="1:4" x14ac:dyDescent="0.25">
      <c r="A301" s="14">
        <v>45413</v>
      </c>
      <c r="B301" s="13" t="s">
        <v>1862</v>
      </c>
      <c r="C301" s="13" t="s">
        <v>1797</v>
      </c>
      <c r="D301" s="15">
        <v>2341.42</v>
      </c>
    </row>
    <row r="302" spans="1:4" x14ac:dyDescent="0.25">
      <c r="A302" s="11">
        <v>45413</v>
      </c>
      <c r="B302" s="10" t="s">
        <v>1862</v>
      </c>
      <c r="C302" s="10" t="s">
        <v>1789</v>
      </c>
      <c r="D302" s="12">
        <v>4997.6099999999997</v>
      </c>
    </row>
    <row r="303" spans="1:4" x14ac:dyDescent="0.25">
      <c r="A303" s="14">
        <v>45413</v>
      </c>
      <c r="B303" s="13" t="s">
        <v>1774</v>
      </c>
      <c r="C303" s="13" t="s">
        <v>1797</v>
      </c>
      <c r="D303" s="15">
        <v>7558.56</v>
      </c>
    </row>
    <row r="304" spans="1:4" x14ac:dyDescent="0.25">
      <c r="A304" s="11">
        <v>45413</v>
      </c>
      <c r="B304" s="10" t="s">
        <v>1774</v>
      </c>
      <c r="C304" s="10" t="s">
        <v>1780</v>
      </c>
      <c r="D304" s="12">
        <v>10316.17</v>
      </c>
    </row>
    <row r="305" spans="1:4" x14ac:dyDescent="0.25">
      <c r="A305" s="14">
        <v>45413</v>
      </c>
      <c r="B305" s="13" t="s">
        <v>1792</v>
      </c>
      <c r="C305" s="13" t="s">
        <v>1780</v>
      </c>
      <c r="D305" s="15">
        <v>9532.2900000000009</v>
      </c>
    </row>
    <row r="306" spans="1:4" x14ac:dyDescent="0.25">
      <c r="A306" s="11">
        <v>45413</v>
      </c>
      <c r="B306" s="10" t="s">
        <v>1799</v>
      </c>
      <c r="C306" s="10" t="s">
        <v>1792</v>
      </c>
      <c r="D306" s="12">
        <v>9969.6200000000008</v>
      </c>
    </row>
    <row r="307" spans="1:4" x14ac:dyDescent="0.25">
      <c r="A307" s="14">
        <v>45413</v>
      </c>
      <c r="B307" s="13" t="s">
        <v>1786</v>
      </c>
      <c r="C307" s="13" t="s">
        <v>1780</v>
      </c>
      <c r="D307" s="15">
        <v>6856.11</v>
      </c>
    </row>
    <row r="308" spans="1:4" x14ac:dyDescent="0.25">
      <c r="A308" s="11">
        <v>45413</v>
      </c>
      <c r="B308" s="10" t="s">
        <v>1862</v>
      </c>
      <c r="C308" s="10" t="s">
        <v>1778</v>
      </c>
      <c r="D308" s="12">
        <v>10685.3</v>
      </c>
    </row>
    <row r="309" spans="1:4" x14ac:dyDescent="0.25">
      <c r="A309" s="14">
        <v>45413</v>
      </c>
      <c r="B309" s="13" t="s">
        <v>1799</v>
      </c>
      <c r="C309" s="13" t="s">
        <v>1797</v>
      </c>
      <c r="D309" s="15">
        <v>3378.3</v>
      </c>
    </row>
    <row r="310" spans="1:4" x14ac:dyDescent="0.25">
      <c r="A310" s="11">
        <v>45413</v>
      </c>
      <c r="B310" s="10" t="s">
        <v>1786</v>
      </c>
      <c r="C310" s="10" t="s">
        <v>1775</v>
      </c>
      <c r="D310" s="12">
        <v>61152.81</v>
      </c>
    </row>
    <row r="311" spans="1:4" x14ac:dyDescent="0.25">
      <c r="A311" s="14">
        <v>45413</v>
      </c>
      <c r="B311" s="13" t="s">
        <v>1862</v>
      </c>
      <c r="C311" s="13" t="s">
        <v>1780</v>
      </c>
      <c r="D311" s="15">
        <v>5521.52</v>
      </c>
    </row>
    <row r="312" spans="1:4" x14ac:dyDescent="0.25">
      <c r="A312" s="11">
        <v>45413</v>
      </c>
      <c r="B312" s="10" t="s">
        <v>1862</v>
      </c>
      <c r="C312" s="10" t="s">
        <v>1775</v>
      </c>
      <c r="D312" s="12">
        <v>52683.91</v>
      </c>
    </row>
    <row r="313" spans="1:4" x14ac:dyDescent="0.25">
      <c r="A313" s="14">
        <v>45413</v>
      </c>
      <c r="B313" s="13" t="s">
        <v>1774</v>
      </c>
      <c r="C313" s="13" t="s">
        <v>1778</v>
      </c>
      <c r="D313" s="15">
        <v>21248.639999999999</v>
      </c>
    </row>
    <row r="314" spans="1:4" x14ac:dyDescent="0.25">
      <c r="A314" s="11">
        <v>45413</v>
      </c>
      <c r="B314" s="10" t="s">
        <v>1774</v>
      </c>
      <c r="C314" s="10" t="s">
        <v>1789</v>
      </c>
      <c r="D314" s="12">
        <v>10382.879999999999</v>
      </c>
    </row>
    <row r="315" spans="1:4" x14ac:dyDescent="0.25">
      <c r="A315" s="14">
        <v>45413</v>
      </c>
      <c r="B315" s="13" t="s">
        <v>1792</v>
      </c>
      <c r="C315" s="13" t="s">
        <v>1797</v>
      </c>
      <c r="D315" s="15">
        <v>5926.39</v>
      </c>
    </row>
    <row r="316" spans="1:4" x14ac:dyDescent="0.25">
      <c r="A316" s="11">
        <v>45413</v>
      </c>
      <c r="B316" s="10" t="s">
        <v>1792</v>
      </c>
      <c r="C316" s="10" t="s">
        <v>1789</v>
      </c>
      <c r="D316" s="12">
        <v>10802.33</v>
      </c>
    </row>
    <row r="317" spans="1:4" x14ac:dyDescent="0.25">
      <c r="A317" s="14">
        <v>45444</v>
      </c>
      <c r="B317" s="13" t="s">
        <v>1818</v>
      </c>
      <c r="C317" s="13" t="s">
        <v>1792</v>
      </c>
      <c r="D317" s="15">
        <v>6250.53</v>
      </c>
    </row>
    <row r="318" spans="1:4" x14ac:dyDescent="0.25">
      <c r="A318" s="11">
        <v>45444</v>
      </c>
      <c r="B318" s="10" t="s">
        <v>1786</v>
      </c>
      <c r="C318" s="10" t="s">
        <v>1795</v>
      </c>
      <c r="D318" s="12">
        <v>5165.5200000000004</v>
      </c>
    </row>
    <row r="319" spans="1:4" x14ac:dyDescent="0.25">
      <c r="A319" s="14">
        <v>45444</v>
      </c>
      <c r="B319" s="13" t="s">
        <v>1799</v>
      </c>
      <c r="C319" s="13" t="s">
        <v>1795</v>
      </c>
      <c r="D319" s="15">
        <v>2978.09</v>
      </c>
    </row>
    <row r="320" spans="1:4" x14ac:dyDescent="0.25">
      <c r="A320" s="11">
        <v>45444</v>
      </c>
      <c r="B320" s="10" t="s">
        <v>1877</v>
      </c>
      <c r="C320" s="10" t="s">
        <v>1797</v>
      </c>
      <c r="D320" s="12">
        <v>4153.08</v>
      </c>
    </row>
    <row r="321" spans="1:4" x14ac:dyDescent="0.25">
      <c r="A321" s="14">
        <v>45444</v>
      </c>
      <c r="B321" s="13" t="s">
        <v>1877</v>
      </c>
      <c r="C321" s="13" t="s">
        <v>1795</v>
      </c>
      <c r="D321" s="15">
        <v>3794.13</v>
      </c>
    </row>
    <row r="322" spans="1:4" x14ac:dyDescent="0.25">
      <c r="A322" s="11">
        <v>45444</v>
      </c>
      <c r="B322" s="10" t="s">
        <v>1792</v>
      </c>
      <c r="C322" s="10" t="s">
        <v>1789</v>
      </c>
      <c r="D322" s="12">
        <v>7888.4</v>
      </c>
    </row>
    <row r="323" spans="1:4" x14ac:dyDescent="0.25">
      <c r="A323" s="14">
        <v>45444</v>
      </c>
      <c r="B323" s="13" t="s">
        <v>1877</v>
      </c>
      <c r="C323" s="13" t="s">
        <v>1786</v>
      </c>
      <c r="D323" s="15">
        <v>10789.92</v>
      </c>
    </row>
    <row r="324" spans="1:4" x14ac:dyDescent="0.25">
      <c r="A324" s="11">
        <v>45444</v>
      </c>
      <c r="B324" s="10" t="s">
        <v>1818</v>
      </c>
      <c r="C324" s="10" t="s">
        <v>1775</v>
      </c>
      <c r="D324" s="12">
        <v>41109.949999999997</v>
      </c>
    </row>
    <row r="325" spans="1:4" x14ac:dyDescent="0.25">
      <c r="A325" s="14">
        <v>45444</v>
      </c>
      <c r="B325" s="13" t="s">
        <v>1774</v>
      </c>
      <c r="C325" s="13" t="s">
        <v>1797</v>
      </c>
      <c r="D325" s="15">
        <v>6102.29</v>
      </c>
    </row>
    <row r="326" spans="1:4" x14ac:dyDescent="0.25">
      <c r="A326" s="11">
        <v>45444</v>
      </c>
      <c r="B326" s="10" t="s">
        <v>1786</v>
      </c>
      <c r="C326" s="10" t="s">
        <v>1783</v>
      </c>
      <c r="D326" s="12">
        <v>10353.790000000001</v>
      </c>
    </row>
    <row r="327" spans="1:4" x14ac:dyDescent="0.25">
      <c r="A327" s="14">
        <v>45444</v>
      </c>
      <c r="B327" s="13" t="s">
        <v>1818</v>
      </c>
      <c r="C327" s="13" t="s">
        <v>1783</v>
      </c>
      <c r="D327" s="15">
        <v>6220.44</v>
      </c>
    </row>
    <row r="328" spans="1:4" x14ac:dyDescent="0.25">
      <c r="A328" s="11">
        <v>45444</v>
      </c>
      <c r="B328" s="10" t="s">
        <v>1774</v>
      </c>
      <c r="C328" s="10" t="s">
        <v>1795</v>
      </c>
      <c r="D328" s="12">
        <v>6319.4</v>
      </c>
    </row>
    <row r="329" spans="1:4" x14ac:dyDescent="0.25">
      <c r="A329" s="14">
        <v>45444</v>
      </c>
      <c r="B329" s="13" t="s">
        <v>1862</v>
      </c>
      <c r="C329" s="13" t="s">
        <v>1780</v>
      </c>
      <c r="D329" s="15">
        <v>5157.3599999999997</v>
      </c>
    </row>
    <row r="330" spans="1:4" x14ac:dyDescent="0.25">
      <c r="A330" s="11">
        <v>45444</v>
      </c>
      <c r="B330" s="10" t="s">
        <v>1799</v>
      </c>
      <c r="C330" s="10" t="s">
        <v>1786</v>
      </c>
      <c r="D330" s="12">
        <v>8610.98</v>
      </c>
    </row>
    <row r="331" spans="1:4" x14ac:dyDescent="0.25">
      <c r="A331" s="14">
        <v>45444</v>
      </c>
      <c r="B331" s="13" t="s">
        <v>1792</v>
      </c>
      <c r="C331" s="13" t="s">
        <v>1792</v>
      </c>
      <c r="D331" s="15">
        <v>13225.15</v>
      </c>
    </row>
    <row r="332" spans="1:4" x14ac:dyDescent="0.25">
      <c r="A332" s="11">
        <v>45444</v>
      </c>
      <c r="B332" s="10" t="s">
        <v>1877</v>
      </c>
      <c r="C332" s="10" t="s">
        <v>1775</v>
      </c>
      <c r="D332" s="12">
        <v>81923.94</v>
      </c>
    </row>
    <row r="333" spans="1:4" x14ac:dyDescent="0.25">
      <c r="A333" s="14">
        <v>45444</v>
      </c>
      <c r="B333" s="13" t="s">
        <v>1862</v>
      </c>
      <c r="C333" s="13" t="s">
        <v>1789</v>
      </c>
      <c r="D333" s="15">
        <v>3977.99</v>
      </c>
    </row>
    <row r="334" spans="1:4" x14ac:dyDescent="0.25">
      <c r="A334" s="11">
        <v>45444</v>
      </c>
      <c r="B334" s="10" t="s">
        <v>1799</v>
      </c>
      <c r="C334" s="10" t="s">
        <v>1775</v>
      </c>
      <c r="D334" s="12">
        <v>46021.279999999999</v>
      </c>
    </row>
    <row r="335" spans="1:4" x14ac:dyDescent="0.25">
      <c r="A335" s="14">
        <v>45444</v>
      </c>
      <c r="B335" s="13" t="s">
        <v>1877</v>
      </c>
      <c r="C335" s="13" t="s">
        <v>1778</v>
      </c>
      <c r="D335" s="15">
        <v>11600.61</v>
      </c>
    </row>
    <row r="336" spans="1:4" x14ac:dyDescent="0.25">
      <c r="A336" s="11">
        <v>45444</v>
      </c>
      <c r="B336" s="10" t="s">
        <v>1799</v>
      </c>
      <c r="C336" s="10" t="s">
        <v>1789</v>
      </c>
      <c r="D336" s="12">
        <v>4796.75</v>
      </c>
    </row>
    <row r="337" spans="1:4" x14ac:dyDescent="0.25">
      <c r="A337" s="14">
        <v>45444</v>
      </c>
      <c r="B337" s="13" t="s">
        <v>1774</v>
      </c>
      <c r="C337" s="13" t="s">
        <v>1789</v>
      </c>
      <c r="D337" s="15">
        <v>12872.76</v>
      </c>
    </row>
    <row r="338" spans="1:4" x14ac:dyDescent="0.25">
      <c r="A338" s="11">
        <v>45444</v>
      </c>
      <c r="B338" s="10" t="s">
        <v>1774</v>
      </c>
      <c r="C338" s="10" t="s">
        <v>1780</v>
      </c>
      <c r="D338" s="12">
        <v>11472.78</v>
      </c>
    </row>
    <row r="339" spans="1:4" x14ac:dyDescent="0.25">
      <c r="A339" s="14">
        <v>45444</v>
      </c>
      <c r="B339" s="13" t="s">
        <v>1877</v>
      </c>
      <c r="C339" s="13" t="s">
        <v>1783</v>
      </c>
      <c r="D339" s="15">
        <v>11578.61</v>
      </c>
    </row>
    <row r="340" spans="1:4" x14ac:dyDescent="0.25">
      <c r="A340" s="11">
        <v>45444</v>
      </c>
      <c r="B340" s="10" t="s">
        <v>1818</v>
      </c>
      <c r="C340" s="10" t="s">
        <v>1795</v>
      </c>
      <c r="D340" s="12">
        <v>2605.96</v>
      </c>
    </row>
    <row r="341" spans="1:4" x14ac:dyDescent="0.25">
      <c r="A341" s="14">
        <v>45444</v>
      </c>
      <c r="B341" s="13" t="s">
        <v>1774</v>
      </c>
      <c r="C341" s="13" t="s">
        <v>1786</v>
      </c>
      <c r="D341" s="15">
        <v>15625.99</v>
      </c>
    </row>
    <row r="342" spans="1:4" x14ac:dyDescent="0.25">
      <c r="A342" s="11">
        <v>45444</v>
      </c>
      <c r="B342" s="10" t="s">
        <v>1792</v>
      </c>
      <c r="C342" s="10" t="s">
        <v>1783</v>
      </c>
      <c r="D342" s="12">
        <v>19733.57</v>
      </c>
    </row>
    <row r="343" spans="1:4" x14ac:dyDescent="0.25">
      <c r="A343" s="14">
        <v>45444</v>
      </c>
      <c r="B343" s="13" t="s">
        <v>1799</v>
      </c>
      <c r="C343" s="13" t="s">
        <v>1792</v>
      </c>
      <c r="D343" s="15">
        <v>8114.14</v>
      </c>
    </row>
    <row r="344" spans="1:4" x14ac:dyDescent="0.25">
      <c r="A344" s="11">
        <v>45444</v>
      </c>
      <c r="B344" s="10" t="s">
        <v>1862</v>
      </c>
      <c r="C344" s="10" t="s">
        <v>1778</v>
      </c>
      <c r="D344" s="12">
        <v>9380.99</v>
      </c>
    </row>
    <row r="345" spans="1:4" x14ac:dyDescent="0.25">
      <c r="A345" s="14">
        <v>45444</v>
      </c>
      <c r="B345" s="13" t="s">
        <v>1774</v>
      </c>
      <c r="C345" s="13" t="s">
        <v>1792</v>
      </c>
      <c r="D345" s="15">
        <v>22306.639999999999</v>
      </c>
    </row>
    <row r="346" spans="1:4" x14ac:dyDescent="0.25">
      <c r="A346" s="11">
        <v>45444</v>
      </c>
      <c r="B346" s="10" t="s">
        <v>1774</v>
      </c>
      <c r="C346" s="10" t="s">
        <v>1778</v>
      </c>
      <c r="D346" s="12">
        <v>24180.45</v>
      </c>
    </row>
    <row r="347" spans="1:4" x14ac:dyDescent="0.25">
      <c r="A347" s="14">
        <v>45444</v>
      </c>
      <c r="B347" s="13" t="s">
        <v>1792</v>
      </c>
      <c r="C347" s="13" t="s">
        <v>1780</v>
      </c>
      <c r="D347" s="15">
        <v>11044.79</v>
      </c>
    </row>
    <row r="348" spans="1:4" x14ac:dyDescent="0.25">
      <c r="A348" s="11">
        <v>45444</v>
      </c>
      <c r="B348" s="10" t="s">
        <v>1799</v>
      </c>
      <c r="C348" s="10" t="s">
        <v>1780</v>
      </c>
      <c r="D348" s="12">
        <v>5202.3100000000004</v>
      </c>
    </row>
    <row r="349" spans="1:4" x14ac:dyDescent="0.25">
      <c r="A349" s="14">
        <v>45444</v>
      </c>
      <c r="B349" s="13" t="s">
        <v>1786</v>
      </c>
      <c r="C349" s="13" t="s">
        <v>1786</v>
      </c>
      <c r="D349" s="15">
        <v>11376.11</v>
      </c>
    </row>
    <row r="350" spans="1:4" x14ac:dyDescent="0.25">
      <c r="A350" s="11">
        <v>45444</v>
      </c>
      <c r="B350" s="10" t="s">
        <v>1786</v>
      </c>
      <c r="C350" s="10" t="s">
        <v>1792</v>
      </c>
      <c r="D350" s="12">
        <v>10946.33</v>
      </c>
    </row>
    <row r="351" spans="1:4" x14ac:dyDescent="0.25">
      <c r="A351" s="14">
        <v>45444</v>
      </c>
      <c r="B351" s="13" t="s">
        <v>1862</v>
      </c>
      <c r="C351" s="13" t="s">
        <v>1792</v>
      </c>
      <c r="D351" s="15">
        <v>5808.37</v>
      </c>
    </row>
    <row r="352" spans="1:4" x14ac:dyDescent="0.25">
      <c r="A352" s="11">
        <v>45444</v>
      </c>
      <c r="B352" s="10" t="s">
        <v>1818</v>
      </c>
      <c r="C352" s="10" t="s">
        <v>1789</v>
      </c>
      <c r="D352" s="12">
        <v>4067.17</v>
      </c>
    </row>
    <row r="353" spans="1:4" x14ac:dyDescent="0.25">
      <c r="A353" s="14">
        <v>45444</v>
      </c>
      <c r="B353" s="13" t="s">
        <v>1774</v>
      </c>
      <c r="C353" s="13" t="s">
        <v>1783</v>
      </c>
      <c r="D353" s="15">
        <v>16642.21</v>
      </c>
    </row>
    <row r="354" spans="1:4" x14ac:dyDescent="0.25">
      <c r="A354" s="11">
        <v>45444</v>
      </c>
      <c r="B354" s="10" t="s">
        <v>1792</v>
      </c>
      <c r="C354" s="10" t="s">
        <v>1786</v>
      </c>
      <c r="D354" s="12">
        <v>13603.42</v>
      </c>
    </row>
    <row r="355" spans="1:4" x14ac:dyDescent="0.25">
      <c r="A355" s="14">
        <v>45444</v>
      </c>
      <c r="B355" s="13" t="s">
        <v>1862</v>
      </c>
      <c r="C355" s="13" t="s">
        <v>1775</v>
      </c>
      <c r="D355" s="15">
        <v>38648.959999999999</v>
      </c>
    </row>
    <row r="356" spans="1:4" x14ac:dyDescent="0.25">
      <c r="A356" s="11">
        <v>45444</v>
      </c>
      <c r="B356" s="10" t="s">
        <v>1862</v>
      </c>
      <c r="C356" s="10" t="s">
        <v>1795</v>
      </c>
      <c r="D356" s="12">
        <v>3014.62</v>
      </c>
    </row>
    <row r="357" spans="1:4" x14ac:dyDescent="0.25">
      <c r="A357" s="14">
        <v>45444</v>
      </c>
      <c r="B357" s="13" t="s">
        <v>1799</v>
      </c>
      <c r="C357" s="13" t="s">
        <v>1778</v>
      </c>
      <c r="D357" s="15">
        <v>10164.11</v>
      </c>
    </row>
    <row r="358" spans="1:4" x14ac:dyDescent="0.25">
      <c r="A358" s="11">
        <v>45444</v>
      </c>
      <c r="B358" s="10" t="s">
        <v>1786</v>
      </c>
      <c r="C358" s="10" t="s">
        <v>1797</v>
      </c>
      <c r="D358" s="12">
        <v>4419.09</v>
      </c>
    </row>
    <row r="359" spans="1:4" x14ac:dyDescent="0.25">
      <c r="A359" s="14">
        <v>45444</v>
      </c>
      <c r="B359" s="13" t="s">
        <v>1862</v>
      </c>
      <c r="C359" s="13" t="s">
        <v>1786</v>
      </c>
      <c r="D359" s="15">
        <v>6767.28</v>
      </c>
    </row>
    <row r="360" spans="1:4" x14ac:dyDescent="0.25">
      <c r="A360" s="11">
        <v>45444</v>
      </c>
      <c r="B360" s="10" t="s">
        <v>1862</v>
      </c>
      <c r="C360" s="10" t="s">
        <v>1783</v>
      </c>
      <c r="D360" s="12">
        <v>7052.23</v>
      </c>
    </row>
    <row r="361" spans="1:4" x14ac:dyDescent="0.25">
      <c r="A361" s="14">
        <v>45444</v>
      </c>
      <c r="B361" s="13" t="s">
        <v>1786</v>
      </c>
      <c r="C361" s="13" t="s">
        <v>1789</v>
      </c>
      <c r="D361" s="15">
        <v>7760.13</v>
      </c>
    </row>
    <row r="362" spans="1:4" x14ac:dyDescent="0.25">
      <c r="A362" s="11">
        <v>45444</v>
      </c>
      <c r="B362" s="10" t="s">
        <v>1792</v>
      </c>
      <c r="C362" s="10" t="s">
        <v>1775</v>
      </c>
      <c r="D362" s="12">
        <v>74722.34</v>
      </c>
    </row>
    <row r="363" spans="1:4" x14ac:dyDescent="0.25">
      <c r="A363" s="14">
        <v>45444</v>
      </c>
      <c r="B363" s="13" t="s">
        <v>1877</v>
      </c>
      <c r="C363" s="13" t="s">
        <v>1780</v>
      </c>
      <c r="D363" s="15">
        <v>6150.83</v>
      </c>
    </row>
    <row r="364" spans="1:4" x14ac:dyDescent="0.25">
      <c r="A364" s="11">
        <v>45444</v>
      </c>
      <c r="B364" s="10" t="s">
        <v>1818</v>
      </c>
      <c r="C364" s="10" t="s">
        <v>1797</v>
      </c>
      <c r="D364" s="12">
        <v>2248.2199999999998</v>
      </c>
    </row>
    <row r="365" spans="1:4" x14ac:dyDescent="0.25">
      <c r="A365" s="14">
        <v>45444</v>
      </c>
      <c r="B365" s="13" t="s">
        <v>1799</v>
      </c>
      <c r="C365" s="13" t="s">
        <v>1797</v>
      </c>
      <c r="D365" s="15">
        <v>2323.54</v>
      </c>
    </row>
    <row r="366" spans="1:4" x14ac:dyDescent="0.25">
      <c r="A366" s="11">
        <v>45444</v>
      </c>
      <c r="B366" s="10" t="s">
        <v>1818</v>
      </c>
      <c r="C366" s="10" t="s">
        <v>1786</v>
      </c>
      <c r="D366" s="12">
        <v>6954.94</v>
      </c>
    </row>
    <row r="367" spans="1:4" x14ac:dyDescent="0.25">
      <c r="A367" s="14">
        <v>45444</v>
      </c>
      <c r="B367" s="13" t="s">
        <v>1786</v>
      </c>
      <c r="C367" s="13" t="s">
        <v>1778</v>
      </c>
      <c r="D367" s="15">
        <v>17174.310000000001</v>
      </c>
    </row>
    <row r="368" spans="1:4" x14ac:dyDescent="0.25">
      <c r="A368" s="11">
        <v>45444</v>
      </c>
      <c r="B368" s="10" t="s">
        <v>1786</v>
      </c>
      <c r="C368" s="10" t="s">
        <v>1780</v>
      </c>
      <c r="D368" s="12">
        <v>6053.66</v>
      </c>
    </row>
    <row r="369" spans="1:4" x14ac:dyDescent="0.25">
      <c r="A369" s="14">
        <v>45444</v>
      </c>
      <c r="B369" s="13" t="s">
        <v>1877</v>
      </c>
      <c r="C369" s="13" t="s">
        <v>1789</v>
      </c>
      <c r="D369" s="15">
        <v>5833.35</v>
      </c>
    </row>
    <row r="370" spans="1:4" x14ac:dyDescent="0.25">
      <c r="A370" s="11">
        <v>45444</v>
      </c>
      <c r="B370" s="10" t="s">
        <v>1818</v>
      </c>
      <c r="C370" s="10" t="s">
        <v>1780</v>
      </c>
      <c r="D370" s="12">
        <v>4283.43</v>
      </c>
    </row>
    <row r="371" spans="1:4" x14ac:dyDescent="0.25">
      <c r="A371" s="14">
        <v>45444</v>
      </c>
      <c r="B371" s="13" t="s">
        <v>1862</v>
      </c>
      <c r="C371" s="13" t="s">
        <v>1797</v>
      </c>
      <c r="D371" s="15">
        <v>2698.92</v>
      </c>
    </row>
    <row r="372" spans="1:4" x14ac:dyDescent="0.25">
      <c r="A372" s="11">
        <v>45444</v>
      </c>
      <c r="B372" s="10" t="s">
        <v>1799</v>
      </c>
      <c r="C372" s="10" t="s">
        <v>1783</v>
      </c>
      <c r="D372" s="12">
        <v>5691.29</v>
      </c>
    </row>
    <row r="373" spans="1:4" x14ac:dyDescent="0.25">
      <c r="A373" s="14">
        <v>45444</v>
      </c>
      <c r="B373" s="13" t="s">
        <v>1877</v>
      </c>
      <c r="C373" s="13" t="s">
        <v>1792</v>
      </c>
      <c r="D373" s="15">
        <v>11738.48</v>
      </c>
    </row>
    <row r="374" spans="1:4" x14ac:dyDescent="0.25">
      <c r="A374" s="11">
        <v>45444</v>
      </c>
      <c r="B374" s="10" t="s">
        <v>1818</v>
      </c>
      <c r="C374" s="10" t="s">
        <v>1778</v>
      </c>
      <c r="D374" s="12">
        <v>9640.15</v>
      </c>
    </row>
    <row r="375" spans="1:4" x14ac:dyDescent="0.25">
      <c r="A375" s="14">
        <v>45444</v>
      </c>
      <c r="B375" s="13" t="s">
        <v>1786</v>
      </c>
      <c r="C375" s="13" t="s">
        <v>1775</v>
      </c>
      <c r="D375" s="15">
        <v>79824.960000000006</v>
      </c>
    </row>
    <row r="376" spans="1:4" x14ac:dyDescent="0.25">
      <c r="A376" s="11">
        <v>45444</v>
      </c>
      <c r="B376" s="10" t="s">
        <v>1792</v>
      </c>
      <c r="C376" s="10" t="s">
        <v>1795</v>
      </c>
      <c r="D376" s="12">
        <v>5659.74</v>
      </c>
    </row>
    <row r="377" spans="1:4" x14ac:dyDescent="0.25">
      <c r="A377" s="14">
        <v>45444</v>
      </c>
      <c r="B377" s="13" t="s">
        <v>1774</v>
      </c>
      <c r="C377" s="13" t="s">
        <v>1775</v>
      </c>
      <c r="D377" s="15">
        <v>130669.96</v>
      </c>
    </row>
    <row r="378" spans="1:4" x14ac:dyDescent="0.25">
      <c r="A378" s="11">
        <v>45444</v>
      </c>
      <c r="B378" s="10" t="s">
        <v>1792</v>
      </c>
      <c r="C378" s="10" t="s">
        <v>1797</v>
      </c>
      <c r="D378" s="12">
        <v>5712.65</v>
      </c>
    </row>
    <row r="379" spans="1:4" x14ac:dyDescent="0.25">
      <c r="A379" s="14">
        <v>45444</v>
      </c>
      <c r="B379" s="13" t="s">
        <v>1792</v>
      </c>
      <c r="C379" s="13" t="s">
        <v>1778</v>
      </c>
      <c r="D379" s="15">
        <v>19252.669999999998</v>
      </c>
    </row>
    <row r="380" spans="1:4" x14ac:dyDescent="0.25">
      <c r="A380" s="11">
        <v>45474</v>
      </c>
      <c r="B380" s="10" t="s">
        <v>1862</v>
      </c>
      <c r="C380" s="10" t="s">
        <v>1778</v>
      </c>
      <c r="D380" s="12">
        <v>7143.88</v>
      </c>
    </row>
    <row r="381" spans="1:4" x14ac:dyDescent="0.25">
      <c r="A381" s="14">
        <v>45474</v>
      </c>
      <c r="B381" s="13" t="s">
        <v>1877</v>
      </c>
      <c r="C381" s="13" t="s">
        <v>1778</v>
      </c>
      <c r="D381" s="15">
        <v>11584.48</v>
      </c>
    </row>
    <row r="382" spans="1:4" x14ac:dyDescent="0.25">
      <c r="A382" s="11">
        <v>45474</v>
      </c>
      <c r="B382" s="10" t="s">
        <v>1792</v>
      </c>
      <c r="C382" s="10" t="s">
        <v>1783</v>
      </c>
      <c r="D382" s="12">
        <v>13538.07</v>
      </c>
    </row>
    <row r="383" spans="1:4" x14ac:dyDescent="0.25">
      <c r="A383" s="14">
        <v>45474</v>
      </c>
      <c r="B383" s="13" t="s">
        <v>1877</v>
      </c>
      <c r="C383" s="13" t="s">
        <v>1789</v>
      </c>
      <c r="D383" s="15">
        <v>7961.68</v>
      </c>
    </row>
    <row r="384" spans="1:4" x14ac:dyDescent="0.25">
      <c r="A384" s="11">
        <v>45474</v>
      </c>
      <c r="B384" s="10" t="s">
        <v>1818</v>
      </c>
      <c r="C384" s="10" t="s">
        <v>1783</v>
      </c>
      <c r="D384" s="12">
        <v>5081.91</v>
      </c>
    </row>
    <row r="385" spans="1:4" x14ac:dyDescent="0.25">
      <c r="A385" s="14">
        <v>45474</v>
      </c>
      <c r="B385" s="13" t="s">
        <v>1877</v>
      </c>
      <c r="C385" s="13" t="s">
        <v>1783</v>
      </c>
      <c r="D385" s="15">
        <v>8476.31</v>
      </c>
    </row>
    <row r="386" spans="1:4" x14ac:dyDescent="0.25">
      <c r="A386" s="11">
        <v>45474</v>
      </c>
      <c r="B386" s="10" t="s">
        <v>1818</v>
      </c>
      <c r="C386" s="10" t="s">
        <v>1778</v>
      </c>
      <c r="D386" s="12">
        <v>7071.02</v>
      </c>
    </row>
    <row r="387" spans="1:4" x14ac:dyDescent="0.25">
      <c r="A387" s="14">
        <v>45474</v>
      </c>
      <c r="B387" s="13" t="s">
        <v>1792</v>
      </c>
      <c r="C387" s="13" t="s">
        <v>1795</v>
      </c>
      <c r="D387" s="15">
        <v>5019.83</v>
      </c>
    </row>
    <row r="388" spans="1:4" x14ac:dyDescent="0.25">
      <c r="A388" s="11">
        <v>45474</v>
      </c>
      <c r="B388" s="10" t="s">
        <v>1877</v>
      </c>
      <c r="C388" s="10" t="s">
        <v>1775</v>
      </c>
      <c r="D388" s="12">
        <v>72356.28</v>
      </c>
    </row>
    <row r="389" spans="1:4" x14ac:dyDescent="0.25">
      <c r="A389" s="14">
        <v>45474</v>
      </c>
      <c r="B389" s="13" t="s">
        <v>1818</v>
      </c>
      <c r="C389" s="13" t="s">
        <v>1786</v>
      </c>
      <c r="D389" s="15">
        <v>6171.82</v>
      </c>
    </row>
    <row r="390" spans="1:4" x14ac:dyDescent="0.25">
      <c r="A390" s="11">
        <v>45474</v>
      </c>
      <c r="B390" s="10" t="s">
        <v>1799</v>
      </c>
      <c r="C390" s="10" t="s">
        <v>1783</v>
      </c>
      <c r="D390" s="12">
        <v>8724.25</v>
      </c>
    </row>
    <row r="391" spans="1:4" x14ac:dyDescent="0.25">
      <c r="A391" s="14">
        <v>45474</v>
      </c>
      <c r="B391" s="13" t="s">
        <v>1774</v>
      </c>
      <c r="C391" s="13" t="s">
        <v>1786</v>
      </c>
      <c r="D391" s="15">
        <v>20764.02</v>
      </c>
    </row>
    <row r="392" spans="1:4" x14ac:dyDescent="0.25">
      <c r="A392" s="11">
        <v>45474</v>
      </c>
      <c r="B392" s="10" t="s">
        <v>1774</v>
      </c>
      <c r="C392" s="10" t="s">
        <v>1797</v>
      </c>
      <c r="D392" s="12">
        <v>6101.36</v>
      </c>
    </row>
    <row r="393" spans="1:4" x14ac:dyDescent="0.25">
      <c r="A393" s="14">
        <v>45474</v>
      </c>
      <c r="B393" s="13" t="s">
        <v>1799</v>
      </c>
      <c r="C393" s="13" t="s">
        <v>1775</v>
      </c>
      <c r="D393" s="15">
        <v>37342.980000000003</v>
      </c>
    </row>
    <row r="394" spans="1:4" x14ac:dyDescent="0.25">
      <c r="A394" s="11">
        <v>45474</v>
      </c>
      <c r="B394" s="10" t="s">
        <v>1774</v>
      </c>
      <c r="C394" s="10" t="s">
        <v>1789</v>
      </c>
      <c r="D394" s="12">
        <v>10146.19</v>
      </c>
    </row>
    <row r="395" spans="1:4" x14ac:dyDescent="0.25">
      <c r="A395" s="14">
        <v>45474</v>
      </c>
      <c r="B395" s="13" t="s">
        <v>1862</v>
      </c>
      <c r="C395" s="13" t="s">
        <v>1797</v>
      </c>
      <c r="D395" s="15">
        <v>2826.35</v>
      </c>
    </row>
    <row r="396" spans="1:4" x14ac:dyDescent="0.25">
      <c r="A396" s="11">
        <v>45474</v>
      </c>
      <c r="B396" s="10" t="s">
        <v>1862</v>
      </c>
      <c r="C396" s="10" t="s">
        <v>1780</v>
      </c>
      <c r="D396" s="12">
        <v>5135.57</v>
      </c>
    </row>
    <row r="397" spans="1:4" x14ac:dyDescent="0.25">
      <c r="A397" s="14">
        <v>45474</v>
      </c>
      <c r="B397" s="13" t="s">
        <v>1818</v>
      </c>
      <c r="C397" s="13" t="s">
        <v>1775</v>
      </c>
      <c r="D397" s="15">
        <v>42593.23</v>
      </c>
    </row>
    <row r="398" spans="1:4" x14ac:dyDescent="0.25">
      <c r="A398" s="11">
        <v>45474</v>
      </c>
      <c r="B398" s="10" t="s">
        <v>1792</v>
      </c>
      <c r="C398" s="10" t="s">
        <v>1786</v>
      </c>
      <c r="D398" s="12">
        <v>17014.650000000001</v>
      </c>
    </row>
    <row r="399" spans="1:4" x14ac:dyDescent="0.25">
      <c r="A399" s="14">
        <v>45474</v>
      </c>
      <c r="B399" s="13" t="s">
        <v>1862</v>
      </c>
      <c r="C399" s="13" t="s">
        <v>1775</v>
      </c>
      <c r="D399" s="15">
        <v>50316.37</v>
      </c>
    </row>
    <row r="400" spans="1:4" x14ac:dyDescent="0.25">
      <c r="A400" s="11">
        <v>45474</v>
      </c>
      <c r="B400" s="10" t="s">
        <v>1862</v>
      </c>
      <c r="C400" s="10" t="s">
        <v>1795</v>
      </c>
      <c r="D400" s="12">
        <v>2240.8200000000002</v>
      </c>
    </row>
    <row r="401" spans="1:4" x14ac:dyDescent="0.25">
      <c r="A401" s="14">
        <v>45474</v>
      </c>
      <c r="B401" s="13" t="s">
        <v>1799</v>
      </c>
      <c r="C401" s="13" t="s">
        <v>1786</v>
      </c>
      <c r="D401" s="15">
        <v>7368.94</v>
      </c>
    </row>
    <row r="402" spans="1:4" x14ac:dyDescent="0.25">
      <c r="A402" s="11">
        <v>45474</v>
      </c>
      <c r="B402" s="10" t="s">
        <v>1792</v>
      </c>
      <c r="C402" s="10" t="s">
        <v>1792</v>
      </c>
      <c r="D402" s="12">
        <v>12857.94</v>
      </c>
    </row>
    <row r="403" spans="1:4" x14ac:dyDescent="0.25">
      <c r="A403" s="14">
        <v>45474</v>
      </c>
      <c r="B403" s="13" t="s">
        <v>1792</v>
      </c>
      <c r="C403" s="13" t="s">
        <v>1778</v>
      </c>
      <c r="D403" s="15">
        <v>18623.54</v>
      </c>
    </row>
    <row r="404" spans="1:4" x14ac:dyDescent="0.25">
      <c r="A404" s="11">
        <v>45474</v>
      </c>
      <c r="B404" s="10" t="s">
        <v>1792</v>
      </c>
      <c r="C404" s="10" t="s">
        <v>1775</v>
      </c>
      <c r="D404" s="12">
        <v>92061.4</v>
      </c>
    </row>
    <row r="405" spans="1:4" x14ac:dyDescent="0.25">
      <c r="A405" s="14">
        <v>45474</v>
      </c>
      <c r="B405" s="13" t="s">
        <v>1818</v>
      </c>
      <c r="C405" s="13" t="s">
        <v>1780</v>
      </c>
      <c r="D405" s="15">
        <v>3978.15</v>
      </c>
    </row>
    <row r="406" spans="1:4" x14ac:dyDescent="0.25">
      <c r="A406" s="11">
        <v>45474</v>
      </c>
      <c r="B406" s="10" t="s">
        <v>1774</v>
      </c>
      <c r="C406" s="10" t="s">
        <v>1780</v>
      </c>
      <c r="D406" s="12">
        <v>10628.19</v>
      </c>
    </row>
    <row r="407" spans="1:4" x14ac:dyDescent="0.25">
      <c r="A407" s="14">
        <v>45474</v>
      </c>
      <c r="B407" s="13" t="s">
        <v>1862</v>
      </c>
      <c r="C407" s="13" t="s">
        <v>1792</v>
      </c>
      <c r="D407" s="15">
        <v>6712.42</v>
      </c>
    </row>
    <row r="408" spans="1:4" x14ac:dyDescent="0.25">
      <c r="A408" s="11">
        <v>45474</v>
      </c>
      <c r="B408" s="10" t="s">
        <v>1786</v>
      </c>
      <c r="C408" s="10" t="s">
        <v>1783</v>
      </c>
      <c r="D408" s="12">
        <v>10619.06</v>
      </c>
    </row>
    <row r="409" spans="1:4" x14ac:dyDescent="0.25">
      <c r="A409" s="14">
        <v>45474</v>
      </c>
      <c r="B409" s="13" t="s">
        <v>1786</v>
      </c>
      <c r="C409" s="13" t="s">
        <v>1789</v>
      </c>
      <c r="D409" s="15">
        <v>6889.35</v>
      </c>
    </row>
    <row r="410" spans="1:4" x14ac:dyDescent="0.25">
      <c r="A410" s="11">
        <v>45474</v>
      </c>
      <c r="B410" s="10" t="s">
        <v>1862</v>
      </c>
      <c r="C410" s="10" t="s">
        <v>1789</v>
      </c>
      <c r="D410" s="12">
        <v>3670.96</v>
      </c>
    </row>
    <row r="411" spans="1:4" x14ac:dyDescent="0.25">
      <c r="A411" s="14">
        <v>45474</v>
      </c>
      <c r="B411" s="13" t="s">
        <v>1786</v>
      </c>
      <c r="C411" s="13" t="s">
        <v>1786</v>
      </c>
      <c r="D411" s="15">
        <v>8947.8799999999992</v>
      </c>
    </row>
    <row r="412" spans="1:4" x14ac:dyDescent="0.25">
      <c r="A412" s="11">
        <v>45474</v>
      </c>
      <c r="B412" s="10" t="s">
        <v>1877</v>
      </c>
      <c r="C412" s="10" t="s">
        <v>1786</v>
      </c>
      <c r="D412" s="12">
        <v>12700.02</v>
      </c>
    </row>
    <row r="413" spans="1:4" x14ac:dyDescent="0.25">
      <c r="A413" s="14">
        <v>45474</v>
      </c>
      <c r="B413" s="13" t="s">
        <v>1877</v>
      </c>
      <c r="C413" s="13" t="s">
        <v>1797</v>
      </c>
      <c r="D413" s="15">
        <v>4089.07</v>
      </c>
    </row>
    <row r="414" spans="1:4" x14ac:dyDescent="0.25">
      <c r="A414" s="11">
        <v>45474</v>
      </c>
      <c r="B414" s="10" t="s">
        <v>1818</v>
      </c>
      <c r="C414" s="10" t="s">
        <v>1795</v>
      </c>
      <c r="D414" s="12">
        <v>2659.09</v>
      </c>
    </row>
    <row r="415" spans="1:4" x14ac:dyDescent="0.25">
      <c r="A415" s="14">
        <v>45474</v>
      </c>
      <c r="B415" s="13" t="s">
        <v>1774</v>
      </c>
      <c r="C415" s="13" t="s">
        <v>1795</v>
      </c>
      <c r="D415" s="15">
        <v>4919.3500000000004</v>
      </c>
    </row>
    <row r="416" spans="1:4" x14ac:dyDescent="0.25">
      <c r="A416" s="11">
        <v>45474</v>
      </c>
      <c r="B416" s="10" t="s">
        <v>1818</v>
      </c>
      <c r="C416" s="10" t="s">
        <v>1797</v>
      </c>
      <c r="D416" s="12">
        <v>2392.1999999999998</v>
      </c>
    </row>
    <row r="417" spans="1:4" x14ac:dyDescent="0.25">
      <c r="A417" s="14">
        <v>45474</v>
      </c>
      <c r="B417" s="13" t="s">
        <v>1818</v>
      </c>
      <c r="C417" s="13" t="s">
        <v>1789</v>
      </c>
      <c r="D417" s="15">
        <v>3170.54</v>
      </c>
    </row>
    <row r="418" spans="1:4" x14ac:dyDescent="0.25">
      <c r="A418" s="11">
        <v>45474</v>
      </c>
      <c r="B418" s="10" t="s">
        <v>1799</v>
      </c>
      <c r="C418" s="10" t="s">
        <v>1797</v>
      </c>
      <c r="D418" s="12">
        <v>2959.25</v>
      </c>
    </row>
    <row r="419" spans="1:4" x14ac:dyDescent="0.25">
      <c r="A419" s="14">
        <v>45474</v>
      </c>
      <c r="B419" s="13" t="s">
        <v>1786</v>
      </c>
      <c r="C419" s="13" t="s">
        <v>1778</v>
      </c>
      <c r="D419" s="15">
        <v>18082.990000000002</v>
      </c>
    </row>
    <row r="420" spans="1:4" x14ac:dyDescent="0.25">
      <c r="A420" s="11">
        <v>45474</v>
      </c>
      <c r="B420" s="10" t="s">
        <v>1792</v>
      </c>
      <c r="C420" s="10" t="s">
        <v>1797</v>
      </c>
      <c r="D420" s="12">
        <v>4927.75</v>
      </c>
    </row>
    <row r="421" spans="1:4" x14ac:dyDescent="0.25">
      <c r="A421" s="14">
        <v>45474</v>
      </c>
      <c r="B421" s="13" t="s">
        <v>1774</v>
      </c>
      <c r="C421" s="13" t="s">
        <v>1783</v>
      </c>
      <c r="D421" s="15">
        <v>16034.41</v>
      </c>
    </row>
    <row r="422" spans="1:4" x14ac:dyDescent="0.25">
      <c r="A422" s="11">
        <v>45474</v>
      </c>
      <c r="B422" s="10" t="s">
        <v>1792</v>
      </c>
      <c r="C422" s="10" t="s">
        <v>1789</v>
      </c>
      <c r="D422" s="12">
        <v>10517.38</v>
      </c>
    </row>
    <row r="423" spans="1:4" x14ac:dyDescent="0.25">
      <c r="A423" s="14">
        <v>45474</v>
      </c>
      <c r="B423" s="13" t="s">
        <v>1799</v>
      </c>
      <c r="C423" s="13" t="s">
        <v>1780</v>
      </c>
      <c r="D423" s="15">
        <v>3956.36</v>
      </c>
    </row>
    <row r="424" spans="1:4" x14ac:dyDescent="0.25">
      <c r="A424" s="11">
        <v>45474</v>
      </c>
      <c r="B424" s="10" t="s">
        <v>1774</v>
      </c>
      <c r="C424" s="10" t="s">
        <v>1775</v>
      </c>
      <c r="D424" s="12">
        <v>109595.03</v>
      </c>
    </row>
    <row r="425" spans="1:4" x14ac:dyDescent="0.25">
      <c r="A425" s="14">
        <v>45474</v>
      </c>
      <c r="B425" s="13" t="s">
        <v>1786</v>
      </c>
      <c r="C425" s="13" t="s">
        <v>1780</v>
      </c>
      <c r="D425" s="15">
        <v>8619.82</v>
      </c>
    </row>
    <row r="426" spans="1:4" x14ac:dyDescent="0.25">
      <c r="A426" s="11">
        <v>45474</v>
      </c>
      <c r="B426" s="10" t="s">
        <v>1792</v>
      </c>
      <c r="C426" s="10" t="s">
        <v>1780</v>
      </c>
      <c r="D426" s="12">
        <v>8052.99</v>
      </c>
    </row>
    <row r="427" spans="1:4" x14ac:dyDescent="0.25">
      <c r="A427" s="14">
        <v>45474</v>
      </c>
      <c r="B427" s="13" t="s">
        <v>1818</v>
      </c>
      <c r="C427" s="13" t="s">
        <v>1792</v>
      </c>
      <c r="D427" s="15">
        <v>6145.88</v>
      </c>
    </row>
    <row r="428" spans="1:4" x14ac:dyDescent="0.25">
      <c r="A428" s="11">
        <v>45474</v>
      </c>
      <c r="B428" s="10" t="s">
        <v>1877</v>
      </c>
      <c r="C428" s="10" t="s">
        <v>1792</v>
      </c>
      <c r="D428" s="12">
        <v>11281.73</v>
      </c>
    </row>
    <row r="429" spans="1:4" x14ac:dyDescent="0.25">
      <c r="A429" s="14">
        <v>45474</v>
      </c>
      <c r="B429" s="13" t="s">
        <v>1786</v>
      </c>
      <c r="C429" s="13" t="s">
        <v>1792</v>
      </c>
      <c r="D429" s="15">
        <v>12174.86</v>
      </c>
    </row>
    <row r="430" spans="1:4" x14ac:dyDescent="0.25">
      <c r="A430" s="11">
        <v>45474</v>
      </c>
      <c r="B430" s="10" t="s">
        <v>1786</v>
      </c>
      <c r="C430" s="10" t="s">
        <v>1797</v>
      </c>
      <c r="D430" s="12">
        <v>3699.01</v>
      </c>
    </row>
    <row r="431" spans="1:4" x14ac:dyDescent="0.25">
      <c r="A431" s="14">
        <v>45474</v>
      </c>
      <c r="B431" s="13" t="s">
        <v>1786</v>
      </c>
      <c r="C431" s="13" t="s">
        <v>1795</v>
      </c>
      <c r="D431" s="15">
        <v>5151.6400000000003</v>
      </c>
    </row>
    <row r="432" spans="1:4" x14ac:dyDescent="0.25">
      <c r="A432" s="11">
        <v>45474</v>
      </c>
      <c r="B432" s="10" t="s">
        <v>1877</v>
      </c>
      <c r="C432" s="10" t="s">
        <v>1795</v>
      </c>
      <c r="D432" s="12">
        <v>3548.97</v>
      </c>
    </row>
    <row r="433" spans="1:4" x14ac:dyDescent="0.25">
      <c r="A433" s="14">
        <v>45474</v>
      </c>
      <c r="B433" s="13" t="s">
        <v>1799</v>
      </c>
      <c r="C433" s="13" t="s">
        <v>1795</v>
      </c>
      <c r="D433" s="15">
        <v>3385.79</v>
      </c>
    </row>
    <row r="434" spans="1:4" x14ac:dyDescent="0.25">
      <c r="A434" s="11">
        <v>45474</v>
      </c>
      <c r="B434" s="10" t="s">
        <v>1799</v>
      </c>
      <c r="C434" s="10" t="s">
        <v>1789</v>
      </c>
      <c r="D434" s="12">
        <v>3946.19</v>
      </c>
    </row>
    <row r="435" spans="1:4" x14ac:dyDescent="0.25">
      <c r="A435" s="14">
        <v>45474</v>
      </c>
      <c r="B435" s="13" t="s">
        <v>1774</v>
      </c>
      <c r="C435" s="13" t="s">
        <v>1792</v>
      </c>
      <c r="D435" s="15">
        <v>18193.59</v>
      </c>
    </row>
    <row r="436" spans="1:4" x14ac:dyDescent="0.25">
      <c r="A436" s="11">
        <v>45474</v>
      </c>
      <c r="B436" s="10" t="s">
        <v>1799</v>
      </c>
      <c r="C436" s="10" t="s">
        <v>1792</v>
      </c>
      <c r="D436" s="12">
        <v>7473.87</v>
      </c>
    </row>
    <row r="437" spans="1:4" x14ac:dyDescent="0.25">
      <c r="A437" s="14">
        <v>45474</v>
      </c>
      <c r="B437" s="13" t="s">
        <v>1862</v>
      </c>
      <c r="C437" s="13" t="s">
        <v>1786</v>
      </c>
      <c r="D437" s="15">
        <v>6045.19</v>
      </c>
    </row>
    <row r="438" spans="1:4" x14ac:dyDescent="0.25">
      <c r="A438" s="11">
        <v>45474</v>
      </c>
      <c r="B438" s="10" t="s">
        <v>1877</v>
      </c>
      <c r="C438" s="10" t="s">
        <v>1780</v>
      </c>
      <c r="D438" s="12">
        <v>6293.4</v>
      </c>
    </row>
    <row r="439" spans="1:4" x14ac:dyDescent="0.25">
      <c r="A439" s="14">
        <v>45474</v>
      </c>
      <c r="B439" s="13" t="s">
        <v>1799</v>
      </c>
      <c r="C439" s="13" t="s">
        <v>1778</v>
      </c>
      <c r="D439" s="15">
        <v>10730.52</v>
      </c>
    </row>
    <row r="440" spans="1:4" x14ac:dyDescent="0.25">
      <c r="A440" s="11">
        <v>45474</v>
      </c>
      <c r="B440" s="10" t="s">
        <v>1774</v>
      </c>
      <c r="C440" s="10" t="s">
        <v>1778</v>
      </c>
      <c r="D440" s="12">
        <v>18057.599999999999</v>
      </c>
    </row>
    <row r="441" spans="1:4" x14ac:dyDescent="0.25">
      <c r="A441" s="14">
        <v>45474</v>
      </c>
      <c r="B441" s="13" t="s">
        <v>1862</v>
      </c>
      <c r="C441" s="13" t="s">
        <v>1783</v>
      </c>
      <c r="D441" s="15">
        <v>5707.22</v>
      </c>
    </row>
    <row r="442" spans="1:4" x14ac:dyDescent="0.25">
      <c r="A442" s="11">
        <v>45474</v>
      </c>
      <c r="B442" s="10" t="s">
        <v>1786</v>
      </c>
      <c r="C442" s="10" t="s">
        <v>1775</v>
      </c>
      <c r="D442" s="12">
        <v>69769.960000000006</v>
      </c>
    </row>
    <row r="443" spans="1:4" x14ac:dyDescent="0.25">
      <c r="A443" s="14">
        <v>45505</v>
      </c>
      <c r="B443" s="13" t="s">
        <v>1862</v>
      </c>
      <c r="C443" s="13" t="s">
        <v>1778</v>
      </c>
      <c r="D443" s="15">
        <v>10005.030000000001</v>
      </c>
    </row>
    <row r="444" spans="1:4" x14ac:dyDescent="0.25">
      <c r="A444" s="11">
        <v>45505</v>
      </c>
      <c r="B444" s="10" t="s">
        <v>1862</v>
      </c>
      <c r="C444" s="10" t="s">
        <v>1795</v>
      </c>
      <c r="D444" s="12">
        <v>2891.61</v>
      </c>
    </row>
    <row r="445" spans="1:4" x14ac:dyDescent="0.25">
      <c r="A445" s="14">
        <v>45505</v>
      </c>
      <c r="B445" s="13" t="s">
        <v>1774</v>
      </c>
      <c r="C445" s="13" t="s">
        <v>1786</v>
      </c>
      <c r="D445" s="15">
        <v>17958.09</v>
      </c>
    </row>
    <row r="446" spans="1:4" x14ac:dyDescent="0.25">
      <c r="A446" s="11">
        <v>45505</v>
      </c>
      <c r="B446" s="10" t="s">
        <v>1786</v>
      </c>
      <c r="C446" s="10" t="s">
        <v>1786</v>
      </c>
      <c r="D446" s="12">
        <v>10021.1</v>
      </c>
    </row>
    <row r="447" spans="1:4" x14ac:dyDescent="0.25">
      <c r="A447" s="14">
        <v>45505</v>
      </c>
      <c r="B447" s="13" t="s">
        <v>1786</v>
      </c>
      <c r="C447" s="13" t="s">
        <v>1783</v>
      </c>
      <c r="D447" s="15">
        <v>13707.03</v>
      </c>
    </row>
    <row r="448" spans="1:4" x14ac:dyDescent="0.25">
      <c r="A448" s="11">
        <v>45505</v>
      </c>
      <c r="B448" s="10" t="s">
        <v>1877</v>
      </c>
      <c r="C448" s="10" t="s">
        <v>1778</v>
      </c>
      <c r="D448" s="12">
        <v>12672.93</v>
      </c>
    </row>
    <row r="449" spans="1:4" x14ac:dyDescent="0.25">
      <c r="A449" s="14">
        <v>45505</v>
      </c>
      <c r="B449" s="13" t="s">
        <v>1862</v>
      </c>
      <c r="C449" s="13" t="s">
        <v>1789</v>
      </c>
      <c r="D449" s="15">
        <v>4805.99</v>
      </c>
    </row>
    <row r="450" spans="1:4" x14ac:dyDescent="0.25">
      <c r="A450" s="11">
        <v>45505</v>
      </c>
      <c r="B450" s="10" t="s">
        <v>1862</v>
      </c>
      <c r="C450" s="10" t="s">
        <v>1797</v>
      </c>
      <c r="D450" s="12">
        <v>2790.13</v>
      </c>
    </row>
    <row r="451" spans="1:4" x14ac:dyDescent="0.25">
      <c r="A451" s="14">
        <v>45505</v>
      </c>
      <c r="B451" s="13" t="s">
        <v>1799</v>
      </c>
      <c r="C451" s="13" t="s">
        <v>1783</v>
      </c>
      <c r="D451" s="15">
        <v>5605.68</v>
      </c>
    </row>
    <row r="452" spans="1:4" x14ac:dyDescent="0.25">
      <c r="A452" s="11">
        <v>45505</v>
      </c>
      <c r="B452" s="10" t="s">
        <v>1786</v>
      </c>
      <c r="C452" s="10" t="s">
        <v>1797</v>
      </c>
      <c r="D452" s="12">
        <v>4063.97</v>
      </c>
    </row>
    <row r="453" spans="1:4" x14ac:dyDescent="0.25">
      <c r="A453" s="14">
        <v>45505</v>
      </c>
      <c r="B453" s="13" t="s">
        <v>1818</v>
      </c>
      <c r="C453" s="13" t="s">
        <v>1778</v>
      </c>
      <c r="D453" s="15">
        <v>6417.8</v>
      </c>
    </row>
    <row r="454" spans="1:4" x14ac:dyDescent="0.25">
      <c r="A454" s="11">
        <v>45505</v>
      </c>
      <c r="B454" s="10" t="s">
        <v>1792</v>
      </c>
      <c r="C454" s="10" t="s">
        <v>1775</v>
      </c>
      <c r="D454" s="12">
        <v>79039.08</v>
      </c>
    </row>
    <row r="455" spans="1:4" x14ac:dyDescent="0.25">
      <c r="A455" s="14">
        <v>45505</v>
      </c>
      <c r="B455" s="13" t="s">
        <v>1818</v>
      </c>
      <c r="C455" s="13" t="s">
        <v>1783</v>
      </c>
      <c r="D455" s="15">
        <v>6276.48</v>
      </c>
    </row>
    <row r="456" spans="1:4" x14ac:dyDescent="0.25">
      <c r="A456" s="11">
        <v>45505</v>
      </c>
      <c r="B456" s="10" t="s">
        <v>1786</v>
      </c>
      <c r="C456" s="10" t="s">
        <v>1780</v>
      </c>
      <c r="D456" s="12">
        <v>7051.11</v>
      </c>
    </row>
    <row r="457" spans="1:4" x14ac:dyDescent="0.25">
      <c r="A457" s="14">
        <v>45505</v>
      </c>
      <c r="B457" s="13" t="s">
        <v>1818</v>
      </c>
      <c r="C457" s="13" t="s">
        <v>1789</v>
      </c>
      <c r="D457" s="15">
        <v>4012.45</v>
      </c>
    </row>
    <row r="458" spans="1:4" x14ac:dyDescent="0.25">
      <c r="A458" s="11">
        <v>45505</v>
      </c>
      <c r="B458" s="10" t="s">
        <v>1792</v>
      </c>
      <c r="C458" s="10" t="s">
        <v>1797</v>
      </c>
      <c r="D458" s="12">
        <v>4977.25</v>
      </c>
    </row>
    <row r="459" spans="1:4" x14ac:dyDescent="0.25">
      <c r="A459" s="14">
        <v>45505</v>
      </c>
      <c r="B459" s="13" t="s">
        <v>1877</v>
      </c>
      <c r="C459" s="13" t="s">
        <v>1792</v>
      </c>
      <c r="D459" s="15">
        <v>8788.15</v>
      </c>
    </row>
    <row r="460" spans="1:4" x14ac:dyDescent="0.25">
      <c r="A460" s="11">
        <v>45505</v>
      </c>
      <c r="B460" s="10" t="s">
        <v>1818</v>
      </c>
      <c r="C460" s="10" t="s">
        <v>1775</v>
      </c>
      <c r="D460" s="12">
        <v>39811.08</v>
      </c>
    </row>
    <row r="461" spans="1:4" x14ac:dyDescent="0.25">
      <c r="A461" s="14">
        <v>45505</v>
      </c>
      <c r="B461" s="13" t="s">
        <v>1774</v>
      </c>
      <c r="C461" s="13" t="s">
        <v>1778</v>
      </c>
      <c r="D461" s="15">
        <v>18943.990000000002</v>
      </c>
    </row>
    <row r="462" spans="1:4" x14ac:dyDescent="0.25">
      <c r="A462" s="11">
        <v>45505</v>
      </c>
      <c r="B462" s="10" t="s">
        <v>1877</v>
      </c>
      <c r="C462" s="10" t="s">
        <v>1797</v>
      </c>
      <c r="D462" s="12">
        <v>3975.95</v>
      </c>
    </row>
    <row r="463" spans="1:4" x14ac:dyDescent="0.25">
      <c r="A463" s="14">
        <v>45505</v>
      </c>
      <c r="B463" s="13" t="s">
        <v>1862</v>
      </c>
      <c r="C463" s="13" t="s">
        <v>1786</v>
      </c>
      <c r="D463" s="15">
        <v>6720.94</v>
      </c>
    </row>
    <row r="464" spans="1:4" x14ac:dyDescent="0.25">
      <c r="A464" s="11">
        <v>45505</v>
      </c>
      <c r="B464" s="10" t="s">
        <v>1786</v>
      </c>
      <c r="C464" s="10" t="s">
        <v>1795</v>
      </c>
      <c r="D464" s="12">
        <v>4942.2700000000004</v>
      </c>
    </row>
    <row r="465" spans="1:4" x14ac:dyDescent="0.25">
      <c r="A465" s="14">
        <v>45505</v>
      </c>
      <c r="B465" s="13" t="s">
        <v>1877</v>
      </c>
      <c r="C465" s="13" t="s">
        <v>1780</v>
      </c>
      <c r="D465" s="15">
        <v>6303.39</v>
      </c>
    </row>
    <row r="466" spans="1:4" x14ac:dyDescent="0.25">
      <c r="A466" s="11">
        <v>45505</v>
      </c>
      <c r="B466" s="10" t="s">
        <v>1862</v>
      </c>
      <c r="C466" s="10" t="s">
        <v>1792</v>
      </c>
      <c r="D466" s="12">
        <v>6307.09</v>
      </c>
    </row>
    <row r="467" spans="1:4" x14ac:dyDescent="0.25">
      <c r="A467" s="14">
        <v>45505</v>
      </c>
      <c r="B467" s="13" t="s">
        <v>1774</v>
      </c>
      <c r="C467" s="13" t="s">
        <v>1797</v>
      </c>
      <c r="D467" s="15">
        <v>7518.32</v>
      </c>
    </row>
    <row r="468" spans="1:4" x14ac:dyDescent="0.25">
      <c r="A468" s="11">
        <v>45505</v>
      </c>
      <c r="B468" s="10" t="s">
        <v>1877</v>
      </c>
      <c r="C468" s="10" t="s">
        <v>1786</v>
      </c>
      <c r="D468" s="12">
        <v>9963.65</v>
      </c>
    </row>
    <row r="469" spans="1:4" x14ac:dyDescent="0.25">
      <c r="A469" s="14">
        <v>45505</v>
      </c>
      <c r="B469" s="13" t="s">
        <v>1862</v>
      </c>
      <c r="C469" s="13" t="s">
        <v>1783</v>
      </c>
      <c r="D469" s="15">
        <v>5867.87</v>
      </c>
    </row>
    <row r="470" spans="1:4" x14ac:dyDescent="0.25">
      <c r="A470" s="11">
        <v>45505</v>
      </c>
      <c r="B470" s="10" t="s">
        <v>1799</v>
      </c>
      <c r="C470" s="10" t="s">
        <v>1778</v>
      </c>
      <c r="D470" s="12">
        <v>7064.48</v>
      </c>
    </row>
    <row r="471" spans="1:4" x14ac:dyDescent="0.25">
      <c r="A471" s="14">
        <v>45505</v>
      </c>
      <c r="B471" s="13" t="s">
        <v>1786</v>
      </c>
      <c r="C471" s="13" t="s">
        <v>1778</v>
      </c>
      <c r="D471" s="15">
        <v>12337.96</v>
      </c>
    </row>
    <row r="472" spans="1:4" x14ac:dyDescent="0.25">
      <c r="A472" s="11">
        <v>45505</v>
      </c>
      <c r="B472" s="10" t="s">
        <v>1818</v>
      </c>
      <c r="C472" s="10" t="s">
        <v>1795</v>
      </c>
      <c r="D472" s="12">
        <v>2364.41</v>
      </c>
    </row>
    <row r="473" spans="1:4" x14ac:dyDescent="0.25">
      <c r="A473" s="14">
        <v>45505</v>
      </c>
      <c r="B473" s="13" t="s">
        <v>1774</v>
      </c>
      <c r="C473" s="13" t="s">
        <v>1775</v>
      </c>
      <c r="D473" s="15">
        <v>108722.62</v>
      </c>
    </row>
    <row r="474" spans="1:4" x14ac:dyDescent="0.25">
      <c r="A474" s="11">
        <v>45505</v>
      </c>
      <c r="B474" s="10" t="s">
        <v>1862</v>
      </c>
      <c r="C474" s="10" t="s">
        <v>1775</v>
      </c>
      <c r="D474" s="12">
        <v>34740.65</v>
      </c>
    </row>
    <row r="475" spans="1:4" x14ac:dyDescent="0.25">
      <c r="A475" s="14">
        <v>45505</v>
      </c>
      <c r="B475" s="13" t="s">
        <v>1799</v>
      </c>
      <c r="C475" s="13" t="s">
        <v>1775</v>
      </c>
      <c r="D475" s="15">
        <v>40471.08</v>
      </c>
    </row>
    <row r="476" spans="1:4" x14ac:dyDescent="0.25">
      <c r="A476" s="11">
        <v>45505</v>
      </c>
      <c r="B476" s="10" t="s">
        <v>1792</v>
      </c>
      <c r="C476" s="10" t="s">
        <v>1795</v>
      </c>
      <c r="D476" s="12">
        <v>4956.5200000000004</v>
      </c>
    </row>
    <row r="477" spans="1:4" x14ac:dyDescent="0.25">
      <c r="A477" s="14">
        <v>45505</v>
      </c>
      <c r="B477" s="13" t="s">
        <v>1818</v>
      </c>
      <c r="C477" s="13" t="s">
        <v>1797</v>
      </c>
      <c r="D477" s="15">
        <v>2020.73</v>
      </c>
    </row>
    <row r="478" spans="1:4" x14ac:dyDescent="0.25">
      <c r="A478" s="11">
        <v>45505</v>
      </c>
      <c r="B478" s="10" t="s">
        <v>1818</v>
      </c>
      <c r="C478" s="10" t="s">
        <v>1780</v>
      </c>
      <c r="D478" s="12">
        <v>4131.47</v>
      </c>
    </row>
    <row r="479" spans="1:4" x14ac:dyDescent="0.25">
      <c r="A479" s="14">
        <v>45505</v>
      </c>
      <c r="B479" s="13" t="s">
        <v>1774</v>
      </c>
      <c r="C479" s="13" t="s">
        <v>1780</v>
      </c>
      <c r="D479" s="15">
        <v>9776.16</v>
      </c>
    </row>
    <row r="480" spans="1:4" x14ac:dyDescent="0.25">
      <c r="A480" s="11">
        <v>45505</v>
      </c>
      <c r="B480" s="10" t="s">
        <v>1786</v>
      </c>
      <c r="C480" s="10" t="s">
        <v>1792</v>
      </c>
      <c r="D480" s="12">
        <v>8412.8700000000008</v>
      </c>
    </row>
    <row r="481" spans="1:4" x14ac:dyDescent="0.25">
      <c r="A481" s="14">
        <v>45505</v>
      </c>
      <c r="B481" s="13" t="s">
        <v>1792</v>
      </c>
      <c r="C481" s="13" t="s">
        <v>1780</v>
      </c>
      <c r="D481" s="15">
        <v>9294.11</v>
      </c>
    </row>
    <row r="482" spans="1:4" x14ac:dyDescent="0.25">
      <c r="A482" s="11">
        <v>45505</v>
      </c>
      <c r="B482" s="10" t="s">
        <v>1818</v>
      </c>
      <c r="C482" s="10" t="s">
        <v>1792</v>
      </c>
      <c r="D482" s="12">
        <v>4511.7299999999996</v>
      </c>
    </row>
    <row r="483" spans="1:4" x14ac:dyDescent="0.25">
      <c r="A483" s="14">
        <v>45505</v>
      </c>
      <c r="B483" s="13" t="s">
        <v>1799</v>
      </c>
      <c r="C483" s="13" t="s">
        <v>1786</v>
      </c>
      <c r="D483" s="15">
        <v>6987.58</v>
      </c>
    </row>
    <row r="484" spans="1:4" x14ac:dyDescent="0.25">
      <c r="A484" s="11">
        <v>45505</v>
      </c>
      <c r="B484" s="10" t="s">
        <v>1799</v>
      </c>
      <c r="C484" s="10" t="s">
        <v>1795</v>
      </c>
      <c r="D484" s="12">
        <v>2306.81</v>
      </c>
    </row>
    <row r="485" spans="1:4" x14ac:dyDescent="0.25">
      <c r="A485" s="14">
        <v>45505</v>
      </c>
      <c r="B485" s="13" t="s">
        <v>1774</v>
      </c>
      <c r="C485" s="13" t="s">
        <v>1792</v>
      </c>
      <c r="D485" s="15">
        <v>12977.71</v>
      </c>
    </row>
    <row r="486" spans="1:4" x14ac:dyDescent="0.25">
      <c r="A486" s="11">
        <v>45505</v>
      </c>
      <c r="B486" s="10" t="s">
        <v>1774</v>
      </c>
      <c r="C486" s="10" t="s">
        <v>1783</v>
      </c>
      <c r="D486" s="12">
        <v>16810.86</v>
      </c>
    </row>
    <row r="487" spans="1:4" x14ac:dyDescent="0.25">
      <c r="A487" s="14">
        <v>45505</v>
      </c>
      <c r="B487" s="13" t="s">
        <v>1774</v>
      </c>
      <c r="C487" s="13" t="s">
        <v>1789</v>
      </c>
      <c r="D487" s="15">
        <v>11473.53</v>
      </c>
    </row>
    <row r="488" spans="1:4" x14ac:dyDescent="0.25">
      <c r="A488" s="11">
        <v>45505</v>
      </c>
      <c r="B488" s="10" t="s">
        <v>1792</v>
      </c>
      <c r="C488" s="10" t="s">
        <v>1786</v>
      </c>
      <c r="D488" s="12">
        <v>11582.02</v>
      </c>
    </row>
    <row r="489" spans="1:4" x14ac:dyDescent="0.25">
      <c r="A489" s="14">
        <v>45505</v>
      </c>
      <c r="B489" s="13" t="s">
        <v>1877</v>
      </c>
      <c r="C489" s="13" t="s">
        <v>1795</v>
      </c>
      <c r="D489" s="15">
        <v>3130.19</v>
      </c>
    </row>
    <row r="490" spans="1:4" x14ac:dyDescent="0.25">
      <c r="A490" s="11">
        <v>45505</v>
      </c>
      <c r="B490" s="10" t="s">
        <v>1799</v>
      </c>
      <c r="C490" s="10" t="s">
        <v>1797</v>
      </c>
      <c r="D490" s="12">
        <v>2636.83</v>
      </c>
    </row>
    <row r="491" spans="1:4" x14ac:dyDescent="0.25">
      <c r="A491" s="14">
        <v>45505</v>
      </c>
      <c r="B491" s="13" t="s">
        <v>1799</v>
      </c>
      <c r="C491" s="13" t="s">
        <v>1792</v>
      </c>
      <c r="D491" s="15">
        <v>5431.61</v>
      </c>
    </row>
    <row r="492" spans="1:4" x14ac:dyDescent="0.25">
      <c r="A492" s="11">
        <v>45505</v>
      </c>
      <c r="B492" s="10" t="s">
        <v>1774</v>
      </c>
      <c r="C492" s="10" t="s">
        <v>1795</v>
      </c>
      <c r="D492" s="12">
        <v>6492.36</v>
      </c>
    </row>
    <row r="493" spans="1:4" x14ac:dyDescent="0.25">
      <c r="A493" s="14">
        <v>45505</v>
      </c>
      <c r="B493" s="13" t="s">
        <v>1877</v>
      </c>
      <c r="C493" s="13" t="s">
        <v>1775</v>
      </c>
      <c r="D493" s="15">
        <v>62770.17</v>
      </c>
    </row>
    <row r="494" spans="1:4" x14ac:dyDescent="0.25">
      <c r="A494" s="11">
        <v>45505</v>
      </c>
      <c r="B494" s="10" t="s">
        <v>1792</v>
      </c>
      <c r="C494" s="10" t="s">
        <v>1783</v>
      </c>
      <c r="D494" s="12">
        <v>11561.66</v>
      </c>
    </row>
    <row r="495" spans="1:4" x14ac:dyDescent="0.25">
      <c r="A495" s="14">
        <v>45505</v>
      </c>
      <c r="B495" s="13" t="s">
        <v>1786</v>
      </c>
      <c r="C495" s="13" t="s">
        <v>1775</v>
      </c>
      <c r="D495" s="15">
        <v>69470.240000000005</v>
      </c>
    </row>
    <row r="496" spans="1:4" x14ac:dyDescent="0.25">
      <c r="A496" s="11">
        <v>45505</v>
      </c>
      <c r="B496" s="10" t="s">
        <v>1877</v>
      </c>
      <c r="C496" s="10" t="s">
        <v>1783</v>
      </c>
      <c r="D496" s="12">
        <v>10125.280000000001</v>
      </c>
    </row>
    <row r="497" spans="1:4" x14ac:dyDescent="0.25">
      <c r="A497" s="14">
        <v>45505</v>
      </c>
      <c r="B497" s="13" t="s">
        <v>1818</v>
      </c>
      <c r="C497" s="13" t="s">
        <v>1786</v>
      </c>
      <c r="D497" s="15">
        <v>6093.82</v>
      </c>
    </row>
    <row r="498" spans="1:4" x14ac:dyDescent="0.25">
      <c r="A498" s="11">
        <v>45505</v>
      </c>
      <c r="B498" s="10" t="s">
        <v>1799</v>
      </c>
      <c r="C498" s="10" t="s">
        <v>1789</v>
      </c>
      <c r="D498" s="12">
        <v>4011.64</v>
      </c>
    </row>
    <row r="499" spans="1:4" x14ac:dyDescent="0.25">
      <c r="A499" s="14">
        <v>45505</v>
      </c>
      <c r="B499" s="13" t="s">
        <v>1792</v>
      </c>
      <c r="C499" s="13" t="s">
        <v>1778</v>
      </c>
      <c r="D499" s="15">
        <v>12811.44</v>
      </c>
    </row>
    <row r="500" spans="1:4" x14ac:dyDescent="0.25">
      <c r="A500" s="11">
        <v>45505</v>
      </c>
      <c r="B500" s="10" t="s">
        <v>1792</v>
      </c>
      <c r="C500" s="10" t="s">
        <v>1789</v>
      </c>
      <c r="D500" s="12">
        <v>6767.46</v>
      </c>
    </row>
    <row r="501" spans="1:4" x14ac:dyDescent="0.25">
      <c r="A501" s="14">
        <v>45505</v>
      </c>
      <c r="B501" s="13" t="s">
        <v>1862</v>
      </c>
      <c r="C501" s="13" t="s">
        <v>1780</v>
      </c>
      <c r="D501" s="15">
        <v>4549.57</v>
      </c>
    </row>
    <row r="502" spans="1:4" x14ac:dyDescent="0.25">
      <c r="A502" s="11">
        <v>45505</v>
      </c>
      <c r="B502" s="10" t="s">
        <v>1799</v>
      </c>
      <c r="C502" s="10" t="s">
        <v>1780</v>
      </c>
      <c r="D502" s="12">
        <v>4093.31</v>
      </c>
    </row>
    <row r="503" spans="1:4" x14ac:dyDescent="0.25">
      <c r="A503" s="14">
        <v>45505</v>
      </c>
      <c r="B503" s="13" t="s">
        <v>1877</v>
      </c>
      <c r="C503" s="13" t="s">
        <v>1789</v>
      </c>
      <c r="D503" s="15">
        <v>6212.48</v>
      </c>
    </row>
    <row r="504" spans="1:4" x14ac:dyDescent="0.25">
      <c r="A504" s="11">
        <v>45505</v>
      </c>
      <c r="B504" s="10" t="s">
        <v>1786</v>
      </c>
      <c r="C504" s="10" t="s">
        <v>1789</v>
      </c>
      <c r="D504" s="12">
        <v>6470.95</v>
      </c>
    </row>
    <row r="505" spans="1:4" x14ac:dyDescent="0.25">
      <c r="A505" s="14">
        <v>45505</v>
      </c>
      <c r="B505" s="13" t="s">
        <v>1792</v>
      </c>
      <c r="C505" s="13" t="s">
        <v>1792</v>
      </c>
      <c r="D505" s="15">
        <v>15379.05</v>
      </c>
    </row>
    <row r="506" spans="1:4" x14ac:dyDescent="0.25">
      <c r="A506" s="11">
        <v>45536</v>
      </c>
      <c r="B506" s="10" t="s">
        <v>1877</v>
      </c>
      <c r="C506" s="10" t="s">
        <v>1778</v>
      </c>
      <c r="D506" s="12">
        <v>11628.29</v>
      </c>
    </row>
    <row r="507" spans="1:4" x14ac:dyDescent="0.25">
      <c r="A507" s="14">
        <v>45536</v>
      </c>
      <c r="B507" s="13" t="s">
        <v>1877</v>
      </c>
      <c r="C507" s="13" t="s">
        <v>1780</v>
      </c>
      <c r="D507" s="15">
        <v>4620.84</v>
      </c>
    </row>
    <row r="508" spans="1:4" x14ac:dyDescent="0.25">
      <c r="A508" s="11">
        <v>45536</v>
      </c>
      <c r="B508" s="10" t="s">
        <v>1818</v>
      </c>
      <c r="C508" s="10" t="s">
        <v>1792</v>
      </c>
      <c r="D508" s="12">
        <v>5372.55</v>
      </c>
    </row>
    <row r="509" spans="1:4" x14ac:dyDescent="0.25">
      <c r="A509" s="14">
        <v>45536</v>
      </c>
      <c r="B509" s="13" t="s">
        <v>1792</v>
      </c>
      <c r="C509" s="13" t="s">
        <v>1778</v>
      </c>
      <c r="D509" s="15">
        <v>15131.89</v>
      </c>
    </row>
    <row r="510" spans="1:4" x14ac:dyDescent="0.25">
      <c r="A510" s="11">
        <v>45536</v>
      </c>
      <c r="B510" s="10" t="s">
        <v>1799</v>
      </c>
      <c r="C510" s="10" t="s">
        <v>1775</v>
      </c>
      <c r="D510" s="12">
        <v>44185.56</v>
      </c>
    </row>
    <row r="511" spans="1:4" x14ac:dyDescent="0.25">
      <c r="A511" s="14">
        <v>45536</v>
      </c>
      <c r="B511" s="13" t="s">
        <v>1786</v>
      </c>
      <c r="C511" s="13" t="s">
        <v>1789</v>
      </c>
      <c r="D511" s="15">
        <v>6042.35</v>
      </c>
    </row>
    <row r="512" spans="1:4" x14ac:dyDescent="0.25">
      <c r="A512" s="11">
        <v>45536</v>
      </c>
      <c r="B512" s="10" t="s">
        <v>1799</v>
      </c>
      <c r="C512" s="10" t="s">
        <v>1797</v>
      </c>
      <c r="D512" s="12">
        <v>2181.0500000000002</v>
      </c>
    </row>
    <row r="513" spans="1:4" x14ac:dyDescent="0.25">
      <c r="A513" s="14">
        <v>45536</v>
      </c>
      <c r="B513" s="13" t="s">
        <v>1799</v>
      </c>
      <c r="C513" s="13" t="s">
        <v>1789</v>
      </c>
      <c r="D513" s="15">
        <v>3594.66</v>
      </c>
    </row>
    <row r="514" spans="1:4" x14ac:dyDescent="0.25">
      <c r="A514" s="11">
        <v>45536</v>
      </c>
      <c r="B514" s="10" t="s">
        <v>1862</v>
      </c>
      <c r="C514" s="10" t="s">
        <v>1775</v>
      </c>
      <c r="D514" s="12">
        <v>38483.26</v>
      </c>
    </row>
    <row r="515" spans="1:4" x14ac:dyDescent="0.25">
      <c r="A515" s="14">
        <v>45536</v>
      </c>
      <c r="B515" s="13" t="s">
        <v>1818</v>
      </c>
      <c r="C515" s="13" t="s">
        <v>1786</v>
      </c>
      <c r="D515" s="15">
        <v>6288.55</v>
      </c>
    </row>
    <row r="516" spans="1:4" x14ac:dyDescent="0.25">
      <c r="A516" s="11">
        <v>45536</v>
      </c>
      <c r="B516" s="10" t="s">
        <v>1792</v>
      </c>
      <c r="C516" s="10" t="s">
        <v>1775</v>
      </c>
      <c r="D516" s="12">
        <v>71220.570000000007</v>
      </c>
    </row>
    <row r="517" spans="1:4" x14ac:dyDescent="0.25">
      <c r="A517" s="14">
        <v>45536</v>
      </c>
      <c r="B517" s="13" t="s">
        <v>1792</v>
      </c>
      <c r="C517" s="13" t="s">
        <v>1795</v>
      </c>
      <c r="D517" s="15">
        <v>5155.8500000000004</v>
      </c>
    </row>
    <row r="518" spans="1:4" x14ac:dyDescent="0.25">
      <c r="A518" s="11">
        <v>45536</v>
      </c>
      <c r="B518" s="10" t="s">
        <v>1786</v>
      </c>
      <c r="C518" s="10" t="s">
        <v>1795</v>
      </c>
      <c r="D518" s="12">
        <v>3503.27</v>
      </c>
    </row>
    <row r="519" spans="1:4" x14ac:dyDescent="0.25">
      <c r="A519" s="14">
        <v>45536</v>
      </c>
      <c r="B519" s="13" t="s">
        <v>1862</v>
      </c>
      <c r="C519" s="13" t="s">
        <v>1792</v>
      </c>
      <c r="D519" s="15">
        <v>6845.22</v>
      </c>
    </row>
    <row r="520" spans="1:4" x14ac:dyDescent="0.25">
      <c r="A520" s="11">
        <v>45536</v>
      </c>
      <c r="B520" s="10" t="s">
        <v>1799</v>
      </c>
      <c r="C520" s="10" t="s">
        <v>1778</v>
      </c>
      <c r="D520" s="12">
        <v>6459.95</v>
      </c>
    </row>
    <row r="521" spans="1:4" x14ac:dyDescent="0.25">
      <c r="A521" s="14">
        <v>45536</v>
      </c>
      <c r="B521" s="13" t="s">
        <v>1786</v>
      </c>
      <c r="C521" s="13" t="s">
        <v>1783</v>
      </c>
      <c r="D521" s="15">
        <v>10832.32</v>
      </c>
    </row>
    <row r="522" spans="1:4" x14ac:dyDescent="0.25">
      <c r="A522" s="11">
        <v>45536</v>
      </c>
      <c r="B522" s="10" t="s">
        <v>1792</v>
      </c>
      <c r="C522" s="10" t="s">
        <v>1789</v>
      </c>
      <c r="D522" s="12">
        <v>7707.69</v>
      </c>
    </row>
    <row r="523" spans="1:4" x14ac:dyDescent="0.25">
      <c r="A523" s="14">
        <v>45536</v>
      </c>
      <c r="B523" s="13" t="s">
        <v>1862</v>
      </c>
      <c r="C523" s="13" t="s">
        <v>1789</v>
      </c>
      <c r="D523" s="15">
        <v>3410.28</v>
      </c>
    </row>
    <row r="524" spans="1:4" x14ac:dyDescent="0.25">
      <c r="A524" s="11">
        <v>45536</v>
      </c>
      <c r="B524" s="10" t="s">
        <v>1774</v>
      </c>
      <c r="C524" s="10" t="s">
        <v>1778</v>
      </c>
      <c r="D524" s="12">
        <v>14840.81</v>
      </c>
    </row>
    <row r="525" spans="1:4" x14ac:dyDescent="0.25">
      <c r="A525" s="14">
        <v>45536</v>
      </c>
      <c r="B525" s="13" t="s">
        <v>1786</v>
      </c>
      <c r="C525" s="13" t="s">
        <v>1786</v>
      </c>
      <c r="D525" s="15">
        <v>11225.22</v>
      </c>
    </row>
    <row r="526" spans="1:4" x14ac:dyDescent="0.25">
      <c r="A526" s="11">
        <v>45536</v>
      </c>
      <c r="B526" s="10" t="s">
        <v>1792</v>
      </c>
      <c r="C526" s="10" t="s">
        <v>1792</v>
      </c>
      <c r="D526" s="12">
        <v>14120.6</v>
      </c>
    </row>
    <row r="527" spans="1:4" x14ac:dyDescent="0.25">
      <c r="A527" s="14">
        <v>45536</v>
      </c>
      <c r="B527" s="13" t="s">
        <v>1799</v>
      </c>
      <c r="C527" s="13" t="s">
        <v>1795</v>
      </c>
      <c r="D527" s="15">
        <v>2324.46</v>
      </c>
    </row>
    <row r="528" spans="1:4" x14ac:dyDescent="0.25">
      <c r="A528" s="11">
        <v>45536</v>
      </c>
      <c r="B528" s="10" t="s">
        <v>1862</v>
      </c>
      <c r="C528" s="10" t="s">
        <v>1778</v>
      </c>
      <c r="D528" s="12">
        <v>9337.09</v>
      </c>
    </row>
    <row r="529" spans="1:4" x14ac:dyDescent="0.25">
      <c r="A529" s="14">
        <v>45536</v>
      </c>
      <c r="B529" s="13" t="s">
        <v>1818</v>
      </c>
      <c r="C529" s="13" t="s">
        <v>1780</v>
      </c>
      <c r="D529" s="15">
        <v>3505.49</v>
      </c>
    </row>
    <row r="530" spans="1:4" x14ac:dyDescent="0.25">
      <c r="A530" s="11">
        <v>45536</v>
      </c>
      <c r="B530" s="10" t="s">
        <v>1774</v>
      </c>
      <c r="C530" s="10" t="s">
        <v>1792</v>
      </c>
      <c r="D530" s="12">
        <v>15916.62</v>
      </c>
    </row>
    <row r="531" spans="1:4" x14ac:dyDescent="0.25">
      <c r="A531" s="14">
        <v>45536</v>
      </c>
      <c r="B531" s="13" t="s">
        <v>1818</v>
      </c>
      <c r="C531" s="13" t="s">
        <v>1797</v>
      </c>
      <c r="D531" s="15">
        <v>2288.65</v>
      </c>
    </row>
    <row r="532" spans="1:4" x14ac:dyDescent="0.25">
      <c r="A532" s="11">
        <v>45536</v>
      </c>
      <c r="B532" s="10" t="s">
        <v>1774</v>
      </c>
      <c r="C532" s="10" t="s">
        <v>1775</v>
      </c>
      <c r="D532" s="12">
        <v>121968.8</v>
      </c>
    </row>
    <row r="533" spans="1:4" x14ac:dyDescent="0.25">
      <c r="A533" s="14">
        <v>45536</v>
      </c>
      <c r="B533" s="13" t="s">
        <v>1786</v>
      </c>
      <c r="C533" s="13" t="s">
        <v>1778</v>
      </c>
      <c r="D533" s="15">
        <v>12254.88</v>
      </c>
    </row>
    <row r="534" spans="1:4" x14ac:dyDescent="0.25">
      <c r="A534" s="11">
        <v>45536</v>
      </c>
      <c r="B534" s="10" t="s">
        <v>1877</v>
      </c>
      <c r="C534" s="10" t="s">
        <v>1775</v>
      </c>
      <c r="D534" s="12">
        <v>62860.61</v>
      </c>
    </row>
    <row r="535" spans="1:4" x14ac:dyDescent="0.25">
      <c r="A535" s="14">
        <v>45536</v>
      </c>
      <c r="B535" s="13" t="s">
        <v>1862</v>
      </c>
      <c r="C535" s="13" t="s">
        <v>1783</v>
      </c>
      <c r="D535" s="15">
        <v>5486.7</v>
      </c>
    </row>
    <row r="536" spans="1:4" x14ac:dyDescent="0.25">
      <c r="A536" s="11">
        <v>45536</v>
      </c>
      <c r="B536" s="10" t="s">
        <v>1862</v>
      </c>
      <c r="C536" s="10" t="s">
        <v>1780</v>
      </c>
      <c r="D536" s="12">
        <v>3179.16</v>
      </c>
    </row>
    <row r="537" spans="1:4" x14ac:dyDescent="0.25">
      <c r="A537" s="14">
        <v>45536</v>
      </c>
      <c r="B537" s="13" t="s">
        <v>1818</v>
      </c>
      <c r="C537" s="13" t="s">
        <v>1795</v>
      </c>
      <c r="D537" s="15">
        <v>1996.55</v>
      </c>
    </row>
    <row r="538" spans="1:4" x14ac:dyDescent="0.25">
      <c r="A538" s="11">
        <v>45536</v>
      </c>
      <c r="B538" s="10" t="s">
        <v>1774</v>
      </c>
      <c r="C538" s="10" t="s">
        <v>1780</v>
      </c>
      <c r="D538" s="12">
        <v>9226.7199999999993</v>
      </c>
    </row>
    <row r="539" spans="1:4" x14ac:dyDescent="0.25">
      <c r="A539" s="14">
        <v>45536</v>
      </c>
      <c r="B539" s="13" t="s">
        <v>1877</v>
      </c>
      <c r="C539" s="13" t="s">
        <v>1795</v>
      </c>
      <c r="D539" s="15">
        <v>3439.55</v>
      </c>
    </row>
    <row r="540" spans="1:4" x14ac:dyDescent="0.25">
      <c r="A540" s="11">
        <v>45536</v>
      </c>
      <c r="B540" s="10" t="s">
        <v>1862</v>
      </c>
      <c r="C540" s="10" t="s">
        <v>1797</v>
      </c>
      <c r="D540" s="12">
        <v>2391.96</v>
      </c>
    </row>
    <row r="541" spans="1:4" x14ac:dyDescent="0.25">
      <c r="A541" s="14">
        <v>45536</v>
      </c>
      <c r="B541" s="13" t="s">
        <v>1818</v>
      </c>
      <c r="C541" s="13" t="s">
        <v>1778</v>
      </c>
      <c r="D541" s="15">
        <v>6179.71</v>
      </c>
    </row>
    <row r="542" spans="1:4" x14ac:dyDescent="0.25">
      <c r="A542" s="11">
        <v>45536</v>
      </c>
      <c r="B542" s="10" t="s">
        <v>1818</v>
      </c>
      <c r="C542" s="10" t="s">
        <v>1789</v>
      </c>
      <c r="D542" s="12">
        <v>3751.24</v>
      </c>
    </row>
    <row r="543" spans="1:4" x14ac:dyDescent="0.25">
      <c r="A543" s="14">
        <v>45536</v>
      </c>
      <c r="B543" s="13" t="s">
        <v>1774</v>
      </c>
      <c r="C543" s="13" t="s">
        <v>1797</v>
      </c>
      <c r="D543" s="15">
        <v>4915.08</v>
      </c>
    </row>
    <row r="544" spans="1:4" x14ac:dyDescent="0.25">
      <c r="A544" s="11">
        <v>45536</v>
      </c>
      <c r="B544" s="10" t="s">
        <v>1774</v>
      </c>
      <c r="C544" s="10" t="s">
        <v>1783</v>
      </c>
      <c r="D544" s="12">
        <v>15905.91</v>
      </c>
    </row>
    <row r="545" spans="1:4" x14ac:dyDescent="0.25">
      <c r="A545" s="14">
        <v>45536</v>
      </c>
      <c r="B545" s="13" t="s">
        <v>1818</v>
      </c>
      <c r="C545" s="13" t="s">
        <v>1783</v>
      </c>
      <c r="D545" s="15">
        <v>5279.83</v>
      </c>
    </row>
    <row r="546" spans="1:4" x14ac:dyDescent="0.25">
      <c r="A546" s="11">
        <v>45536</v>
      </c>
      <c r="B546" s="10" t="s">
        <v>1786</v>
      </c>
      <c r="C546" s="10" t="s">
        <v>1775</v>
      </c>
      <c r="D546" s="12">
        <v>80219.259999999995</v>
      </c>
    </row>
    <row r="547" spans="1:4" x14ac:dyDescent="0.25">
      <c r="A547" s="14">
        <v>45536</v>
      </c>
      <c r="B547" s="13" t="s">
        <v>1792</v>
      </c>
      <c r="C547" s="13" t="s">
        <v>1786</v>
      </c>
      <c r="D547" s="15">
        <v>11369.88</v>
      </c>
    </row>
    <row r="548" spans="1:4" x14ac:dyDescent="0.25">
      <c r="A548" s="11">
        <v>45536</v>
      </c>
      <c r="B548" s="10" t="s">
        <v>1877</v>
      </c>
      <c r="C548" s="10" t="s">
        <v>1786</v>
      </c>
      <c r="D548" s="12">
        <v>10088.620000000001</v>
      </c>
    </row>
    <row r="549" spans="1:4" x14ac:dyDescent="0.25">
      <c r="A549" s="14">
        <v>45536</v>
      </c>
      <c r="B549" s="13" t="s">
        <v>1818</v>
      </c>
      <c r="C549" s="13" t="s">
        <v>1775</v>
      </c>
      <c r="D549" s="15">
        <v>34281.25</v>
      </c>
    </row>
    <row r="550" spans="1:4" x14ac:dyDescent="0.25">
      <c r="A550" s="11">
        <v>45536</v>
      </c>
      <c r="B550" s="10" t="s">
        <v>1786</v>
      </c>
      <c r="C550" s="10" t="s">
        <v>1797</v>
      </c>
      <c r="D550" s="12">
        <v>4116.1400000000003</v>
      </c>
    </row>
    <row r="551" spans="1:4" x14ac:dyDescent="0.25">
      <c r="A551" s="14">
        <v>45536</v>
      </c>
      <c r="B551" s="13" t="s">
        <v>1786</v>
      </c>
      <c r="C551" s="13" t="s">
        <v>1780</v>
      </c>
      <c r="D551" s="15">
        <v>5081.6400000000003</v>
      </c>
    </row>
    <row r="552" spans="1:4" x14ac:dyDescent="0.25">
      <c r="A552" s="11">
        <v>45536</v>
      </c>
      <c r="B552" s="10" t="s">
        <v>1877</v>
      </c>
      <c r="C552" s="10" t="s">
        <v>1789</v>
      </c>
      <c r="D552" s="12">
        <v>6334.27</v>
      </c>
    </row>
    <row r="553" spans="1:4" x14ac:dyDescent="0.25">
      <c r="A553" s="14">
        <v>45536</v>
      </c>
      <c r="B553" s="13" t="s">
        <v>1774</v>
      </c>
      <c r="C553" s="13" t="s">
        <v>1786</v>
      </c>
      <c r="D553" s="15">
        <v>13274.85</v>
      </c>
    </row>
    <row r="554" spans="1:4" x14ac:dyDescent="0.25">
      <c r="A554" s="11">
        <v>45536</v>
      </c>
      <c r="B554" s="10" t="s">
        <v>1774</v>
      </c>
      <c r="C554" s="10" t="s">
        <v>1795</v>
      </c>
      <c r="D554" s="12">
        <v>4304.88</v>
      </c>
    </row>
    <row r="555" spans="1:4" x14ac:dyDescent="0.25">
      <c r="A555" s="14">
        <v>45536</v>
      </c>
      <c r="B555" s="13" t="s">
        <v>1792</v>
      </c>
      <c r="C555" s="13" t="s">
        <v>1797</v>
      </c>
      <c r="D555" s="15">
        <v>4995.37</v>
      </c>
    </row>
    <row r="556" spans="1:4" x14ac:dyDescent="0.25">
      <c r="A556" s="11">
        <v>45536</v>
      </c>
      <c r="B556" s="10" t="s">
        <v>1792</v>
      </c>
      <c r="C556" s="10" t="s">
        <v>1783</v>
      </c>
      <c r="D556" s="12">
        <v>11807.62</v>
      </c>
    </row>
    <row r="557" spans="1:4" x14ac:dyDescent="0.25">
      <c r="A557" s="14">
        <v>45536</v>
      </c>
      <c r="B557" s="13" t="s">
        <v>1774</v>
      </c>
      <c r="C557" s="13" t="s">
        <v>1789</v>
      </c>
      <c r="D557" s="15">
        <v>10060.42</v>
      </c>
    </row>
    <row r="558" spans="1:4" x14ac:dyDescent="0.25">
      <c r="A558" s="11">
        <v>45536</v>
      </c>
      <c r="B558" s="10" t="s">
        <v>1877</v>
      </c>
      <c r="C558" s="10" t="s">
        <v>1797</v>
      </c>
      <c r="D558" s="12">
        <v>4174.04</v>
      </c>
    </row>
    <row r="559" spans="1:4" x14ac:dyDescent="0.25">
      <c r="A559" s="14">
        <v>45536</v>
      </c>
      <c r="B559" s="13" t="s">
        <v>1877</v>
      </c>
      <c r="C559" s="13" t="s">
        <v>1783</v>
      </c>
      <c r="D559" s="15">
        <v>10268.56</v>
      </c>
    </row>
    <row r="560" spans="1:4" x14ac:dyDescent="0.25">
      <c r="A560" s="11">
        <v>45536</v>
      </c>
      <c r="B560" s="10" t="s">
        <v>1799</v>
      </c>
      <c r="C560" s="10" t="s">
        <v>1783</v>
      </c>
      <c r="D560" s="12">
        <v>7651.14</v>
      </c>
    </row>
    <row r="561" spans="1:4" x14ac:dyDescent="0.25">
      <c r="A561" s="14">
        <v>45536</v>
      </c>
      <c r="B561" s="13" t="s">
        <v>1862</v>
      </c>
      <c r="C561" s="13" t="s">
        <v>1795</v>
      </c>
      <c r="D561" s="15">
        <v>2629.41</v>
      </c>
    </row>
    <row r="562" spans="1:4" x14ac:dyDescent="0.25">
      <c r="A562" s="11">
        <v>45536</v>
      </c>
      <c r="B562" s="10" t="s">
        <v>1877</v>
      </c>
      <c r="C562" s="10" t="s">
        <v>1792</v>
      </c>
      <c r="D562" s="12">
        <v>9570.4599999999991</v>
      </c>
    </row>
    <row r="563" spans="1:4" x14ac:dyDescent="0.25">
      <c r="A563" s="14">
        <v>45536</v>
      </c>
      <c r="B563" s="13" t="s">
        <v>1792</v>
      </c>
      <c r="C563" s="13" t="s">
        <v>1780</v>
      </c>
      <c r="D563" s="15">
        <v>8439.0300000000007</v>
      </c>
    </row>
    <row r="564" spans="1:4" x14ac:dyDescent="0.25">
      <c r="A564" s="11">
        <v>45536</v>
      </c>
      <c r="B564" s="10" t="s">
        <v>1862</v>
      </c>
      <c r="C564" s="10" t="s">
        <v>1786</v>
      </c>
      <c r="D564" s="12">
        <v>7389.51</v>
      </c>
    </row>
    <row r="565" spans="1:4" x14ac:dyDescent="0.25">
      <c r="A565" s="14">
        <v>45536</v>
      </c>
      <c r="B565" s="13" t="s">
        <v>1786</v>
      </c>
      <c r="C565" s="13" t="s">
        <v>1792</v>
      </c>
      <c r="D565" s="15">
        <v>10502.54</v>
      </c>
    </row>
    <row r="566" spans="1:4" x14ac:dyDescent="0.25">
      <c r="A566" s="11">
        <v>45536</v>
      </c>
      <c r="B566" s="10" t="s">
        <v>1799</v>
      </c>
      <c r="C566" s="10" t="s">
        <v>1786</v>
      </c>
      <c r="D566" s="12">
        <v>6726.6</v>
      </c>
    </row>
    <row r="567" spans="1:4" x14ac:dyDescent="0.25">
      <c r="A567" s="14">
        <v>45536</v>
      </c>
      <c r="B567" s="13" t="s">
        <v>1799</v>
      </c>
      <c r="C567" s="13" t="s">
        <v>1792</v>
      </c>
      <c r="D567" s="15">
        <v>6872.8</v>
      </c>
    </row>
    <row r="568" spans="1:4" x14ac:dyDescent="0.25">
      <c r="A568" s="11">
        <v>45536</v>
      </c>
      <c r="B568" s="10" t="s">
        <v>1799</v>
      </c>
      <c r="C568" s="10" t="s">
        <v>1780</v>
      </c>
      <c r="D568" s="12">
        <v>3673.76</v>
      </c>
    </row>
    <row r="569" spans="1:4" x14ac:dyDescent="0.25">
      <c r="A569" s="14">
        <v>45566</v>
      </c>
      <c r="B569" s="13" t="s">
        <v>1862</v>
      </c>
      <c r="C569" s="13" t="s">
        <v>1778</v>
      </c>
      <c r="D569" s="15">
        <v>6429.09</v>
      </c>
    </row>
    <row r="570" spans="1:4" x14ac:dyDescent="0.25">
      <c r="A570" s="11">
        <v>45566</v>
      </c>
      <c r="B570" s="10" t="s">
        <v>1818</v>
      </c>
      <c r="C570" s="10" t="s">
        <v>1778</v>
      </c>
      <c r="D570" s="12">
        <v>6555.41</v>
      </c>
    </row>
    <row r="571" spans="1:4" x14ac:dyDescent="0.25">
      <c r="A571" s="14">
        <v>45566</v>
      </c>
      <c r="B571" s="13" t="s">
        <v>1862</v>
      </c>
      <c r="C571" s="13" t="s">
        <v>1797</v>
      </c>
      <c r="D571" s="15">
        <v>2556.14</v>
      </c>
    </row>
    <row r="572" spans="1:4" x14ac:dyDescent="0.25">
      <c r="A572" s="11">
        <v>45566</v>
      </c>
      <c r="B572" s="10" t="s">
        <v>1862</v>
      </c>
      <c r="C572" s="10" t="s">
        <v>1783</v>
      </c>
      <c r="D572" s="12">
        <v>4946.22</v>
      </c>
    </row>
    <row r="573" spans="1:4" x14ac:dyDescent="0.25">
      <c r="A573" s="14">
        <v>45566</v>
      </c>
      <c r="B573" s="13" t="s">
        <v>1774</v>
      </c>
      <c r="C573" s="13" t="s">
        <v>1778</v>
      </c>
      <c r="D573" s="15">
        <v>18833.060000000001</v>
      </c>
    </row>
    <row r="574" spans="1:4" x14ac:dyDescent="0.25">
      <c r="A574" s="11">
        <v>45566</v>
      </c>
      <c r="B574" s="10" t="s">
        <v>1877</v>
      </c>
      <c r="C574" s="10" t="s">
        <v>1797</v>
      </c>
      <c r="D574" s="12">
        <v>3900.22</v>
      </c>
    </row>
    <row r="575" spans="1:4" x14ac:dyDescent="0.25">
      <c r="A575" s="14">
        <v>45566</v>
      </c>
      <c r="B575" s="13" t="s">
        <v>1818</v>
      </c>
      <c r="C575" s="13" t="s">
        <v>1789</v>
      </c>
      <c r="D575" s="15">
        <v>3305.08</v>
      </c>
    </row>
    <row r="576" spans="1:4" x14ac:dyDescent="0.25">
      <c r="A576" s="11">
        <v>45566</v>
      </c>
      <c r="B576" s="10" t="s">
        <v>1774</v>
      </c>
      <c r="C576" s="10" t="s">
        <v>1795</v>
      </c>
      <c r="D576" s="12">
        <v>6457.01</v>
      </c>
    </row>
    <row r="577" spans="1:4" x14ac:dyDescent="0.25">
      <c r="A577" s="14">
        <v>45566</v>
      </c>
      <c r="B577" s="13" t="s">
        <v>1818</v>
      </c>
      <c r="C577" s="13" t="s">
        <v>1783</v>
      </c>
      <c r="D577" s="15">
        <v>5095.93</v>
      </c>
    </row>
    <row r="578" spans="1:4" x14ac:dyDescent="0.25">
      <c r="A578" s="11">
        <v>45566</v>
      </c>
      <c r="B578" s="10" t="s">
        <v>1799</v>
      </c>
      <c r="C578" s="10" t="s">
        <v>1789</v>
      </c>
      <c r="D578" s="12">
        <v>4048.52</v>
      </c>
    </row>
    <row r="579" spans="1:4" x14ac:dyDescent="0.25">
      <c r="A579" s="14">
        <v>45566</v>
      </c>
      <c r="B579" s="13" t="s">
        <v>1799</v>
      </c>
      <c r="C579" s="13" t="s">
        <v>1775</v>
      </c>
      <c r="D579" s="15">
        <v>35794.25</v>
      </c>
    </row>
    <row r="580" spans="1:4" x14ac:dyDescent="0.25">
      <c r="A580" s="11">
        <v>45566</v>
      </c>
      <c r="B580" s="10" t="s">
        <v>1792</v>
      </c>
      <c r="C580" s="10" t="s">
        <v>1792</v>
      </c>
      <c r="D580" s="12">
        <v>12751.37</v>
      </c>
    </row>
    <row r="581" spans="1:4" x14ac:dyDescent="0.25">
      <c r="A581" s="14">
        <v>45566</v>
      </c>
      <c r="B581" s="13" t="s">
        <v>1862</v>
      </c>
      <c r="C581" s="13" t="s">
        <v>1795</v>
      </c>
      <c r="D581" s="15">
        <v>2162.92</v>
      </c>
    </row>
    <row r="582" spans="1:4" x14ac:dyDescent="0.25">
      <c r="A582" s="11">
        <v>45566</v>
      </c>
      <c r="B582" s="10" t="s">
        <v>1774</v>
      </c>
      <c r="C582" s="10" t="s">
        <v>1792</v>
      </c>
      <c r="D582" s="12">
        <v>16580.990000000002</v>
      </c>
    </row>
    <row r="583" spans="1:4" x14ac:dyDescent="0.25">
      <c r="A583" s="14">
        <v>45566</v>
      </c>
      <c r="B583" s="13" t="s">
        <v>1792</v>
      </c>
      <c r="C583" s="13" t="s">
        <v>1795</v>
      </c>
      <c r="D583" s="15">
        <v>5576.11</v>
      </c>
    </row>
    <row r="584" spans="1:4" x14ac:dyDescent="0.25">
      <c r="A584" s="11">
        <v>45566</v>
      </c>
      <c r="B584" s="10" t="s">
        <v>1786</v>
      </c>
      <c r="C584" s="10" t="s">
        <v>1789</v>
      </c>
      <c r="D584" s="12">
        <v>7069.21</v>
      </c>
    </row>
    <row r="585" spans="1:4" x14ac:dyDescent="0.25">
      <c r="A585" s="14">
        <v>45566</v>
      </c>
      <c r="B585" s="13" t="s">
        <v>1792</v>
      </c>
      <c r="C585" s="13" t="s">
        <v>1797</v>
      </c>
      <c r="D585" s="15">
        <v>5845.83</v>
      </c>
    </row>
    <row r="586" spans="1:4" x14ac:dyDescent="0.25">
      <c r="A586" s="11">
        <v>45566</v>
      </c>
      <c r="B586" s="10" t="s">
        <v>1799</v>
      </c>
      <c r="C586" s="10" t="s">
        <v>1783</v>
      </c>
      <c r="D586" s="12">
        <v>6141.82</v>
      </c>
    </row>
    <row r="587" spans="1:4" x14ac:dyDescent="0.25">
      <c r="A587" s="14">
        <v>45566</v>
      </c>
      <c r="B587" s="13" t="s">
        <v>1786</v>
      </c>
      <c r="C587" s="13" t="s">
        <v>1797</v>
      </c>
      <c r="D587" s="15">
        <v>3351.64</v>
      </c>
    </row>
    <row r="588" spans="1:4" x14ac:dyDescent="0.25">
      <c r="A588" s="11">
        <v>45566</v>
      </c>
      <c r="B588" s="10" t="s">
        <v>1792</v>
      </c>
      <c r="C588" s="10" t="s">
        <v>1786</v>
      </c>
      <c r="D588" s="12">
        <v>10096.67</v>
      </c>
    </row>
    <row r="589" spans="1:4" x14ac:dyDescent="0.25">
      <c r="A589" s="14">
        <v>45566</v>
      </c>
      <c r="B589" s="13" t="s">
        <v>1792</v>
      </c>
      <c r="C589" s="13" t="s">
        <v>1778</v>
      </c>
      <c r="D589" s="15">
        <v>17525.13</v>
      </c>
    </row>
    <row r="590" spans="1:4" x14ac:dyDescent="0.25">
      <c r="A590" s="11">
        <v>45566</v>
      </c>
      <c r="B590" s="10" t="s">
        <v>1792</v>
      </c>
      <c r="C590" s="10" t="s">
        <v>1789</v>
      </c>
      <c r="D590" s="12">
        <v>8537.19</v>
      </c>
    </row>
    <row r="591" spans="1:4" x14ac:dyDescent="0.25">
      <c r="A591" s="14">
        <v>45566</v>
      </c>
      <c r="B591" s="13" t="s">
        <v>1862</v>
      </c>
      <c r="C591" s="13" t="s">
        <v>1775</v>
      </c>
      <c r="D591" s="15">
        <v>34518.03</v>
      </c>
    </row>
    <row r="592" spans="1:4" x14ac:dyDescent="0.25">
      <c r="A592" s="11">
        <v>45566</v>
      </c>
      <c r="B592" s="10" t="s">
        <v>1774</v>
      </c>
      <c r="C592" s="10" t="s">
        <v>1783</v>
      </c>
      <c r="D592" s="12">
        <v>13915.11</v>
      </c>
    </row>
    <row r="593" spans="1:4" x14ac:dyDescent="0.25">
      <c r="A593" s="14">
        <v>45566</v>
      </c>
      <c r="B593" s="13" t="s">
        <v>1792</v>
      </c>
      <c r="C593" s="13" t="s">
        <v>1783</v>
      </c>
      <c r="D593" s="15">
        <v>14541.95</v>
      </c>
    </row>
    <row r="594" spans="1:4" x14ac:dyDescent="0.25">
      <c r="A594" s="11">
        <v>45566</v>
      </c>
      <c r="B594" s="10" t="s">
        <v>1799</v>
      </c>
      <c r="C594" s="10" t="s">
        <v>1786</v>
      </c>
      <c r="D594" s="12">
        <v>6199.75</v>
      </c>
    </row>
    <row r="595" spans="1:4" x14ac:dyDescent="0.25">
      <c r="A595" s="14">
        <v>45566</v>
      </c>
      <c r="B595" s="13" t="s">
        <v>1774</v>
      </c>
      <c r="C595" s="13" t="s">
        <v>1780</v>
      </c>
      <c r="D595" s="15">
        <v>7790.4</v>
      </c>
    </row>
    <row r="596" spans="1:4" x14ac:dyDescent="0.25">
      <c r="A596" s="11">
        <v>45566</v>
      </c>
      <c r="B596" s="10" t="s">
        <v>1786</v>
      </c>
      <c r="C596" s="10" t="s">
        <v>1786</v>
      </c>
      <c r="D596" s="12">
        <v>11500.9</v>
      </c>
    </row>
    <row r="597" spans="1:4" x14ac:dyDescent="0.25">
      <c r="A597" s="14">
        <v>45566</v>
      </c>
      <c r="B597" s="13" t="s">
        <v>1774</v>
      </c>
      <c r="C597" s="13" t="s">
        <v>1775</v>
      </c>
      <c r="D597" s="15">
        <v>101600.13</v>
      </c>
    </row>
    <row r="598" spans="1:4" x14ac:dyDescent="0.25">
      <c r="A598" s="11">
        <v>45566</v>
      </c>
      <c r="B598" s="10" t="s">
        <v>1792</v>
      </c>
      <c r="C598" s="10" t="s">
        <v>1780</v>
      </c>
      <c r="D598" s="12">
        <v>8799.51</v>
      </c>
    </row>
    <row r="599" spans="1:4" x14ac:dyDescent="0.25">
      <c r="A599" s="14">
        <v>45566</v>
      </c>
      <c r="B599" s="13" t="s">
        <v>1786</v>
      </c>
      <c r="C599" s="13" t="s">
        <v>1783</v>
      </c>
      <c r="D599" s="15">
        <v>11065.26</v>
      </c>
    </row>
    <row r="600" spans="1:4" x14ac:dyDescent="0.25">
      <c r="A600" s="11">
        <v>45566</v>
      </c>
      <c r="B600" s="10" t="s">
        <v>1786</v>
      </c>
      <c r="C600" s="10" t="s">
        <v>1795</v>
      </c>
      <c r="D600" s="12">
        <v>3983.24</v>
      </c>
    </row>
    <row r="601" spans="1:4" x14ac:dyDescent="0.25">
      <c r="A601" s="14">
        <v>45566</v>
      </c>
      <c r="B601" s="13" t="s">
        <v>1792</v>
      </c>
      <c r="C601" s="13" t="s">
        <v>1775</v>
      </c>
      <c r="D601" s="15">
        <v>85774.01</v>
      </c>
    </row>
    <row r="602" spans="1:4" x14ac:dyDescent="0.25">
      <c r="A602" s="11">
        <v>45566</v>
      </c>
      <c r="B602" s="10" t="s">
        <v>1818</v>
      </c>
      <c r="C602" s="10" t="s">
        <v>1792</v>
      </c>
      <c r="D602" s="12">
        <v>4575.66</v>
      </c>
    </row>
    <row r="603" spans="1:4" x14ac:dyDescent="0.25">
      <c r="A603" s="14">
        <v>45566</v>
      </c>
      <c r="B603" s="13" t="s">
        <v>1862</v>
      </c>
      <c r="C603" s="13" t="s">
        <v>1786</v>
      </c>
      <c r="D603" s="15">
        <v>6063.5</v>
      </c>
    </row>
    <row r="604" spans="1:4" x14ac:dyDescent="0.25">
      <c r="A604" s="11">
        <v>45566</v>
      </c>
      <c r="B604" s="10" t="s">
        <v>1818</v>
      </c>
      <c r="C604" s="10" t="s">
        <v>1795</v>
      </c>
      <c r="D604" s="12">
        <v>1859.21</v>
      </c>
    </row>
    <row r="605" spans="1:4" x14ac:dyDescent="0.25">
      <c r="A605" s="14">
        <v>45566</v>
      </c>
      <c r="B605" s="13" t="s">
        <v>1799</v>
      </c>
      <c r="C605" s="13" t="s">
        <v>1778</v>
      </c>
      <c r="D605" s="15">
        <v>7401.51</v>
      </c>
    </row>
    <row r="606" spans="1:4" x14ac:dyDescent="0.25">
      <c r="A606" s="11">
        <v>45566</v>
      </c>
      <c r="B606" s="10" t="s">
        <v>1774</v>
      </c>
      <c r="C606" s="10" t="s">
        <v>1789</v>
      </c>
      <c r="D606" s="12">
        <v>7843.75</v>
      </c>
    </row>
    <row r="607" spans="1:4" x14ac:dyDescent="0.25">
      <c r="A607" s="14">
        <v>45566</v>
      </c>
      <c r="B607" s="13" t="s">
        <v>1786</v>
      </c>
      <c r="C607" s="13" t="s">
        <v>1792</v>
      </c>
      <c r="D607" s="15">
        <v>12040.69</v>
      </c>
    </row>
    <row r="608" spans="1:4" x14ac:dyDescent="0.25">
      <c r="A608" s="11">
        <v>45566</v>
      </c>
      <c r="B608" s="10" t="s">
        <v>1786</v>
      </c>
      <c r="C608" s="10" t="s">
        <v>1775</v>
      </c>
      <c r="D608" s="12">
        <v>65259.34</v>
      </c>
    </row>
    <row r="609" spans="1:4" x14ac:dyDescent="0.25">
      <c r="A609" s="14">
        <v>45566</v>
      </c>
      <c r="B609" s="13" t="s">
        <v>1877</v>
      </c>
      <c r="C609" s="13" t="s">
        <v>1786</v>
      </c>
      <c r="D609" s="15">
        <v>10670.83</v>
      </c>
    </row>
    <row r="610" spans="1:4" x14ac:dyDescent="0.25">
      <c r="A610" s="11">
        <v>45566</v>
      </c>
      <c r="B610" s="10" t="s">
        <v>1774</v>
      </c>
      <c r="C610" s="10" t="s">
        <v>1786</v>
      </c>
      <c r="D610" s="12">
        <v>15368.21</v>
      </c>
    </row>
    <row r="611" spans="1:4" x14ac:dyDescent="0.25">
      <c r="A611" s="14">
        <v>45566</v>
      </c>
      <c r="B611" s="13" t="s">
        <v>1818</v>
      </c>
      <c r="C611" s="13" t="s">
        <v>1797</v>
      </c>
      <c r="D611" s="15">
        <v>2034.54</v>
      </c>
    </row>
    <row r="612" spans="1:4" x14ac:dyDescent="0.25">
      <c r="A612" s="11">
        <v>45566</v>
      </c>
      <c r="B612" s="10" t="s">
        <v>1877</v>
      </c>
      <c r="C612" s="10" t="s">
        <v>1780</v>
      </c>
      <c r="D612" s="12">
        <v>7007.17</v>
      </c>
    </row>
    <row r="613" spans="1:4" x14ac:dyDescent="0.25">
      <c r="A613" s="14">
        <v>45566</v>
      </c>
      <c r="B613" s="13" t="s">
        <v>1862</v>
      </c>
      <c r="C613" s="13" t="s">
        <v>1792</v>
      </c>
      <c r="D613" s="15">
        <v>5423.26</v>
      </c>
    </row>
    <row r="614" spans="1:4" x14ac:dyDescent="0.25">
      <c r="A614" s="11">
        <v>45566</v>
      </c>
      <c r="B614" s="10" t="s">
        <v>1818</v>
      </c>
      <c r="C614" s="10" t="s">
        <v>1780</v>
      </c>
      <c r="D614" s="12">
        <v>3137.9</v>
      </c>
    </row>
    <row r="615" spans="1:4" x14ac:dyDescent="0.25">
      <c r="A615" s="14">
        <v>45566</v>
      </c>
      <c r="B615" s="13" t="s">
        <v>1877</v>
      </c>
      <c r="C615" s="13" t="s">
        <v>1792</v>
      </c>
      <c r="D615" s="15">
        <v>8277.15</v>
      </c>
    </row>
    <row r="616" spans="1:4" x14ac:dyDescent="0.25">
      <c r="A616" s="11">
        <v>45566</v>
      </c>
      <c r="B616" s="10" t="s">
        <v>1818</v>
      </c>
      <c r="C616" s="10" t="s">
        <v>1786</v>
      </c>
      <c r="D616" s="12">
        <v>5368.39</v>
      </c>
    </row>
    <row r="617" spans="1:4" x14ac:dyDescent="0.25">
      <c r="A617" s="14">
        <v>45566</v>
      </c>
      <c r="B617" s="13" t="s">
        <v>1799</v>
      </c>
      <c r="C617" s="13" t="s">
        <v>1795</v>
      </c>
      <c r="D617" s="15">
        <v>2301.6999999999998</v>
      </c>
    </row>
    <row r="618" spans="1:4" x14ac:dyDescent="0.25">
      <c r="A618" s="11">
        <v>45566</v>
      </c>
      <c r="B618" s="10" t="s">
        <v>1799</v>
      </c>
      <c r="C618" s="10" t="s">
        <v>1780</v>
      </c>
      <c r="D618" s="12">
        <v>4243.62</v>
      </c>
    </row>
    <row r="619" spans="1:4" x14ac:dyDescent="0.25">
      <c r="A619" s="14">
        <v>45566</v>
      </c>
      <c r="B619" s="13" t="s">
        <v>1786</v>
      </c>
      <c r="C619" s="13" t="s">
        <v>1780</v>
      </c>
      <c r="D619" s="15">
        <v>6235.26</v>
      </c>
    </row>
    <row r="620" spans="1:4" x14ac:dyDescent="0.25">
      <c r="A620" s="11">
        <v>45566</v>
      </c>
      <c r="B620" s="10" t="s">
        <v>1877</v>
      </c>
      <c r="C620" s="10" t="s">
        <v>1775</v>
      </c>
      <c r="D620" s="12">
        <v>65995.839999999997</v>
      </c>
    </row>
    <row r="621" spans="1:4" x14ac:dyDescent="0.25">
      <c r="A621" s="14">
        <v>45566</v>
      </c>
      <c r="B621" s="13" t="s">
        <v>1862</v>
      </c>
      <c r="C621" s="13" t="s">
        <v>1789</v>
      </c>
      <c r="D621" s="15">
        <v>4380.2</v>
      </c>
    </row>
    <row r="622" spans="1:4" x14ac:dyDescent="0.25">
      <c r="A622" s="11">
        <v>45566</v>
      </c>
      <c r="B622" s="10" t="s">
        <v>1862</v>
      </c>
      <c r="C622" s="10" t="s">
        <v>1780</v>
      </c>
      <c r="D622" s="12">
        <v>3507.5</v>
      </c>
    </row>
    <row r="623" spans="1:4" x14ac:dyDescent="0.25">
      <c r="A623" s="14">
        <v>45566</v>
      </c>
      <c r="B623" s="13" t="s">
        <v>1799</v>
      </c>
      <c r="C623" s="13" t="s">
        <v>1792</v>
      </c>
      <c r="D623" s="15">
        <v>6189.84</v>
      </c>
    </row>
    <row r="624" spans="1:4" x14ac:dyDescent="0.25">
      <c r="A624" s="11">
        <v>45566</v>
      </c>
      <c r="B624" s="10" t="s">
        <v>1799</v>
      </c>
      <c r="C624" s="10" t="s">
        <v>1797</v>
      </c>
      <c r="D624" s="12">
        <v>2511.09</v>
      </c>
    </row>
    <row r="625" spans="1:4" x14ac:dyDescent="0.25">
      <c r="A625" s="14">
        <v>45566</v>
      </c>
      <c r="B625" s="13" t="s">
        <v>1877</v>
      </c>
      <c r="C625" s="13" t="s">
        <v>1778</v>
      </c>
      <c r="D625" s="15">
        <v>10062.719999999999</v>
      </c>
    </row>
    <row r="626" spans="1:4" x14ac:dyDescent="0.25">
      <c r="A626" s="11">
        <v>45566</v>
      </c>
      <c r="B626" s="10" t="s">
        <v>1877</v>
      </c>
      <c r="C626" s="10" t="s">
        <v>1783</v>
      </c>
      <c r="D626" s="12">
        <v>7765.09</v>
      </c>
    </row>
    <row r="627" spans="1:4" x14ac:dyDescent="0.25">
      <c r="A627" s="14">
        <v>45566</v>
      </c>
      <c r="B627" s="13" t="s">
        <v>1774</v>
      </c>
      <c r="C627" s="13" t="s">
        <v>1797</v>
      </c>
      <c r="D627" s="15">
        <v>6406.78</v>
      </c>
    </row>
    <row r="628" spans="1:4" x14ac:dyDescent="0.25">
      <c r="A628" s="11">
        <v>45566</v>
      </c>
      <c r="B628" s="10" t="s">
        <v>1877</v>
      </c>
      <c r="C628" s="10" t="s">
        <v>1795</v>
      </c>
      <c r="D628" s="12">
        <v>3826.3</v>
      </c>
    </row>
    <row r="629" spans="1:4" x14ac:dyDescent="0.25">
      <c r="A629" s="14">
        <v>45566</v>
      </c>
      <c r="B629" s="13" t="s">
        <v>1818</v>
      </c>
      <c r="C629" s="13" t="s">
        <v>1775</v>
      </c>
      <c r="D629" s="15">
        <v>32500.77</v>
      </c>
    </row>
    <row r="630" spans="1:4" x14ac:dyDescent="0.25">
      <c r="A630" s="11">
        <v>45566</v>
      </c>
      <c r="B630" s="10" t="s">
        <v>1786</v>
      </c>
      <c r="C630" s="10" t="s">
        <v>1778</v>
      </c>
      <c r="D630" s="12">
        <v>15946.99</v>
      </c>
    </row>
    <row r="631" spans="1:4" x14ac:dyDescent="0.25">
      <c r="A631" s="14">
        <v>45566</v>
      </c>
      <c r="B631" s="13" t="s">
        <v>1877</v>
      </c>
      <c r="C631" s="13" t="s">
        <v>1789</v>
      </c>
      <c r="D631" s="15">
        <v>5292.76</v>
      </c>
    </row>
    <row r="632" spans="1:4" x14ac:dyDescent="0.25">
      <c r="A632" s="11">
        <v>45597</v>
      </c>
      <c r="B632" s="10" t="s">
        <v>1786</v>
      </c>
      <c r="C632" s="10" t="s">
        <v>1795</v>
      </c>
      <c r="D632" s="12">
        <v>4742.92</v>
      </c>
    </row>
    <row r="633" spans="1:4" x14ac:dyDescent="0.25">
      <c r="A633" s="14">
        <v>45597</v>
      </c>
      <c r="B633" s="13" t="s">
        <v>1792</v>
      </c>
      <c r="C633" s="13" t="s">
        <v>1778</v>
      </c>
      <c r="D633" s="15">
        <v>18316.509999999998</v>
      </c>
    </row>
    <row r="634" spans="1:4" x14ac:dyDescent="0.25">
      <c r="A634" s="11">
        <v>45597</v>
      </c>
      <c r="B634" s="10" t="s">
        <v>1818</v>
      </c>
      <c r="C634" s="10" t="s">
        <v>1797</v>
      </c>
      <c r="D634" s="12">
        <v>1792.54</v>
      </c>
    </row>
    <row r="635" spans="1:4" x14ac:dyDescent="0.25">
      <c r="A635" s="14">
        <v>45597</v>
      </c>
      <c r="B635" s="13" t="s">
        <v>1786</v>
      </c>
      <c r="C635" s="13" t="s">
        <v>1778</v>
      </c>
      <c r="D635" s="15">
        <v>12855.81</v>
      </c>
    </row>
    <row r="636" spans="1:4" x14ac:dyDescent="0.25">
      <c r="A636" s="11">
        <v>45597</v>
      </c>
      <c r="B636" s="10" t="s">
        <v>1877</v>
      </c>
      <c r="C636" s="10" t="s">
        <v>1795</v>
      </c>
      <c r="D636" s="12">
        <v>3870.15</v>
      </c>
    </row>
    <row r="637" spans="1:4" x14ac:dyDescent="0.25">
      <c r="A637" s="14">
        <v>45597</v>
      </c>
      <c r="B637" s="13" t="s">
        <v>1818</v>
      </c>
      <c r="C637" s="13" t="s">
        <v>1789</v>
      </c>
      <c r="D637" s="15">
        <v>3863.69</v>
      </c>
    </row>
    <row r="638" spans="1:4" x14ac:dyDescent="0.25">
      <c r="A638" s="11">
        <v>45597</v>
      </c>
      <c r="B638" s="10" t="s">
        <v>1786</v>
      </c>
      <c r="C638" s="10" t="s">
        <v>1783</v>
      </c>
      <c r="D638" s="12">
        <v>8653.75</v>
      </c>
    </row>
    <row r="639" spans="1:4" x14ac:dyDescent="0.25">
      <c r="A639" s="14">
        <v>45597</v>
      </c>
      <c r="B639" s="13" t="s">
        <v>1862</v>
      </c>
      <c r="C639" s="13" t="s">
        <v>1792</v>
      </c>
      <c r="D639" s="15">
        <v>6680.59</v>
      </c>
    </row>
    <row r="640" spans="1:4" x14ac:dyDescent="0.25">
      <c r="A640" s="11">
        <v>45597</v>
      </c>
      <c r="B640" s="10" t="s">
        <v>1786</v>
      </c>
      <c r="C640" s="10" t="s">
        <v>1792</v>
      </c>
      <c r="D640" s="12">
        <v>11489.42</v>
      </c>
    </row>
    <row r="641" spans="1:4" x14ac:dyDescent="0.25">
      <c r="A641" s="14">
        <v>45597</v>
      </c>
      <c r="B641" s="13" t="s">
        <v>1792</v>
      </c>
      <c r="C641" s="13" t="s">
        <v>1795</v>
      </c>
      <c r="D641" s="15">
        <v>4701.16</v>
      </c>
    </row>
    <row r="642" spans="1:4" x14ac:dyDescent="0.25">
      <c r="A642" s="11">
        <v>45597</v>
      </c>
      <c r="B642" s="10" t="s">
        <v>1877</v>
      </c>
      <c r="C642" s="10" t="s">
        <v>1786</v>
      </c>
      <c r="D642" s="12">
        <v>7950.55</v>
      </c>
    </row>
    <row r="643" spans="1:4" x14ac:dyDescent="0.25">
      <c r="A643" s="14">
        <v>45597</v>
      </c>
      <c r="B643" s="13" t="s">
        <v>1799</v>
      </c>
      <c r="C643" s="13" t="s">
        <v>1792</v>
      </c>
      <c r="D643" s="15">
        <v>7324.89</v>
      </c>
    </row>
    <row r="644" spans="1:4" x14ac:dyDescent="0.25">
      <c r="A644" s="11">
        <v>45597</v>
      </c>
      <c r="B644" s="10" t="s">
        <v>1799</v>
      </c>
      <c r="C644" s="10" t="s">
        <v>1775</v>
      </c>
      <c r="D644" s="12">
        <v>39971.15</v>
      </c>
    </row>
    <row r="645" spans="1:4" x14ac:dyDescent="0.25">
      <c r="A645" s="14">
        <v>45597</v>
      </c>
      <c r="B645" s="13" t="s">
        <v>1799</v>
      </c>
      <c r="C645" s="13" t="s">
        <v>1795</v>
      </c>
      <c r="D645" s="15">
        <v>2724.87</v>
      </c>
    </row>
    <row r="646" spans="1:4" x14ac:dyDescent="0.25">
      <c r="A646" s="11">
        <v>45597</v>
      </c>
      <c r="B646" s="10" t="s">
        <v>1862</v>
      </c>
      <c r="C646" s="10" t="s">
        <v>1778</v>
      </c>
      <c r="D646" s="12">
        <v>8927.83</v>
      </c>
    </row>
    <row r="647" spans="1:4" x14ac:dyDescent="0.25">
      <c r="A647" s="14">
        <v>45597</v>
      </c>
      <c r="B647" s="13" t="s">
        <v>1818</v>
      </c>
      <c r="C647" s="13" t="s">
        <v>1795</v>
      </c>
      <c r="D647" s="15">
        <v>1851.15</v>
      </c>
    </row>
    <row r="648" spans="1:4" x14ac:dyDescent="0.25">
      <c r="A648" s="11">
        <v>45597</v>
      </c>
      <c r="B648" s="10" t="s">
        <v>1786</v>
      </c>
      <c r="C648" s="10" t="s">
        <v>1789</v>
      </c>
      <c r="D648" s="12">
        <v>7139.23</v>
      </c>
    </row>
    <row r="649" spans="1:4" x14ac:dyDescent="0.25">
      <c r="A649" s="14">
        <v>45597</v>
      </c>
      <c r="B649" s="13" t="s">
        <v>1792</v>
      </c>
      <c r="C649" s="13" t="s">
        <v>1789</v>
      </c>
      <c r="D649" s="15">
        <v>6642.93</v>
      </c>
    </row>
    <row r="650" spans="1:4" x14ac:dyDescent="0.25">
      <c r="A650" s="11">
        <v>45597</v>
      </c>
      <c r="B650" s="10" t="s">
        <v>1818</v>
      </c>
      <c r="C650" s="10" t="s">
        <v>1780</v>
      </c>
      <c r="D650" s="12">
        <v>3825.24</v>
      </c>
    </row>
    <row r="651" spans="1:4" x14ac:dyDescent="0.25">
      <c r="A651" s="14">
        <v>45597</v>
      </c>
      <c r="B651" s="13" t="s">
        <v>1792</v>
      </c>
      <c r="C651" s="13" t="s">
        <v>1786</v>
      </c>
      <c r="D651" s="15">
        <v>12025.27</v>
      </c>
    </row>
    <row r="652" spans="1:4" x14ac:dyDescent="0.25">
      <c r="A652" s="11">
        <v>45597</v>
      </c>
      <c r="B652" s="10" t="s">
        <v>1799</v>
      </c>
      <c r="C652" s="10" t="s">
        <v>1786</v>
      </c>
      <c r="D652" s="12">
        <v>8312.23</v>
      </c>
    </row>
    <row r="653" spans="1:4" x14ac:dyDescent="0.25">
      <c r="A653" s="14">
        <v>45597</v>
      </c>
      <c r="B653" s="13" t="s">
        <v>1774</v>
      </c>
      <c r="C653" s="13" t="s">
        <v>1786</v>
      </c>
      <c r="D653" s="15">
        <v>13894.75</v>
      </c>
    </row>
    <row r="654" spans="1:4" x14ac:dyDescent="0.25">
      <c r="A654" s="11">
        <v>45597</v>
      </c>
      <c r="B654" s="10" t="s">
        <v>1877</v>
      </c>
      <c r="C654" s="10" t="s">
        <v>1783</v>
      </c>
      <c r="D654" s="12">
        <v>7408.88</v>
      </c>
    </row>
    <row r="655" spans="1:4" x14ac:dyDescent="0.25">
      <c r="A655" s="14">
        <v>45597</v>
      </c>
      <c r="B655" s="13" t="s">
        <v>1862</v>
      </c>
      <c r="C655" s="13" t="s">
        <v>1775</v>
      </c>
      <c r="D655" s="15">
        <v>34587.29</v>
      </c>
    </row>
    <row r="656" spans="1:4" x14ac:dyDescent="0.25">
      <c r="A656" s="11">
        <v>45597</v>
      </c>
      <c r="B656" s="10" t="s">
        <v>1862</v>
      </c>
      <c r="C656" s="10" t="s">
        <v>1795</v>
      </c>
      <c r="D656" s="12">
        <v>2855.61</v>
      </c>
    </row>
    <row r="657" spans="1:4" x14ac:dyDescent="0.25">
      <c r="A657" s="14">
        <v>45597</v>
      </c>
      <c r="B657" s="13" t="s">
        <v>1862</v>
      </c>
      <c r="C657" s="13" t="s">
        <v>1789</v>
      </c>
      <c r="D657" s="15">
        <v>4415.3999999999996</v>
      </c>
    </row>
    <row r="658" spans="1:4" x14ac:dyDescent="0.25">
      <c r="A658" s="11">
        <v>45597</v>
      </c>
      <c r="B658" s="10" t="s">
        <v>1799</v>
      </c>
      <c r="C658" s="10" t="s">
        <v>1783</v>
      </c>
      <c r="D658" s="12">
        <v>7846.2</v>
      </c>
    </row>
    <row r="659" spans="1:4" x14ac:dyDescent="0.25">
      <c r="A659" s="14">
        <v>45597</v>
      </c>
      <c r="B659" s="13" t="s">
        <v>1877</v>
      </c>
      <c r="C659" s="13" t="s">
        <v>1797</v>
      </c>
      <c r="D659" s="15">
        <v>3661.84</v>
      </c>
    </row>
    <row r="660" spans="1:4" x14ac:dyDescent="0.25">
      <c r="A660" s="11">
        <v>45597</v>
      </c>
      <c r="B660" s="10" t="s">
        <v>1799</v>
      </c>
      <c r="C660" s="10" t="s">
        <v>1797</v>
      </c>
      <c r="D660" s="12">
        <v>2277.04</v>
      </c>
    </row>
    <row r="661" spans="1:4" x14ac:dyDescent="0.25">
      <c r="A661" s="14">
        <v>45597</v>
      </c>
      <c r="B661" s="13" t="s">
        <v>1792</v>
      </c>
      <c r="C661" s="13" t="s">
        <v>1783</v>
      </c>
      <c r="D661" s="15">
        <v>12815.41</v>
      </c>
    </row>
    <row r="662" spans="1:4" x14ac:dyDescent="0.25">
      <c r="A662" s="11">
        <v>45597</v>
      </c>
      <c r="B662" s="10" t="s">
        <v>1774</v>
      </c>
      <c r="C662" s="10" t="s">
        <v>1792</v>
      </c>
      <c r="D662" s="12">
        <v>16075.94</v>
      </c>
    </row>
    <row r="663" spans="1:4" x14ac:dyDescent="0.25">
      <c r="A663" s="14">
        <v>45597</v>
      </c>
      <c r="B663" s="13" t="s">
        <v>1774</v>
      </c>
      <c r="C663" s="13" t="s">
        <v>1778</v>
      </c>
      <c r="D663" s="15">
        <v>17982.849999999999</v>
      </c>
    </row>
    <row r="664" spans="1:4" x14ac:dyDescent="0.25">
      <c r="A664" s="11">
        <v>45597</v>
      </c>
      <c r="B664" s="10" t="s">
        <v>1774</v>
      </c>
      <c r="C664" s="10" t="s">
        <v>1789</v>
      </c>
      <c r="D664" s="12">
        <v>11242.03</v>
      </c>
    </row>
    <row r="665" spans="1:4" x14ac:dyDescent="0.25">
      <c r="A665" s="14">
        <v>45597</v>
      </c>
      <c r="B665" s="13" t="s">
        <v>1786</v>
      </c>
      <c r="C665" s="13" t="s">
        <v>1797</v>
      </c>
      <c r="D665" s="15">
        <v>3790</v>
      </c>
    </row>
    <row r="666" spans="1:4" x14ac:dyDescent="0.25">
      <c r="A666" s="11">
        <v>45597</v>
      </c>
      <c r="B666" s="10" t="s">
        <v>1877</v>
      </c>
      <c r="C666" s="10" t="s">
        <v>1778</v>
      </c>
      <c r="D666" s="12">
        <v>12732.02</v>
      </c>
    </row>
    <row r="667" spans="1:4" x14ac:dyDescent="0.25">
      <c r="A667" s="14">
        <v>45597</v>
      </c>
      <c r="B667" s="13" t="s">
        <v>1862</v>
      </c>
      <c r="C667" s="13" t="s">
        <v>1786</v>
      </c>
      <c r="D667" s="15">
        <v>6460.56</v>
      </c>
    </row>
    <row r="668" spans="1:4" x14ac:dyDescent="0.25">
      <c r="A668" s="11">
        <v>45597</v>
      </c>
      <c r="B668" s="10" t="s">
        <v>1877</v>
      </c>
      <c r="C668" s="10" t="s">
        <v>1789</v>
      </c>
      <c r="D668" s="12">
        <v>5439.8</v>
      </c>
    </row>
    <row r="669" spans="1:4" x14ac:dyDescent="0.25">
      <c r="A669" s="14">
        <v>45597</v>
      </c>
      <c r="B669" s="13" t="s">
        <v>1818</v>
      </c>
      <c r="C669" s="13" t="s">
        <v>1778</v>
      </c>
      <c r="D669" s="15">
        <v>7246.31</v>
      </c>
    </row>
    <row r="670" spans="1:4" x14ac:dyDescent="0.25">
      <c r="A670" s="11">
        <v>45597</v>
      </c>
      <c r="B670" s="10" t="s">
        <v>1774</v>
      </c>
      <c r="C670" s="10" t="s">
        <v>1775</v>
      </c>
      <c r="D670" s="12">
        <v>101592.36</v>
      </c>
    </row>
    <row r="671" spans="1:4" x14ac:dyDescent="0.25">
      <c r="A671" s="14">
        <v>45597</v>
      </c>
      <c r="B671" s="13" t="s">
        <v>1792</v>
      </c>
      <c r="C671" s="13" t="s">
        <v>1797</v>
      </c>
      <c r="D671" s="15">
        <v>4987.62</v>
      </c>
    </row>
    <row r="672" spans="1:4" x14ac:dyDescent="0.25">
      <c r="A672" s="11">
        <v>45597</v>
      </c>
      <c r="B672" s="10" t="s">
        <v>1774</v>
      </c>
      <c r="C672" s="10" t="s">
        <v>1783</v>
      </c>
      <c r="D672" s="12">
        <v>13248.27</v>
      </c>
    </row>
    <row r="673" spans="1:4" x14ac:dyDescent="0.25">
      <c r="A673" s="14">
        <v>45597</v>
      </c>
      <c r="B673" s="13" t="s">
        <v>1877</v>
      </c>
      <c r="C673" s="13" t="s">
        <v>1792</v>
      </c>
      <c r="D673" s="15">
        <v>9611.94</v>
      </c>
    </row>
    <row r="674" spans="1:4" x14ac:dyDescent="0.25">
      <c r="A674" s="11">
        <v>45597</v>
      </c>
      <c r="B674" s="10" t="s">
        <v>1877</v>
      </c>
      <c r="C674" s="10" t="s">
        <v>1775</v>
      </c>
      <c r="D674" s="12">
        <v>72787.44</v>
      </c>
    </row>
    <row r="675" spans="1:4" x14ac:dyDescent="0.25">
      <c r="A675" s="14">
        <v>45597</v>
      </c>
      <c r="B675" s="13" t="s">
        <v>1862</v>
      </c>
      <c r="C675" s="13" t="s">
        <v>1783</v>
      </c>
      <c r="D675" s="15">
        <v>7429.72</v>
      </c>
    </row>
    <row r="676" spans="1:4" x14ac:dyDescent="0.25">
      <c r="A676" s="11">
        <v>45597</v>
      </c>
      <c r="B676" s="10" t="s">
        <v>1818</v>
      </c>
      <c r="C676" s="10" t="s">
        <v>1783</v>
      </c>
      <c r="D676" s="12">
        <v>5642</v>
      </c>
    </row>
    <row r="677" spans="1:4" x14ac:dyDescent="0.25">
      <c r="A677" s="14">
        <v>45597</v>
      </c>
      <c r="B677" s="13" t="s">
        <v>1799</v>
      </c>
      <c r="C677" s="13" t="s">
        <v>1780</v>
      </c>
      <c r="D677" s="15">
        <v>3948.28</v>
      </c>
    </row>
    <row r="678" spans="1:4" x14ac:dyDescent="0.25">
      <c r="A678" s="11">
        <v>45597</v>
      </c>
      <c r="B678" s="10" t="s">
        <v>1774</v>
      </c>
      <c r="C678" s="10" t="s">
        <v>1795</v>
      </c>
      <c r="D678" s="12">
        <v>5496.22</v>
      </c>
    </row>
    <row r="679" spans="1:4" x14ac:dyDescent="0.25">
      <c r="A679" s="14">
        <v>45597</v>
      </c>
      <c r="B679" s="13" t="s">
        <v>1792</v>
      </c>
      <c r="C679" s="13" t="s">
        <v>1775</v>
      </c>
      <c r="D679" s="15">
        <v>86091.86</v>
      </c>
    </row>
    <row r="680" spans="1:4" x14ac:dyDescent="0.25">
      <c r="A680" s="11">
        <v>45597</v>
      </c>
      <c r="B680" s="10" t="s">
        <v>1862</v>
      </c>
      <c r="C680" s="10" t="s">
        <v>1780</v>
      </c>
      <c r="D680" s="12">
        <v>4220.7700000000004</v>
      </c>
    </row>
    <row r="681" spans="1:4" x14ac:dyDescent="0.25">
      <c r="A681" s="14">
        <v>45597</v>
      </c>
      <c r="B681" s="13" t="s">
        <v>1818</v>
      </c>
      <c r="C681" s="13" t="s">
        <v>1792</v>
      </c>
      <c r="D681" s="15">
        <v>4935.25</v>
      </c>
    </row>
    <row r="682" spans="1:4" x14ac:dyDescent="0.25">
      <c r="A682" s="11">
        <v>45597</v>
      </c>
      <c r="B682" s="10" t="s">
        <v>1774</v>
      </c>
      <c r="C682" s="10" t="s">
        <v>1780</v>
      </c>
      <c r="D682" s="12">
        <v>8545.0499999999993</v>
      </c>
    </row>
    <row r="683" spans="1:4" x14ac:dyDescent="0.25">
      <c r="A683" s="14">
        <v>45597</v>
      </c>
      <c r="B683" s="13" t="s">
        <v>1786</v>
      </c>
      <c r="C683" s="13" t="s">
        <v>1786</v>
      </c>
      <c r="D683" s="15">
        <v>9586.18</v>
      </c>
    </row>
    <row r="684" spans="1:4" x14ac:dyDescent="0.25">
      <c r="A684" s="11">
        <v>45597</v>
      </c>
      <c r="B684" s="10" t="s">
        <v>1862</v>
      </c>
      <c r="C684" s="10" t="s">
        <v>1797</v>
      </c>
      <c r="D684" s="12">
        <v>2421.27</v>
      </c>
    </row>
    <row r="685" spans="1:4" x14ac:dyDescent="0.25">
      <c r="A685" s="14">
        <v>45597</v>
      </c>
      <c r="B685" s="13" t="s">
        <v>1786</v>
      </c>
      <c r="C685" s="13" t="s">
        <v>1780</v>
      </c>
      <c r="D685" s="15">
        <v>5351.79</v>
      </c>
    </row>
    <row r="686" spans="1:4" x14ac:dyDescent="0.25">
      <c r="A686" s="11">
        <v>45597</v>
      </c>
      <c r="B686" s="10" t="s">
        <v>1818</v>
      </c>
      <c r="C686" s="10" t="s">
        <v>1775</v>
      </c>
      <c r="D686" s="12">
        <v>37305.5</v>
      </c>
    </row>
    <row r="687" spans="1:4" x14ac:dyDescent="0.25">
      <c r="A687" s="14">
        <v>45597</v>
      </c>
      <c r="B687" s="13" t="s">
        <v>1774</v>
      </c>
      <c r="C687" s="13" t="s">
        <v>1797</v>
      </c>
      <c r="D687" s="15">
        <v>5195.92</v>
      </c>
    </row>
    <row r="688" spans="1:4" x14ac:dyDescent="0.25">
      <c r="A688" s="11">
        <v>45597</v>
      </c>
      <c r="B688" s="10" t="s">
        <v>1786</v>
      </c>
      <c r="C688" s="10" t="s">
        <v>1775</v>
      </c>
      <c r="D688" s="12">
        <v>54940.63</v>
      </c>
    </row>
    <row r="689" spans="1:4" x14ac:dyDescent="0.25">
      <c r="A689" s="14">
        <v>45597</v>
      </c>
      <c r="B689" s="13" t="s">
        <v>1792</v>
      </c>
      <c r="C689" s="13" t="s">
        <v>1780</v>
      </c>
      <c r="D689" s="15">
        <v>10100.33</v>
      </c>
    </row>
    <row r="690" spans="1:4" x14ac:dyDescent="0.25">
      <c r="A690" s="11">
        <v>45597</v>
      </c>
      <c r="B690" s="10" t="s">
        <v>1877</v>
      </c>
      <c r="C690" s="10" t="s">
        <v>1780</v>
      </c>
      <c r="D690" s="12">
        <v>5978.81</v>
      </c>
    </row>
    <row r="691" spans="1:4" x14ac:dyDescent="0.25">
      <c r="A691" s="14">
        <v>45597</v>
      </c>
      <c r="B691" s="13" t="s">
        <v>1799</v>
      </c>
      <c r="C691" s="13" t="s">
        <v>1778</v>
      </c>
      <c r="D691" s="15">
        <v>10400.32</v>
      </c>
    </row>
    <row r="692" spans="1:4" x14ac:dyDescent="0.25">
      <c r="A692" s="11">
        <v>45597</v>
      </c>
      <c r="B692" s="10" t="s">
        <v>1792</v>
      </c>
      <c r="C692" s="10" t="s">
        <v>1792</v>
      </c>
      <c r="D692" s="12">
        <v>14370.4</v>
      </c>
    </row>
    <row r="693" spans="1:4" x14ac:dyDescent="0.25">
      <c r="A693" s="14">
        <v>45597</v>
      </c>
      <c r="B693" s="13" t="s">
        <v>1818</v>
      </c>
      <c r="C693" s="13" t="s">
        <v>1786</v>
      </c>
      <c r="D693" s="15">
        <v>5499.52</v>
      </c>
    </row>
    <row r="694" spans="1:4" x14ac:dyDescent="0.25">
      <c r="A694" s="11">
        <v>45597</v>
      </c>
      <c r="B694" s="10" t="s">
        <v>1799</v>
      </c>
      <c r="C694" s="10" t="s">
        <v>1789</v>
      </c>
      <c r="D694" s="12">
        <v>4035.45</v>
      </c>
    </row>
    <row r="695" spans="1:4" x14ac:dyDescent="0.25">
      <c r="A695" s="14">
        <v>45627</v>
      </c>
      <c r="B695" s="13" t="s">
        <v>1862</v>
      </c>
      <c r="C695" s="13" t="s">
        <v>1786</v>
      </c>
      <c r="D695" s="15">
        <v>7776.61</v>
      </c>
    </row>
    <row r="696" spans="1:4" x14ac:dyDescent="0.25">
      <c r="A696" s="11">
        <v>45627</v>
      </c>
      <c r="B696" s="10" t="s">
        <v>1862</v>
      </c>
      <c r="C696" s="10" t="s">
        <v>1775</v>
      </c>
      <c r="D696" s="12">
        <v>34866.99</v>
      </c>
    </row>
    <row r="697" spans="1:4" x14ac:dyDescent="0.25">
      <c r="A697" s="14">
        <v>45627</v>
      </c>
      <c r="B697" s="13" t="s">
        <v>1818</v>
      </c>
      <c r="C697" s="13" t="s">
        <v>1775</v>
      </c>
      <c r="D697" s="15">
        <v>34678.07</v>
      </c>
    </row>
    <row r="698" spans="1:4" x14ac:dyDescent="0.25">
      <c r="A698" s="11">
        <v>45627</v>
      </c>
      <c r="B698" s="10" t="s">
        <v>1818</v>
      </c>
      <c r="C698" s="10" t="s">
        <v>1795</v>
      </c>
      <c r="D698" s="12">
        <v>2394.38</v>
      </c>
    </row>
    <row r="699" spans="1:4" x14ac:dyDescent="0.25">
      <c r="A699" s="14">
        <v>45627</v>
      </c>
      <c r="B699" s="13" t="s">
        <v>1774</v>
      </c>
      <c r="C699" s="13" t="s">
        <v>1775</v>
      </c>
      <c r="D699" s="15">
        <v>115969.33</v>
      </c>
    </row>
    <row r="700" spans="1:4" x14ac:dyDescent="0.25">
      <c r="A700" s="11">
        <v>45627</v>
      </c>
      <c r="B700" s="10" t="s">
        <v>1799</v>
      </c>
      <c r="C700" s="10" t="s">
        <v>1795</v>
      </c>
      <c r="D700" s="12">
        <v>2674.45</v>
      </c>
    </row>
    <row r="701" spans="1:4" x14ac:dyDescent="0.25">
      <c r="A701" s="14">
        <v>45627</v>
      </c>
      <c r="B701" s="13" t="s">
        <v>1877</v>
      </c>
      <c r="C701" s="13" t="s">
        <v>1792</v>
      </c>
      <c r="D701" s="15">
        <v>12774.02</v>
      </c>
    </row>
    <row r="702" spans="1:4" x14ac:dyDescent="0.25">
      <c r="A702" s="11">
        <v>45627</v>
      </c>
      <c r="B702" s="10" t="s">
        <v>1799</v>
      </c>
      <c r="C702" s="10" t="s">
        <v>1775</v>
      </c>
      <c r="D702" s="12">
        <v>44870.53</v>
      </c>
    </row>
    <row r="703" spans="1:4" x14ac:dyDescent="0.25">
      <c r="A703" s="14">
        <v>45627</v>
      </c>
      <c r="B703" s="13" t="s">
        <v>1774</v>
      </c>
      <c r="C703" s="13" t="s">
        <v>1786</v>
      </c>
      <c r="D703" s="15">
        <v>18835.03</v>
      </c>
    </row>
    <row r="704" spans="1:4" x14ac:dyDescent="0.25">
      <c r="A704" s="11">
        <v>45627</v>
      </c>
      <c r="B704" s="10" t="s">
        <v>1786</v>
      </c>
      <c r="C704" s="10" t="s">
        <v>1797</v>
      </c>
      <c r="D704" s="12">
        <v>4786.3599999999997</v>
      </c>
    </row>
    <row r="705" spans="1:4" x14ac:dyDescent="0.25">
      <c r="A705" s="14">
        <v>45627</v>
      </c>
      <c r="B705" s="13" t="s">
        <v>1774</v>
      </c>
      <c r="C705" s="13" t="s">
        <v>1792</v>
      </c>
      <c r="D705" s="15">
        <v>18950.66</v>
      </c>
    </row>
    <row r="706" spans="1:4" x14ac:dyDescent="0.25">
      <c r="A706" s="11">
        <v>45627</v>
      </c>
      <c r="B706" s="10" t="s">
        <v>1774</v>
      </c>
      <c r="C706" s="10" t="s">
        <v>1780</v>
      </c>
      <c r="D706" s="12">
        <v>11418.34</v>
      </c>
    </row>
    <row r="707" spans="1:4" x14ac:dyDescent="0.25">
      <c r="A707" s="14">
        <v>45627</v>
      </c>
      <c r="B707" s="13" t="s">
        <v>1786</v>
      </c>
      <c r="C707" s="13" t="s">
        <v>1778</v>
      </c>
      <c r="D707" s="15">
        <v>14851.83</v>
      </c>
    </row>
    <row r="708" spans="1:4" x14ac:dyDescent="0.25">
      <c r="A708" s="11">
        <v>45627</v>
      </c>
      <c r="B708" s="10" t="s">
        <v>1877</v>
      </c>
      <c r="C708" s="10" t="s">
        <v>1775</v>
      </c>
      <c r="D708" s="12">
        <v>70176.23</v>
      </c>
    </row>
    <row r="709" spans="1:4" x14ac:dyDescent="0.25">
      <c r="A709" s="14">
        <v>45627</v>
      </c>
      <c r="B709" s="13" t="s">
        <v>1799</v>
      </c>
      <c r="C709" s="13" t="s">
        <v>1797</v>
      </c>
      <c r="D709" s="15">
        <v>2359.77</v>
      </c>
    </row>
    <row r="710" spans="1:4" x14ac:dyDescent="0.25">
      <c r="A710" s="11">
        <v>45627</v>
      </c>
      <c r="B710" s="10" t="s">
        <v>1774</v>
      </c>
      <c r="C710" s="10" t="s">
        <v>1778</v>
      </c>
      <c r="D710" s="12">
        <v>19426.78</v>
      </c>
    </row>
    <row r="711" spans="1:4" x14ac:dyDescent="0.25">
      <c r="A711" s="14">
        <v>45627</v>
      </c>
      <c r="B711" s="13" t="s">
        <v>1786</v>
      </c>
      <c r="C711" s="13" t="s">
        <v>1792</v>
      </c>
      <c r="D711" s="15">
        <v>10808.6</v>
      </c>
    </row>
    <row r="712" spans="1:4" x14ac:dyDescent="0.25">
      <c r="A712" s="11">
        <v>45627</v>
      </c>
      <c r="B712" s="10" t="s">
        <v>1792</v>
      </c>
      <c r="C712" s="10" t="s">
        <v>1789</v>
      </c>
      <c r="D712" s="12">
        <v>10133.14</v>
      </c>
    </row>
    <row r="713" spans="1:4" x14ac:dyDescent="0.25">
      <c r="A713" s="14">
        <v>45627</v>
      </c>
      <c r="B713" s="13" t="s">
        <v>1862</v>
      </c>
      <c r="C713" s="13" t="s">
        <v>1780</v>
      </c>
      <c r="D713" s="15">
        <v>4219.3</v>
      </c>
    </row>
    <row r="714" spans="1:4" x14ac:dyDescent="0.25">
      <c r="A714" s="11">
        <v>45627</v>
      </c>
      <c r="B714" s="10" t="s">
        <v>1818</v>
      </c>
      <c r="C714" s="10" t="s">
        <v>1783</v>
      </c>
      <c r="D714" s="12">
        <v>6164.75</v>
      </c>
    </row>
    <row r="715" spans="1:4" x14ac:dyDescent="0.25">
      <c r="A715" s="14">
        <v>45627</v>
      </c>
      <c r="B715" s="13" t="s">
        <v>1792</v>
      </c>
      <c r="C715" s="13" t="s">
        <v>1792</v>
      </c>
      <c r="D715" s="15">
        <v>14166.62</v>
      </c>
    </row>
    <row r="716" spans="1:4" x14ac:dyDescent="0.25">
      <c r="A716" s="11">
        <v>45627</v>
      </c>
      <c r="B716" s="10" t="s">
        <v>1786</v>
      </c>
      <c r="C716" s="10" t="s">
        <v>1789</v>
      </c>
      <c r="D716" s="12">
        <v>5999.51</v>
      </c>
    </row>
    <row r="717" spans="1:4" x14ac:dyDescent="0.25">
      <c r="A717" s="14">
        <v>45627</v>
      </c>
      <c r="B717" s="13" t="s">
        <v>1862</v>
      </c>
      <c r="C717" s="13" t="s">
        <v>1795</v>
      </c>
      <c r="D717" s="15">
        <v>2623.56</v>
      </c>
    </row>
    <row r="718" spans="1:4" x14ac:dyDescent="0.25">
      <c r="A718" s="11">
        <v>45627</v>
      </c>
      <c r="B718" s="10" t="s">
        <v>1786</v>
      </c>
      <c r="C718" s="10" t="s">
        <v>1795</v>
      </c>
      <c r="D718" s="12">
        <v>3906.52</v>
      </c>
    </row>
    <row r="719" spans="1:4" x14ac:dyDescent="0.25">
      <c r="A719" s="14">
        <v>45627</v>
      </c>
      <c r="B719" s="13" t="s">
        <v>1877</v>
      </c>
      <c r="C719" s="13" t="s">
        <v>1783</v>
      </c>
      <c r="D719" s="15">
        <v>10047.68</v>
      </c>
    </row>
    <row r="720" spans="1:4" x14ac:dyDescent="0.25">
      <c r="A720" s="11">
        <v>45627</v>
      </c>
      <c r="B720" s="10" t="s">
        <v>1818</v>
      </c>
      <c r="C720" s="10" t="s">
        <v>1797</v>
      </c>
      <c r="D720" s="12">
        <v>2375.08</v>
      </c>
    </row>
    <row r="721" spans="1:4" x14ac:dyDescent="0.25">
      <c r="A721" s="14">
        <v>45627</v>
      </c>
      <c r="B721" s="13" t="s">
        <v>1818</v>
      </c>
      <c r="C721" s="13" t="s">
        <v>1789</v>
      </c>
      <c r="D721" s="15">
        <v>3490.51</v>
      </c>
    </row>
    <row r="722" spans="1:4" x14ac:dyDescent="0.25">
      <c r="A722" s="11">
        <v>45627</v>
      </c>
      <c r="B722" s="10" t="s">
        <v>1786</v>
      </c>
      <c r="C722" s="10" t="s">
        <v>1783</v>
      </c>
      <c r="D722" s="12">
        <v>12029.44</v>
      </c>
    </row>
    <row r="723" spans="1:4" x14ac:dyDescent="0.25">
      <c r="A723" s="14">
        <v>45627</v>
      </c>
      <c r="B723" s="13" t="s">
        <v>1786</v>
      </c>
      <c r="C723" s="13" t="s">
        <v>1786</v>
      </c>
      <c r="D723" s="15">
        <v>10014.75</v>
      </c>
    </row>
    <row r="724" spans="1:4" x14ac:dyDescent="0.25">
      <c r="A724" s="11">
        <v>45627</v>
      </c>
      <c r="B724" s="10" t="s">
        <v>1862</v>
      </c>
      <c r="C724" s="10" t="s">
        <v>1789</v>
      </c>
      <c r="D724" s="12">
        <v>3967.72</v>
      </c>
    </row>
    <row r="725" spans="1:4" x14ac:dyDescent="0.25">
      <c r="A725" s="14">
        <v>45627</v>
      </c>
      <c r="B725" s="13" t="s">
        <v>1818</v>
      </c>
      <c r="C725" s="13" t="s">
        <v>1786</v>
      </c>
      <c r="D725" s="15">
        <v>5501.1</v>
      </c>
    </row>
    <row r="726" spans="1:4" x14ac:dyDescent="0.25">
      <c r="A726" s="11">
        <v>45627</v>
      </c>
      <c r="B726" s="10" t="s">
        <v>1792</v>
      </c>
      <c r="C726" s="10" t="s">
        <v>1786</v>
      </c>
      <c r="D726" s="12">
        <v>12716.97</v>
      </c>
    </row>
    <row r="727" spans="1:4" x14ac:dyDescent="0.25">
      <c r="A727" s="14">
        <v>45627</v>
      </c>
      <c r="B727" s="13" t="s">
        <v>1774</v>
      </c>
      <c r="C727" s="13" t="s">
        <v>1797</v>
      </c>
      <c r="D727" s="15">
        <v>5305.64</v>
      </c>
    </row>
    <row r="728" spans="1:4" x14ac:dyDescent="0.25">
      <c r="A728" s="11">
        <v>45627</v>
      </c>
      <c r="B728" s="10" t="s">
        <v>1774</v>
      </c>
      <c r="C728" s="10" t="s">
        <v>1783</v>
      </c>
      <c r="D728" s="12">
        <v>18815.38</v>
      </c>
    </row>
    <row r="729" spans="1:4" x14ac:dyDescent="0.25">
      <c r="A729" s="14">
        <v>45627</v>
      </c>
      <c r="B729" s="13" t="s">
        <v>1774</v>
      </c>
      <c r="C729" s="13" t="s">
        <v>1795</v>
      </c>
      <c r="D729" s="15">
        <v>6279.85</v>
      </c>
    </row>
    <row r="730" spans="1:4" x14ac:dyDescent="0.25">
      <c r="A730" s="11">
        <v>45627</v>
      </c>
      <c r="B730" s="10" t="s">
        <v>1774</v>
      </c>
      <c r="C730" s="10" t="s">
        <v>1789</v>
      </c>
      <c r="D730" s="12">
        <v>7792.46</v>
      </c>
    </row>
    <row r="731" spans="1:4" x14ac:dyDescent="0.25">
      <c r="A731" s="14">
        <v>45627</v>
      </c>
      <c r="B731" s="13" t="s">
        <v>1786</v>
      </c>
      <c r="C731" s="13" t="s">
        <v>1775</v>
      </c>
      <c r="D731" s="15">
        <v>66984.070000000007</v>
      </c>
    </row>
    <row r="732" spans="1:4" x14ac:dyDescent="0.25">
      <c r="A732" s="11">
        <v>45627</v>
      </c>
      <c r="B732" s="10" t="s">
        <v>1786</v>
      </c>
      <c r="C732" s="10" t="s">
        <v>1780</v>
      </c>
      <c r="D732" s="12">
        <v>6468.62</v>
      </c>
    </row>
    <row r="733" spans="1:4" x14ac:dyDescent="0.25">
      <c r="A733" s="14">
        <v>45627</v>
      </c>
      <c r="B733" s="13" t="s">
        <v>1862</v>
      </c>
      <c r="C733" s="13" t="s">
        <v>1797</v>
      </c>
      <c r="D733" s="15">
        <v>2140.8000000000002</v>
      </c>
    </row>
    <row r="734" spans="1:4" x14ac:dyDescent="0.25">
      <c r="A734" s="11">
        <v>45627</v>
      </c>
      <c r="B734" s="10" t="s">
        <v>1792</v>
      </c>
      <c r="C734" s="10" t="s">
        <v>1778</v>
      </c>
      <c r="D734" s="12">
        <v>21242.13</v>
      </c>
    </row>
    <row r="735" spans="1:4" x14ac:dyDescent="0.25">
      <c r="A735" s="14">
        <v>45627</v>
      </c>
      <c r="B735" s="13" t="s">
        <v>1792</v>
      </c>
      <c r="C735" s="13" t="s">
        <v>1783</v>
      </c>
      <c r="D735" s="15">
        <v>12416</v>
      </c>
    </row>
    <row r="736" spans="1:4" x14ac:dyDescent="0.25">
      <c r="A736" s="11">
        <v>45627</v>
      </c>
      <c r="B736" s="10" t="s">
        <v>1799</v>
      </c>
      <c r="C736" s="10" t="s">
        <v>1786</v>
      </c>
      <c r="D736" s="12">
        <v>7236.87</v>
      </c>
    </row>
    <row r="737" spans="1:4" x14ac:dyDescent="0.25">
      <c r="A737" s="14">
        <v>45627</v>
      </c>
      <c r="B737" s="13" t="s">
        <v>1792</v>
      </c>
      <c r="C737" s="13" t="s">
        <v>1780</v>
      </c>
      <c r="D737" s="15">
        <v>7322.75</v>
      </c>
    </row>
    <row r="738" spans="1:4" x14ac:dyDescent="0.25">
      <c r="A738" s="11">
        <v>45627</v>
      </c>
      <c r="B738" s="10" t="s">
        <v>1862</v>
      </c>
      <c r="C738" s="10" t="s">
        <v>1783</v>
      </c>
      <c r="D738" s="12">
        <v>5845.26</v>
      </c>
    </row>
    <row r="739" spans="1:4" x14ac:dyDescent="0.25">
      <c r="A739" s="14">
        <v>45627</v>
      </c>
      <c r="B739" s="13" t="s">
        <v>1799</v>
      </c>
      <c r="C739" s="13" t="s">
        <v>1792</v>
      </c>
      <c r="D739" s="15">
        <v>5068.8100000000004</v>
      </c>
    </row>
    <row r="740" spans="1:4" x14ac:dyDescent="0.25">
      <c r="A740" s="11">
        <v>45627</v>
      </c>
      <c r="B740" s="10" t="s">
        <v>1792</v>
      </c>
      <c r="C740" s="10" t="s">
        <v>1795</v>
      </c>
      <c r="D740" s="12">
        <v>5074.55</v>
      </c>
    </row>
    <row r="741" spans="1:4" x14ac:dyDescent="0.25">
      <c r="A741" s="14">
        <v>45627</v>
      </c>
      <c r="B741" s="13" t="s">
        <v>1877</v>
      </c>
      <c r="C741" s="13" t="s">
        <v>1778</v>
      </c>
      <c r="D741" s="15">
        <v>11066.79</v>
      </c>
    </row>
    <row r="742" spans="1:4" x14ac:dyDescent="0.25">
      <c r="A742" s="11">
        <v>45627</v>
      </c>
      <c r="B742" s="10" t="s">
        <v>1818</v>
      </c>
      <c r="C742" s="10" t="s">
        <v>1792</v>
      </c>
      <c r="D742" s="12">
        <v>5916.47</v>
      </c>
    </row>
    <row r="743" spans="1:4" x14ac:dyDescent="0.25">
      <c r="A743" s="14">
        <v>45627</v>
      </c>
      <c r="B743" s="13" t="s">
        <v>1818</v>
      </c>
      <c r="C743" s="13" t="s">
        <v>1780</v>
      </c>
      <c r="D743" s="15">
        <v>4443.63</v>
      </c>
    </row>
    <row r="744" spans="1:4" x14ac:dyDescent="0.25">
      <c r="A744" s="11">
        <v>45627</v>
      </c>
      <c r="B744" s="10" t="s">
        <v>1799</v>
      </c>
      <c r="C744" s="10" t="s">
        <v>1778</v>
      </c>
      <c r="D744" s="12">
        <v>8292.74</v>
      </c>
    </row>
    <row r="745" spans="1:4" x14ac:dyDescent="0.25">
      <c r="A745" s="14">
        <v>45627</v>
      </c>
      <c r="B745" s="13" t="s">
        <v>1799</v>
      </c>
      <c r="C745" s="13" t="s">
        <v>1789</v>
      </c>
      <c r="D745" s="15">
        <v>4233.6499999999996</v>
      </c>
    </row>
    <row r="746" spans="1:4" x14ac:dyDescent="0.25">
      <c r="A746" s="11">
        <v>45627</v>
      </c>
      <c r="B746" s="10" t="s">
        <v>1792</v>
      </c>
      <c r="C746" s="10" t="s">
        <v>1775</v>
      </c>
      <c r="D746" s="12">
        <v>73181.58</v>
      </c>
    </row>
    <row r="747" spans="1:4" x14ac:dyDescent="0.25">
      <c r="A747" s="14">
        <v>45627</v>
      </c>
      <c r="B747" s="13" t="s">
        <v>1877</v>
      </c>
      <c r="C747" s="13" t="s">
        <v>1795</v>
      </c>
      <c r="D747" s="15">
        <v>3713.76</v>
      </c>
    </row>
    <row r="748" spans="1:4" x14ac:dyDescent="0.25">
      <c r="A748" s="11">
        <v>45627</v>
      </c>
      <c r="B748" s="10" t="s">
        <v>1877</v>
      </c>
      <c r="C748" s="10" t="s">
        <v>1780</v>
      </c>
      <c r="D748" s="12">
        <v>5922.58</v>
      </c>
    </row>
    <row r="749" spans="1:4" x14ac:dyDescent="0.25">
      <c r="A749" s="14">
        <v>45627</v>
      </c>
      <c r="B749" s="13" t="s">
        <v>1862</v>
      </c>
      <c r="C749" s="13" t="s">
        <v>1778</v>
      </c>
      <c r="D749" s="15">
        <v>6453.08</v>
      </c>
    </row>
    <row r="750" spans="1:4" x14ac:dyDescent="0.25">
      <c r="A750" s="11">
        <v>45627</v>
      </c>
      <c r="B750" s="10" t="s">
        <v>1818</v>
      </c>
      <c r="C750" s="10" t="s">
        <v>1778</v>
      </c>
      <c r="D750" s="12">
        <v>8400.11</v>
      </c>
    </row>
    <row r="751" spans="1:4" x14ac:dyDescent="0.25">
      <c r="A751" s="14">
        <v>45627</v>
      </c>
      <c r="B751" s="13" t="s">
        <v>1799</v>
      </c>
      <c r="C751" s="13" t="s">
        <v>1783</v>
      </c>
      <c r="D751" s="15">
        <v>8818.6299999999992</v>
      </c>
    </row>
    <row r="752" spans="1:4" x14ac:dyDescent="0.25">
      <c r="A752" s="11">
        <v>45627</v>
      </c>
      <c r="B752" s="10" t="s">
        <v>1792</v>
      </c>
      <c r="C752" s="10" t="s">
        <v>1797</v>
      </c>
      <c r="D752" s="12">
        <v>4820.91</v>
      </c>
    </row>
    <row r="753" spans="1:4" x14ac:dyDescent="0.25">
      <c r="A753" s="14">
        <v>45627</v>
      </c>
      <c r="B753" s="13" t="s">
        <v>1877</v>
      </c>
      <c r="C753" s="13" t="s">
        <v>1789</v>
      </c>
      <c r="D753" s="15">
        <v>6808.47</v>
      </c>
    </row>
    <row r="754" spans="1:4" x14ac:dyDescent="0.25">
      <c r="A754" s="11">
        <v>45627</v>
      </c>
      <c r="B754" s="10" t="s">
        <v>1799</v>
      </c>
      <c r="C754" s="10" t="s">
        <v>1780</v>
      </c>
      <c r="D754" s="12">
        <v>4274.47</v>
      </c>
    </row>
    <row r="755" spans="1:4" x14ac:dyDescent="0.25">
      <c r="A755" s="14">
        <v>45627</v>
      </c>
      <c r="B755" s="13" t="s">
        <v>1862</v>
      </c>
      <c r="C755" s="13" t="s">
        <v>1792</v>
      </c>
      <c r="D755" s="15">
        <v>5883.63</v>
      </c>
    </row>
    <row r="756" spans="1:4" x14ac:dyDescent="0.25">
      <c r="A756" s="11">
        <v>45627</v>
      </c>
      <c r="B756" s="10" t="s">
        <v>1877</v>
      </c>
      <c r="C756" s="10" t="s">
        <v>1786</v>
      </c>
      <c r="D756" s="12">
        <v>8608.44</v>
      </c>
    </row>
    <row r="757" spans="1:4" x14ac:dyDescent="0.25">
      <c r="A757" s="14">
        <v>45627</v>
      </c>
      <c r="B757" s="13" t="s">
        <v>1877</v>
      </c>
      <c r="C757" s="13" t="s">
        <v>1797</v>
      </c>
      <c r="D757" s="15">
        <v>3800.94</v>
      </c>
    </row>
    <row r="758" spans="1:4" x14ac:dyDescent="0.25">
      <c r="A758" s="11">
        <v>45658</v>
      </c>
      <c r="B758" s="10" t="s">
        <v>1862</v>
      </c>
      <c r="C758" s="10" t="s">
        <v>1795</v>
      </c>
      <c r="D758" s="12">
        <v>3196.93</v>
      </c>
    </row>
    <row r="759" spans="1:4" x14ac:dyDescent="0.25">
      <c r="A759" s="14">
        <v>45658</v>
      </c>
      <c r="B759" s="13" t="s">
        <v>1877</v>
      </c>
      <c r="C759" s="13" t="s">
        <v>1778</v>
      </c>
      <c r="D759" s="15">
        <v>11779.88</v>
      </c>
    </row>
    <row r="760" spans="1:4" x14ac:dyDescent="0.25">
      <c r="A760" s="11">
        <v>45658</v>
      </c>
      <c r="B760" s="10" t="s">
        <v>1774</v>
      </c>
      <c r="C760" s="10" t="s">
        <v>1780</v>
      </c>
      <c r="D760" s="12">
        <v>10584.12</v>
      </c>
    </row>
    <row r="761" spans="1:4" x14ac:dyDescent="0.25">
      <c r="A761" s="14">
        <v>45658</v>
      </c>
      <c r="B761" s="13" t="s">
        <v>1877</v>
      </c>
      <c r="C761" s="13" t="s">
        <v>1789</v>
      </c>
      <c r="D761" s="15">
        <v>5831.01</v>
      </c>
    </row>
    <row r="762" spans="1:4" x14ac:dyDescent="0.25">
      <c r="A762" s="11">
        <v>45658</v>
      </c>
      <c r="B762" s="10" t="s">
        <v>1862</v>
      </c>
      <c r="C762" s="10" t="s">
        <v>1778</v>
      </c>
      <c r="D762" s="12">
        <v>8063.76</v>
      </c>
    </row>
    <row r="763" spans="1:4" x14ac:dyDescent="0.25">
      <c r="A763" s="14">
        <v>45658</v>
      </c>
      <c r="B763" s="13" t="s">
        <v>1774</v>
      </c>
      <c r="C763" s="13" t="s">
        <v>1783</v>
      </c>
      <c r="D763" s="15">
        <v>17615.98</v>
      </c>
    </row>
    <row r="764" spans="1:4" x14ac:dyDescent="0.25">
      <c r="A764" s="11">
        <v>45658</v>
      </c>
      <c r="B764" s="10" t="s">
        <v>1792</v>
      </c>
      <c r="C764" s="10" t="s">
        <v>1792</v>
      </c>
      <c r="D764" s="12">
        <v>12335.54</v>
      </c>
    </row>
    <row r="765" spans="1:4" x14ac:dyDescent="0.25">
      <c r="A765" s="14">
        <v>45658</v>
      </c>
      <c r="B765" s="13" t="s">
        <v>1786</v>
      </c>
      <c r="C765" s="13" t="s">
        <v>1775</v>
      </c>
      <c r="D765" s="15">
        <v>65968.77</v>
      </c>
    </row>
    <row r="766" spans="1:4" x14ac:dyDescent="0.25">
      <c r="A766" s="11">
        <v>45658</v>
      </c>
      <c r="B766" s="10" t="s">
        <v>1792</v>
      </c>
      <c r="C766" s="10" t="s">
        <v>1786</v>
      </c>
      <c r="D766" s="12">
        <v>15040.87</v>
      </c>
    </row>
    <row r="767" spans="1:4" x14ac:dyDescent="0.25">
      <c r="A767" s="14">
        <v>45658</v>
      </c>
      <c r="B767" s="13" t="s">
        <v>1877</v>
      </c>
      <c r="C767" s="13" t="s">
        <v>1792</v>
      </c>
      <c r="D767" s="15">
        <v>10483.94</v>
      </c>
    </row>
    <row r="768" spans="1:4" x14ac:dyDescent="0.25">
      <c r="A768" s="11">
        <v>45658</v>
      </c>
      <c r="B768" s="10" t="s">
        <v>1862</v>
      </c>
      <c r="C768" s="10" t="s">
        <v>1783</v>
      </c>
      <c r="D768" s="12">
        <v>7593.68</v>
      </c>
    </row>
    <row r="769" spans="1:4" x14ac:dyDescent="0.25">
      <c r="A769" s="14">
        <v>45658</v>
      </c>
      <c r="B769" s="13" t="s">
        <v>1818</v>
      </c>
      <c r="C769" s="13" t="s">
        <v>1778</v>
      </c>
      <c r="D769" s="15">
        <v>6420.2</v>
      </c>
    </row>
    <row r="770" spans="1:4" x14ac:dyDescent="0.25">
      <c r="A770" s="11">
        <v>45658</v>
      </c>
      <c r="B770" s="10" t="s">
        <v>1818</v>
      </c>
      <c r="C770" s="10" t="s">
        <v>1783</v>
      </c>
      <c r="D770" s="12">
        <v>6270.55</v>
      </c>
    </row>
    <row r="771" spans="1:4" x14ac:dyDescent="0.25">
      <c r="A771" s="14">
        <v>45658</v>
      </c>
      <c r="B771" s="13" t="s">
        <v>1786</v>
      </c>
      <c r="C771" s="13" t="s">
        <v>1797</v>
      </c>
      <c r="D771" s="15">
        <v>3259.56</v>
      </c>
    </row>
    <row r="772" spans="1:4" x14ac:dyDescent="0.25">
      <c r="A772" s="11">
        <v>45658</v>
      </c>
      <c r="B772" s="10" t="s">
        <v>1786</v>
      </c>
      <c r="C772" s="10" t="s">
        <v>1789</v>
      </c>
      <c r="D772" s="12">
        <v>7711.22</v>
      </c>
    </row>
    <row r="773" spans="1:4" x14ac:dyDescent="0.25">
      <c r="A773" s="14">
        <v>45658</v>
      </c>
      <c r="B773" s="13" t="s">
        <v>1792</v>
      </c>
      <c r="C773" s="13" t="s">
        <v>1795</v>
      </c>
      <c r="D773" s="15">
        <v>6169.43</v>
      </c>
    </row>
    <row r="774" spans="1:4" x14ac:dyDescent="0.25">
      <c r="A774" s="11">
        <v>45658</v>
      </c>
      <c r="B774" s="10" t="s">
        <v>1799</v>
      </c>
      <c r="C774" s="10" t="s">
        <v>1778</v>
      </c>
      <c r="D774" s="12">
        <v>8753.3799999999992</v>
      </c>
    </row>
    <row r="775" spans="1:4" x14ac:dyDescent="0.25">
      <c r="A775" s="14">
        <v>45658</v>
      </c>
      <c r="B775" s="13" t="s">
        <v>1774</v>
      </c>
      <c r="C775" s="13" t="s">
        <v>1778</v>
      </c>
      <c r="D775" s="15">
        <v>25886.81</v>
      </c>
    </row>
    <row r="776" spans="1:4" x14ac:dyDescent="0.25">
      <c r="A776" s="11">
        <v>45658</v>
      </c>
      <c r="B776" s="10" t="s">
        <v>1818</v>
      </c>
      <c r="C776" s="10" t="s">
        <v>1797</v>
      </c>
      <c r="D776" s="12">
        <v>2266.16</v>
      </c>
    </row>
    <row r="777" spans="1:4" x14ac:dyDescent="0.25">
      <c r="A777" s="14">
        <v>45658</v>
      </c>
      <c r="B777" s="13" t="s">
        <v>1818</v>
      </c>
      <c r="C777" s="13" t="s">
        <v>1789</v>
      </c>
      <c r="D777" s="15">
        <v>3599.54</v>
      </c>
    </row>
    <row r="778" spans="1:4" x14ac:dyDescent="0.25">
      <c r="A778" s="11">
        <v>45658</v>
      </c>
      <c r="B778" s="10" t="s">
        <v>1818</v>
      </c>
      <c r="C778" s="10" t="s">
        <v>1792</v>
      </c>
      <c r="D778" s="12">
        <v>5500.67</v>
      </c>
    </row>
    <row r="779" spans="1:4" x14ac:dyDescent="0.25">
      <c r="A779" s="14">
        <v>45658</v>
      </c>
      <c r="B779" s="13" t="s">
        <v>1799</v>
      </c>
      <c r="C779" s="13" t="s">
        <v>1789</v>
      </c>
      <c r="D779" s="15">
        <v>4323.75</v>
      </c>
    </row>
    <row r="780" spans="1:4" x14ac:dyDescent="0.25">
      <c r="A780" s="11">
        <v>45658</v>
      </c>
      <c r="B780" s="10" t="s">
        <v>1792</v>
      </c>
      <c r="C780" s="10" t="s">
        <v>1783</v>
      </c>
      <c r="D780" s="12">
        <v>14171.26</v>
      </c>
    </row>
    <row r="781" spans="1:4" x14ac:dyDescent="0.25">
      <c r="A781" s="14">
        <v>45658</v>
      </c>
      <c r="B781" s="13" t="s">
        <v>1877</v>
      </c>
      <c r="C781" s="13" t="s">
        <v>1780</v>
      </c>
      <c r="D781" s="15">
        <v>7208.02</v>
      </c>
    </row>
    <row r="782" spans="1:4" x14ac:dyDescent="0.25">
      <c r="A782" s="11">
        <v>45658</v>
      </c>
      <c r="B782" s="10" t="s">
        <v>1862</v>
      </c>
      <c r="C782" s="10" t="s">
        <v>1792</v>
      </c>
      <c r="D782" s="12">
        <v>7784.65</v>
      </c>
    </row>
    <row r="783" spans="1:4" x14ac:dyDescent="0.25">
      <c r="A783" s="14">
        <v>45658</v>
      </c>
      <c r="B783" s="13" t="s">
        <v>1862</v>
      </c>
      <c r="C783" s="13" t="s">
        <v>1797</v>
      </c>
      <c r="D783" s="15">
        <v>2817.28</v>
      </c>
    </row>
    <row r="784" spans="1:4" x14ac:dyDescent="0.25">
      <c r="A784" s="11">
        <v>45658</v>
      </c>
      <c r="B784" s="10" t="s">
        <v>1799</v>
      </c>
      <c r="C784" s="10" t="s">
        <v>1783</v>
      </c>
      <c r="D784" s="12">
        <v>7789.29</v>
      </c>
    </row>
    <row r="785" spans="1:4" x14ac:dyDescent="0.25">
      <c r="A785" s="14">
        <v>45658</v>
      </c>
      <c r="B785" s="13" t="s">
        <v>1799</v>
      </c>
      <c r="C785" s="13" t="s">
        <v>1795</v>
      </c>
      <c r="D785" s="15">
        <v>2456.7199999999998</v>
      </c>
    </row>
    <row r="786" spans="1:4" x14ac:dyDescent="0.25">
      <c r="A786" s="11">
        <v>45658</v>
      </c>
      <c r="B786" s="10" t="s">
        <v>1774</v>
      </c>
      <c r="C786" s="10" t="s">
        <v>1786</v>
      </c>
      <c r="D786" s="12">
        <v>17040.46</v>
      </c>
    </row>
    <row r="787" spans="1:4" x14ac:dyDescent="0.25">
      <c r="A787" s="14">
        <v>45658</v>
      </c>
      <c r="B787" s="13" t="s">
        <v>1774</v>
      </c>
      <c r="C787" s="13" t="s">
        <v>1789</v>
      </c>
      <c r="D787" s="15">
        <v>10381.26</v>
      </c>
    </row>
    <row r="788" spans="1:4" x14ac:dyDescent="0.25">
      <c r="A788" s="11">
        <v>45658</v>
      </c>
      <c r="B788" s="10" t="s">
        <v>1877</v>
      </c>
      <c r="C788" s="10" t="s">
        <v>1783</v>
      </c>
      <c r="D788" s="12">
        <v>11985.72</v>
      </c>
    </row>
    <row r="789" spans="1:4" x14ac:dyDescent="0.25">
      <c r="A789" s="14">
        <v>45658</v>
      </c>
      <c r="B789" s="13" t="s">
        <v>1799</v>
      </c>
      <c r="C789" s="13" t="s">
        <v>1797</v>
      </c>
      <c r="D789" s="15">
        <v>2673.58</v>
      </c>
    </row>
    <row r="790" spans="1:4" x14ac:dyDescent="0.25">
      <c r="A790" s="11">
        <v>45658</v>
      </c>
      <c r="B790" s="10" t="s">
        <v>1862</v>
      </c>
      <c r="C790" s="10" t="s">
        <v>1786</v>
      </c>
      <c r="D790" s="12">
        <v>7116.89</v>
      </c>
    </row>
    <row r="791" spans="1:4" x14ac:dyDescent="0.25">
      <c r="A791" s="14">
        <v>45658</v>
      </c>
      <c r="B791" s="13" t="s">
        <v>1862</v>
      </c>
      <c r="C791" s="13" t="s">
        <v>1780</v>
      </c>
      <c r="D791" s="15">
        <v>4042.25</v>
      </c>
    </row>
    <row r="792" spans="1:4" x14ac:dyDescent="0.25">
      <c r="A792" s="11">
        <v>45658</v>
      </c>
      <c r="B792" s="10" t="s">
        <v>1786</v>
      </c>
      <c r="C792" s="10" t="s">
        <v>1780</v>
      </c>
      <c r="D792" s="12">
        <v>7287.46</v>
      </c>
    </row>
    <row r="793" spans="1:4" x14ac:dyDescent="0.25">
      <c r="A793" s="14">
        <v>45658</v>
      </c>
      <c r="B793" s="13" t="s">
        <v>1862</v>
      </c>
      <c r="C793" s="13" t="s">
        <v>1789</v>
      </c>
      <c r="D793" s="15">
        <v>3871.85</v>
      </c>
    </row>
    <row r="794" spans="1:4" x14ac:dyDescent="0.25">
      <c r="A794" s="11">
        <v>45658</v>
      </c>
      <c r="B794" s="10" t="s">
        <v>1818</v>
      </c>
      <c r="C794" s="10" t="s">
        <v>1775</v>
      </c>
      <c r="D794" s="12">
        <v>38658.269999999997</v>
      </c>
    </row>
    <row r="795" spans="1:4" x14ac:dyDescent="0.25">
      <c r="A795" s="14">
        <v>45658</v>
      </c>
      <c r="B795" s="13" t="s">
        <v>1799</v>
      </c>
      <c r="C795" s="13" t="s">
        <v>1780</v>
      </c>
      <c r="D795" s="15">
        <v>5170.71</v>
      </c>
    </row>
    <row r="796" spans="1:4" x14ac:dyDescent="0.25">
      <c r="A796" s="11">
        <v>45658</v>
      </c>
      <c r="B796" s="10" t="s">
        <v>1799</v>
      </c>
      <c r="C796" s="10" t="s">
        <v>1792</v>
      </c>
      <c r="D796" s="12">
        <v>6578.3</v>
      </c>
    </row>
    <row r="797" spans="1:4" x14ac:dyDescent="0.25">
      <c r="A797" s="14">
        <v>45658</v>
      </c>
      <c r="B797" s="13" t="s">
        <v>1786</v>
      </c>
      <c r="C797" s="13" t="s">
        <v>1786</v>
      </c>
      <c r="D797" s="15">
        <v>10995.02</v>
      </c>
    </row>
    <row r="798" spans="1:4" x14ac:dyDescent="0.25">
      <c r="A798" s="11">
        <v>45658</v>
      </c>
      <c r="B798" s="10" t="s">
        <v>1877</v>
      </c>
      <c r="C798" s="10" t="s">
        <v>1795</v>
      </c>
      <c r="D798" s="12">
        <v>4654.2700000000004</v>
      </c>
    </row>
    <row r="799" spans="1:4" x14ac:dyDescent="0.25">
      <c r="A799" s="14">
        <v>45658</v>
      </c>
      <c r="B799" s="13" t="s">
        <v>1799</v>
      </c>
      <c r="C799" s="13" t="s">
        <v>1786</v>
      </c>
      <c r="D799" s="15">
        <v>8102.31</v>
      </c>
    </row>
    <row r="800" spans="1:4" x14ac:dyDescent="0.25">
      <c r="A800" s="11">
        <v>45658</v>
      </c>
      <c r="B800" s="10" t="s">
        <v>1774</v>
      </c>
      <c r="C800" s="10" t="s">
        <v>1795</v>
      </c>
      <c r="D800" s="12">
        <v>6321.21</v>
      </c>
    </row>
    <row r="801" spans="1:4" x14ac:dyDescent="0.25">
      <c r="A801" s="14">
        <v>45658</v>
      </c>
      <c r="B801" s="13" t="s">
        <v>1818</v>
      </c>
      <c r="C801" s="13" t="s">
        <v>1780</v>
      </c>
      <c r="D801" s="15">
        <v>4306.5200000000004</v>
      </c>
    </row>
    <row r="802" spans="1:4" x14ac:dyDescent="0.25">
      <c r="A802" s="11">
        <v>45658</v>
      </c>
      <c r="B802" s="10" t="s">
        <v>1774</v>
      </c>
      <c r="C802" s="10" t="s">
        <v>1792</v>
      </c>
      <c r="D802" s="12">
        <v>17312.34</v>
      </c>
    </row>
    <row r="803" spans="1:4" x14ac:dyDescent="0.25">
      <c r="A803" s="14">
        <v>45658</v>
      </c>
      <c r="B803" s="13" t="s">
        <v>1786</v>
      </c>
      <c r="C803" s="13" t="s">
        <v>1778</v>
      </c>
      <c r="D803" s="15">
        <v>14341.9</v>
      </c>
    </row>
    <row r="804" spans="1:4" x14ac:dyDescent="0.25">
      <c r="A804" s="11">
        <v>45658</v>
      </c>
      <c r="B804" s="10" t="s">
        <v>1792</v>
      </c>
      <c r="C804" s="10" t="s">
        <v>1775</v>
      </c>
      <c r="D804" s="12">
        <v>83828.08</v>
      </c>
    </row>
    <row r="805" spans="1:4" x14ac:dyDescent="0.25">
      <c r="A805" s="14">
        <v>45658</v>
      </c>
      <c r="B805" s="13" t="s">
        <v>1792</v>
      </c>
      <c r="C805" s="13" t="s">
        <v>1780</v>
      </c>
      <c r="D805" s="15">
        <v>7870.37</v>
      </c>
    </row>
    <row r="806" spans="1:4" x14ac:dyDescent="0.25">
      <c r="A806" s="11">
        <v>45658</v>
      </c>
      <c r="B806" s="10" t="s">
        <v>1786</v>
      </c>
      <c r="C806" s="10" t="s">
        <v>1792</v>
      </c>
      <c r="D806" s="12">
        <v>13169.69</v>
      </c>
    </row>
    <row r="807" spans="1:4" x14ac:dyDescent="0.25">
      <c r="A807" s="14">
        <v>45658</v>
      </c>
      <c r="B807" s="13" t="s">
        <v>1877</v>
      </c>
      <c r="C807" s="13" t="s">
        <v>1797</v>
      </c>
      <c r="D807" s="15">
        <v>3824.09</v>
      </c>
    </row>
    <row r="808" spans="1:4" x14ac:dyDescent="0.25">
      <c r="A808" s="11">
        <v>45658</v>
      </c>
      <c r="B808" s="10" t="s">
        <v>1877</v>
      </c>
      <c r="C808" s="10" t="s">
        <v>1775</v>
      </c>
      <c r="D808" s="12">
        <v>62759.39</v>
      </c>
    </row>
    <row r="809" spans="1:4" x14ac:dyDescent="0.25">
      <c r="A809" s="14">
        <v>45658</v>
      </c>
      <c r="B809" s="13" t="s">
        <v>1792</v>
      </c>
      <c r="C809" s="13" t="s">
        <v>1797</v>
      </c>
      <c r="D809" s="15">
        <v>5026.7299999999996</v>
      </c>
    </row>
    <row r="810" spans="1:4" x14ac:dyDescent="0.25">
      <c r="A810" s="11">
        <v>45658</v>
      </c>
      <c r="B810" s="10" t="s">
        <v>1877</v>
      </c>
      <c r="C810" s="10" t="s">
        <v>1786</v>
      </c>
      <c r="D810" s="12">
        <v>9149.7000000000007</v>
      </c>
    </row>
    <row r="811" spans="1:4" x14ac:dyDescent="0.25">
      <c r="A811" s="14">
        <v>45658</v>
      </c>
      <c r="B811" s="13" t="s">
        <v>1792</v>
      </c>
      <c r="C811" s="13" t="s">
        <v>1789</v>
      </c>
      <c r="D811" s="15">
        <v>10469.049999999999</v>
      </c>
    </row>
    <row r="812" spans="1:4" x14ac:dyDescent="0.25">
      <c r="A812" s="11">
        <v>45658</v>
      </c>
      <c r="B812" s="10" t="s">
        <v>1799</v>
      </c>
      <c r="C812" s="10" t="s">
        <v>1775</v>
      </c>
      <c r="D812" s="12">
        <v>53999.05</v>
      </c>
    </row>
    <row r="813" spans="1:4" x14ac:dyDescent="0.25">
      <c r="A813" s="14">
        <v>45658</v>
      </c>
      <c r="B813" s="13" t="s">
        <v>1774</v>
      </c>
      <c r="C813" s="13" t="s">
        <v>1775</v>
      </c>
      <c r="D813" s="15">
        <v>104405.63</v>
      </c>
    </row>
    <row r="814" spans="1:4" x14ac:dyDescent="0.25">
      <c r="A814" s="11">
        <v>45658</v>
      </c>
      <c r="B814" s="10" t="s">
        <v>1862</v>
      </c>
      <c r="C814" s="10" t="s">
        <v>1775</v>
      </c>
      <c r="D814" s="12">
        <v>38883.4</v>
      </c>
    </row>
    <row r="815" spans="1:4" x14ac:dyDescent="0.25">
      <c r="A815" s="14">
        <v>45658</v>
      </c>
      <c r="B815" s="13" t="s">
        <v>1818</v>
      </c>
      <c r="C815" s="13" t="s">
        <v>1795</v>
      </c>
      <c r="D815" s="15">
        <v>2198.2600000000002</v>
      </c>
    </row>
    <row r="816" spans="1:4" x14ac:dyDescent="0.25">
      <c r="A816" s="11">
        <v>45658</v>
      </c>
      <c r="B816" s="10" t="s">
        <v>1786</v>
      </c>
      <c r="C816" s="10" t="s">
        <v>1795</v>
      </c>
      <c r="D816" s="12">
        <v>4336.62</v>
      </c>
    </row>
    <row r="817" spans="1:4" x14ac:dyDescent="0.25">
      <c r="A817" s="14">
        <v>45658</v>
      </c>
      <c r="B817" s="13" t="s">
        <v>1818</v>
      </c>
      <c r="C817" s="13" t="s">
        <v>1786</v>
      </c>
      <c r="D817" s="15">
        <v>4769.92</v>
      </c>
    </row>
    <row r="818" spans="1:4" x14ac:dyDescent="0.25">
      <c r="A818" s="11">
        <v>45658</v>
      </c>
      <c r="B818" s="10" t="s">
        <v>1774</v>
      </c>
      <c r="C818" s="10" t="s">
        <v>1797</v>
      </c>
      <c r="D818" s="12">
        <v>5672.01</v>
      </c>
    </row>
    <row r="819" spans="1:4" x14ac:dyDescent="0.25">
      <c r="A819" s="14">
        <v>45658</v>
      </c>
      <c r="B819" s="13" t="s">
        <v>1786</v>
      </c>
      <c r="C819" s="13" t="s">
        <v>1783</v>
      </c>
      <c r="D819" s="15">
        <v>12767.4</v>
      </c>
    </row>
    <row r="820" spans="1:4" x14ac:dyDescent="0.25">
      <c r="A820" s="11">
        <v>45658</v>
      </c>
      <c r="B820" s="10" t="s">
        <v>1792</v>
      </c>
      <c r="C820" s="10" t="s">
        <v>1778</v>
      </c>
      <c r="D820" s="12">
        <v>18611.89</v>
      </c>
    </row>
    <row r="821" spans="1:4" x14ac:dyDescent="0.25">
      <c r="A821" s="14">
        <v>45689</v>
      </c>
      <c r="B821" s="13" t="s">
        <v>1862</v>
      </c>
      <c r="C821" s="13" t="s">
        <v>1792</v>
      </c>
      <c r="D821" s="15">
        <v>8528.6299999999992</v>
      </c>
    </row>
    <row r="822" spans="1:4" x14ac:dyDescent="0.25">
      <c r="A822" s="11">
        <v>45689</v>
      </c>
      <c r="B822" s="10" t="s">
        <v>1862</v>
      </c>
      <c r="C822" s="10" t="s">
        <v>1778</v>
      </c>
      <c r="D822" s="12">
        <v>6679.96</v>
      </c>
    </row>
    <row r="823" spans="1:4" x14ac:dyDescent="0.25">
      <c r="A823" s="14">
        <v>45689</v>
      </c>
      <c r="B823" s="13" t="s">
        <v>1774</v>
      </c>
      <c r="C823" s="13" t="s">
        <v>1778</v>
      </c>
      <c r="D823" s="15">
        <v>25438.31</v>
      </c>
    </row>
    <row r="824" spans="1:4" x14ac:dyDescent="0.25">
      <c r="A824" s="11">
        <v>45689</v>
      </c>
      <c r="B824" s="10" t="s">
        <v>1786</v>
      </c>
      <c r="C824" s="10" t="s">
        <v>1797</v>
      </c>
      <c r="D824" s="12">
        <v>4675.96</v>
      </c>
    </row>
    <row r="825" spans="1:4" x14ac:dyDescent="0.25">
      <c r="A825" s="14">
        <v>45689</v>
      </c>
      <c r="B825" s="13" t="s">
        <v>1786</v>
      </c>
      <c r="C825" s="13" t="s">
        <v>1789</v>
      </c>
      <c r="D825" s="15">
        <v>6911.14</v>
      </c>
    </row>
    <row r="826" spans="1:4" x14ac:dyDescent="0.25">
      <c r="A826" s="11">
        <v>45689</v>
      </c>
      <c r="B826" s="10" t="s">
        <v>1818</v>
      </c>
      <c r="C826" s="10" t="s">
        <v>1780</v>
      </c>
      <c r="D826" s="12">
        <v>4118.6099999999997</v>
      </c>
    </row>
    <row r="827" spans="1:4" x14ac:dyDescent="0.25">
      <c r="A827" s="14">
        <v>45689</v>
      </c>
      <c r="B827" s="13" t="s">
        <v>1799</v>
      </c>
      <c r="C827" s="13" t="s">
        <v>1783</v>
      </c>
      <c r="D827" s="15">
        <v>7065.36</v>
      </c>
    </row>
    <row r="828" spans="1:4" x14ac:dyDescent="0.25">
      <c r="A828" s="11">
        <v>45689</v>
      </c>
      <c r="B828" s="10" t="s">
        <v>1774</v>
      </c>
      <c r="C828" s="10" t="s">
        <v>1780</v>
      </c>
      <c r="D828" s="12">
        <v>10526.93</v>
      </c>
    </row>
    <row r="829" spans="1:4" x14ac:dyDescent="0.25">
      <c r="A829" s="14">
        <v>45689</v>
      </c>
      <c r="B829" s="13" t="s">
        <v>1818</v>
      </c>
      <c r="C829" s="13" t="s">
        <v>1797</v>
      </c>
      <c r="D829" s="15">
        <v>2153.77</v>
      </c>
    </row>
    <row r="830" spans="1:4" x14ac:dyDescent="0.25">
      <c r="A830" s="11">
        <v>45689</v>
      </c>
      <c r="B830" s="10" t="s">
        <v>1818</v>
      </c>
      <c r="C830" s="10" t="s">
        <v>1783</v>
      </c>
      <c r="D830" s="12">
        <v>4922.6099999999997</v>
      </c>
    </row>
    <row r="831" spans="1:4" x14ac:dyDescent="0.25">
      <c r="A831" s="14">
        <v>45689</v>
      </c>
      <c r="B831" s="13" t="s">
        <v>1799</v>
      </c>
      <c r="C831" s="13" t="s">
        <v>1786</v>
      </c>
      <c r="D831" s="15">
        <v>7459.6</v>
      </c>
    </row>
    <row r="832" spans="1:4" x14ac:dyDescent="0.25">
      <c r="A832" s="11">
        <v>45689</v>
      </c>
      <c r="B832" s="10" t="s">
        <v>1786</v>
      </c>
      <c r="C832" s="10" t="s">
        <v>1783</v>
      </c>
      <c r="D832" s="12">
        <v>14980.65</v>
      </c>
    </row>
    <row r="833" spans="1:4" x14ac:dyDescent="0.25">
      <c r="A833" s="14">
        <v>45689</v>
      </c>
      <c r="B833" s="13" t="s">
        <v>1792</v>
      </c>
      <c r="C833" s="13" t="s">
        <v>1778</v>
      </c>
      <c r="D833" s="15">
        <v>18209.05</v>
      </c>
    </row>
    <row r="834" spans="1:4" x14ac:dyDescent="0.25">
      <c r="A834" s="11">
        <v>45689</v>
      </c>
      <c r="B834" s="10" t="s">
        <v>1818</v>
      </c>
      <c r="C834" s="10" t="s">
        <v>1786</v>
      </c>
      <c r="D834" s="12">
        <v>6679.83</v>
      </c>
    </row>
    <row r="835" spans="1:4" x14ac:dyDescent="0.25">
      <c r="A835" s="14">
        <v>45689</v>
      </c>
      <c r="B835" s="13" t="s">
        <v>1877</v>
      </c>
      <c r="C835" s="13" t="s">
        <v>1797</v>
      </c>
      <c r="D835" s="15">
        <v>3741.22</v>
      </c>
    </row>
    <row r="836" spans="1:4" x14ac:dyDescent="0.25">
      <c r="A836" s="11">
        <v>45689</v>
      </c>
      <c r="B836" s="10" t="s">
        <v>1786</v>
      </c>
      <c r="C836" s="10" t="s">
        <v>1778</v>
      </c>
      <c r="D836" s="12">
        <v>12736.84</v>
      </c>
    </row>
    <row r="837" spans="1:4" x14ac:dyDescent="0.25">
      <c r="A837" s="14">
        <v>45689</v>
      </c>
      <c r="B837" s="13" t="s">
        <v>1792</v>
      </c>
      <c r="C837" s="13" t="s">
        <v>1792</v>
      </c>
      <c r="D837" s="15">
        <v>13228.76</v>
      </c>
    </row>
    <row r="838" spans="1:4" x14ac:dyDescent="0.25">
      <c r="A838" s="11">
        <v>45689</v>
      </c>
      <c r="B838" s="10" t="s">
        <v>1792</v>
      </c>
      <c r="C838" s="10" t="s">
        <v>1797</v>
      </c>
      <c r="D838" s="12">
        <v>5987.95</v>
      </c>
    </row>
    <row r="839" spans="1:4" x14ac:dyDescent="0.25">
      <c r="A839" s="14">
        <v>45689</v>
      </c>
      <c r="B839" s="13" t="s">
        <v>1877</v>
      </c>
      <c r="C839" s="13" t="s">
        <v>1792</v>
      </c>
      <c r="D839" s="15">
        <v>12943.42</v>
      </c>
    </row>
    <row r="840" spans="1:4" x14ac:dyDescent="0.25">
      <c r="A840" s="11">
        <v>45689</v>
      </c>
      <c r="B840" s="10" t="s">
        <v>1792</v>
      </c>
      <c r="C840" s="10" t="s">
        <v>1783</v>
      </c>
      <c r="D840" s="12">
        <v>15105.83</v>
      </c>
    </row>
    <row r="841" spans="1:4" x14ac:dyDescent="0.25">
      <c r="A841" s="14">
        <v>45689</v>
      </c>
      <c r="B841" s="13" t="s">
        <v>1786</v>
      </c>
      <c r="C841" s="13" t="s">
        <v>1775</v>
      </c>
      <c r="D841" s="15">
        <v>79237.490000000005</v>
      </c>
    </row>
    <row r="842" spans="1:4" x14ac:dyDescent="0.25">
      <c r="A842" s="11">
        <v>45689</v>
      </c>
      <c r="B842" s="10" t="s">
        <v>1877</v>
      </c>
      <c r="C842" s="10" t="s">
        <v>1778</v>
      </c>
      <c r="D842" s="12">
        <v>12665.18</v>
      </c>
    </row>
    <row r="843" spans="1:4" x14ac:dyDescent="0.25">
      <c r="A843" s="14">
        <v>45689</v>
      </c>
      <c r="B843" s="13" t="s">
        <v>1877</v>
      </c>
      <c r="C843" s="13" t="s">
        <v>1780</v>
      </c>
      <c r="D843" s="15">
        <v>6687.86</v>
      </c>
    </row>
    <row r="844" spans="1:4" x14ac:dyDescent="0.25">
      <c r="A844" s="11">
        <v>45689</v>
      </c>
      <c r="B844" s="10" t="s">
        <v>1792</v>
      </c>
      <c r="C844" s="10" t="s">
        <v>1786</v>
      </c>
      <c r="D844" s="12">
        <v>16187.38</v>
      </c>
    </row>
    <row r="845" spans="1:4" x14ac:dyDescent="0.25">
      <c r="A845" s="14">
        <v>45689</v>
      </c>
      <c r="B845" s="13" t="s">
        <v>1799</v>
      </c>
      <c r="C845" s="13" t="s">
        <v>1792</v>
      </c>
      <c r="D845" s="15">
        <v>7580.54</v>
      </c>
    </row>
    <row r="846" spans="1:4" x14ac:dyDescent="0.25">
      <c r="A846" s="11">
        <v>45689</v>
      </c>
      <c r="B846" s="10" t="s">
        <v>1774</v>
      </c>
      <c r="C846" s="10" t="s">
        <v>1795</v>
      </c>
      <c r="D846" s="12">
        <v>6113.12</v>
      </c>
    </row>
    <row r="847" spans="1:4" x14ac:dyDescent="0.25">
      <c r="A847" s="14">
        <v>45689</v>
      </c>
      <c r="B847" s="13" t="s">
        <v>1877</v>
      </c>
      <c r="C847" s="13" t="s">
        <v>1795</v>
      </c>
      <c r="D847" s="15">
        <v>3625.43</v>
      </c>
    </row>
    <row r="848" spans="1:4" x14ac:dyDescent="0.25">
      <c r="A848" s="11">
        <v>45689</v>
      </c>
      <c r="B848" s="10" t="s">
        <v>1862</v>
      </c>
      <c r="C848" s="10" t="s">
        <v>1797</v>
      </c>
      <c r="D848" s="12">
        <v>2978.38</v>
      </c>
    </row>
    <row r="849" spans="1:4" x14ac:dyDescent="0.25">
      <c r="A849" s="14">
        <v>45689</v>
      </c>
      <c r="B849" s="13" t="s">
        <v>1862</v>
      </c>
      <c r="C849" s="13" t="s">
        <v>1780</v>
      </c>
      <c r="D849" s="15">
        <v>5315.86</v>
      </c>
    </row>
    <row r="850" spans="1:4" x14ac:dyDescent="0.25">
      <c r="A850" s="11">
        <v>45689</v>
      </c>
      <c r="B850" s="10" t="s">
        <v>1818</v>
      </c>
      <c r="C850" s="10" t="s">
        <v>1795</v>
      </c>
      <c r="D850" s="12">
        <v>2413.73</v>
      </c>
    </row>
    <row r="851" spans="1:4" x14ac:dyDescent="0.25">
      <c r="A851" s="14">
        <v>45689</v>
      </c>
      <c r="B851" s="13" t="s">
        <v>1774</v>
      </c>
      <c r="C851" s="13" t="s">
        <v>1783</v>
      </c>
      <c r="D851" s="15">
        <v>19700.25</v>
      </c>
    </row>
    <row r="852" spans="1:4" x14ac:dyDescent="0.25">
      <c r="A852" s="11">
        <v>45689</v>
      </c>
      <c r="B852" s="10" t="s">
        <v>1792</v>
      </c>
      <c r="C852" s="10" t="s">
        <v>1789</v>
      </c>
      <c r="D852" s="12">
        <v>10103.950000000001</v>
      </c>
    </row>
    <row r="853" spans="1:4" x14ac:dyDescent="0.25">
      <c r="A853" s="14">
        <v>45689</v>
      </c>
      <c r="B853" s="13" t="s">
        <v>1877</v>
      </c>
      <c r="C853" s="13" t="s">
        <v>1783</v>
      </c>
      <c r="D853" s="15">
        <v>10576.16</v>
      </c>
    </row>
    <row r="854" spans="1:4" x14ac:dyDescent="0.25">
      <c r="A854" s="11">
        <v>45689</v>
      </c>
      <c r="B854" s="10" t="s">
        <v>1786</v>
      </c>
      <c r="C854" s="10" t="s">
        <v>1780</v>
      </c>
      <c r="D854" s="12">
        <v>7470.68</v>
      </c>
    </row>
    <row r="855" spans="1:4" x14ac:dyDescent="0.25">
      <c r="A855" s="14">
        <v>45689</v>
      </c>
      <c r="B855" s="13" t="s">
        <v>1877</v>
      </c>
      <c r="C855" s="13" t="s">
        <v>1789</v>
      </c>
      <c r="D855" s="15">
        <v>7810.76</v>
      </c>
    </row>
    <row r="856" spans="1:4" x14ac:dyDescent="0.25">
      <c r="A856" s="11">
        <v>45689</v>
      </c>
      <c r="B856" s="10" t="s">
        <v>1818</v>
      </c>
      <c r="C856" s="10" t="s">
        <v>1789</v>
      </c>
      <c r="D856" s="12">
        <v>3453.47</v>
      </c>
    </row>
    <row r="857" spans="1:4" x14ac:dyDescent="0.25">
      <c r="A857" s="14">
        <v>45689</v>
      </c>
      <c r="B857" s="13" t="s">
        <v>1774</v>
      </c>
      <c r="C857" s="13" t="s">
        <v>1786</v>
      </c>
      <c r="D857" s="15">
        <v>19686.68</v>
      </c>
    </row>
    <row r="858" spans="1:4" x14ac:dyDescent="0.25">
      <c r="A858" s="11">
        <v>45689</v>
      </c>
      <c r="B858" s="10" t="s">
        <v>1774</v>
      </c>
      <c r="C858" s="10" t="s">
        <v>1775</v>
      </c>
      <c r="D858" s="12">
        <v>126316.47</v>
      </c>
    </row>
    <row r="859" spans="1:4" x14ac:dyDescent="0.25">
      <c r="A859" s="14">
        <v>45689</v>
      </c>
      <c r="B859" s="13" t="s">
        <v>1862</v>
      </c>
      <c r="C859" s="13" t="s">
        <v>1786</v>
      </c>
      <c r="D859" s="15">
        <v>7707.42</v>
      </c>
    </row>
    <row r="860" spans="1:4" x14ac:dyDescent="0.25">
      <c r="A860" s="11">
        <v>45689</v>
      </c>
      <c r="B860" s="10" t="s">
        <v>1799</v>
      </c>
      <c r="C860" s="10" t="s">
        <v>1775</v>
      </c>
      <c r="D860" s="12">
        <v>42441.24</v>
      </c>
    </row>
    <row r="861" spans="1:4" x14ac:dyDescent="0.25">
      <c r="A861" s="14">
        <v>45689</v>
      </c>
      <c r="B861" s="13" t="s">
        <v>1799</v>
      </c>
      <c r="C861" s="13" t="s">
        <v>1789</v>
      </c>
      <c r="D861" s="15">
        <v>3695.47</v>
      </c>
    </row>
    <row r="862" spans="1:4" x14ac:dyDescent="0.25">
      <c r="A862" s="11">
        <v>45689</v>
      </c>
      <c r="B862" s="10" t="s">
        <v>1862</v>
      </c>
      <c r="C862" s="10" t="s">
        <v>1795</v>
      </c>
      <c r="D862" s="12">
        <v>2213.87</v>
      </c>
    </row>
    <row r="863" spans="1:4" x14ac:dyDescent="0.25">
      <c r="A863" s="14">
        <v>45689</v>
      </c>
      <c r="B863" s="13" t="s">
        <v>1792</v>
      </c>
      <c r="C863" s="13" t="s">
        <v>1780</v>
      </c>
      <c r="D863" s="15">
        <v>8308.0300000000007</v>
      </c>
    </row>
    <row r="864" spans="1:4" x14ac:dyDescent="0.25">
      <c r="A864" s="11">
        <v>45689</v>
      </c>
      <c r="B864" s="10" t="s">
        <v>1862</v>
      </c>
      <c r="C864" s="10" t="s">
        <v>1783</v>
      </c>
      <c r="D864" s="12">
        <v>8489.91</v>
      </c>
    </row>
    <row r="865" spans="1:4" x14ac:dyDescent="0.25">
      <c r="A865" s="14">
        <v>45689</v>
      </c>
      <c r="B865" s="13" t="s">
        <v>1799</v>
      </c>
      <c r="C865" s="13" t="s">
        <v>1795</v>
      </c>
      <c r="D865" s="15">
        <v>2859.1</v>
      </c>
    </row>
    <row r="866" spans="1:4" x14ac:dyDescent="0.25">
      <c r="A866" s="11">
        <v>45689</v>
      </c>
      <c r="B866" s="10" t="s">
        <v>1774</v>
      </c>
      <c r="C866" s="10" t="s">
        <v>1797</v>
      </c>
      <c r="D866" s="12">
        <v>7965.69</v>
      </c>
    </row>
    <row r="867" spans="1:4" x14ac:dyDescent="0.25">
      <c r="A867" s="14">
        <v>45689</v>
      </c>
      <c r="B867" s="13" t="s">
        <v>1862</v>
      </c>
      <c r="C867" s="13" t="s">
        <v>1775</v>
      </c>
      <c r="D867" s="15">
        <v>42868.81</v>
      </c>
    </row>
    <row r="868" spans="1:4" x14ac:dyDescent="0.25">
      <c r="A868" s="11">
        <v>45689</v>
      </c>
      <c r="B868" s="10" t="s">
        <v>1818</v>
      </c>
      <c r="C868" s="10" t="s">
        <v>1775</v>
      </c>
      <c r="D868" s="12">
        <v>35063.58</v>
      </c>
    </row>
    <row r="869" spans="1:4" x14ac:dyDescent="0.25">
      <c r="A869" s="14">
        <v>45689</v>
      </c>
      <c r="B869" s="13" t="s">
        <v>1786</v>
      </c>
      <c r="C869" s="13" t="s">
        <v>1786</v>
      </c>
      <c r="D869" s="15">
        <v>12145.07</v>
      </c>
    </row>
    <row r="870" spans="1:4" x14ac:dyDescent="0.25">
      <c r="A870" s="11">
        <v>45689</v>
      </c>
      <c r="B870" s="10" t="s">
        <v>1786</v>
      </c>
      <c r="C870" s="10" t="s">
        <v>1795</v>
      </c>
      <c r="D870" s="12">
        <v>5278.73</v>
      </c>
    </row>
    <row r="871" spans="1:4" x14ac:dyDescent="0.25">
      <c r="A871" s="14">
        <v>45689</v>
      </c>
      <c r="B871" s="13" t="s">
        <v>1792</v>
      </c>
      <c r="C871" s="13" t="s">
        <v>1775</v>
      </c>
      <c r="D871" s="15">
        <v>112314.95</v>
      </c>
    </row>
    <row r="872" spans="1:4" x14ac:dyDescent="0.25">
      <c r="A872" s="11">
        <v>45689</v>
      </c>
      <c r="B872" s="10" t="s">
        <v>1818</v>
      </c>
      <c r="C872" s="10" t="s">
        <v>1778</v>
      </c>
      <c r="D872" s="12">
        <v>7868.69</v>
      </c>
    </row>
    <row r="873" spans="1:4" x14ac:dyDescent="0.25">
      <c r="A873" s="14">
        <v>45689</v>
      </c>
      <c r="B873" s="13" t="s">
        <v>1799</v>
      </c>
      <c r="C873" s="13" t="s">
        <v>1780</v>
      </c>
      <c r="D873" s="15">
        <v>5392.62</v>
      </c>
    </row>
    <row r="874" spans="1:4" x14ac:dyDescent="0.25">
      <c r="A874" s="11">
        <v>45689</v>
      </c>
      <c r="B874" s="10" t="s">
        <v>1786</v>
      </c>
      <c r="C874" s="10" t="s">
        <v>1792</v>
      </c>
      <c r="D874" s="12">
        <v>11314.77</v>
      </c>
    </row>
    <row r="875" spans="1:4" x14ac:dyDescent="0.25">
      <c r="A875" s="14">
        <v>45689</v>
      </c>
      <c r="B875" s="13" t="s">
        <v>1862</v>
      </c>
      <c r="C875" s="13" t="s">
        <v>1789</v>
      </c>
      <c r="D875" s="15">
        <v>4447.8599999999997</v>
      </c>
    </row>
    <row r="876" spans="1:4" x14ac:dyDescent="0.25">
      <c r="A876" s="11">
        <v>45689</v>
      </c>
      <c r="B876" s="10" t="s">
        <v>1818</v>
      </c>
      <c r="C876" s="10" t="s">
        <v>1792</v>
      </c>
      <c r="D876" s="12">
        <v>6278.12</v>
      </c>
    </row>
    <row r="877" spans="1:4" x14ac:dyDescent="0.25">
      <c r="A877" s="14">
        <v>45689</v>
      </c>
      <c r="B877" s="13" t="s">
        <v>1774</v>
      </c>
      <c r="C877" s="13" t="s">
        <v>1792</v>
      </c>
      <c r="D877" s="15">
        <v>19944.52</v>
      </c>
    </row>
    <row r="878" spans="1:4" x14ac:dyDescent="0.25">
      <c r="A878" s="11">
        <v>45689</v>
      </c>
      <c r="B878" s="10" t="s">
        <v>1799</v>
      </c>
      <c r="C878" s="10" t="s">
        <v>1778</v>
      </c>
      <c r="D878" s="12">
        <v>9469.2099999999991</v>
      </c>
    </row>
    <row r="879" spans="1:4" x14ac:dyDescent="0.25">
      <c r="A879" s="14">
        <v>45689</v>
      </c>
      <c r="B879" s="13" t="s">
        <v>1877</v>
      </c>
      <c r="C879" s="13" t="s">
        <v>1786</v>
      </c>
      <c r="D879" s="15">
        <v>10832.73</v>
      </c>
    </row>
    <row r="880" spans="1:4" x14ac:dyDescent="0.25">
      <c r="A880" s="11">
        <v>45689</v>
      </c>
      <c r="B880" s="10" t="s">
        <v>1792</v>
      </c>
      <c r="C880" s="10" t="s">
        <v>1795</v>
      </c>
      <c r="D880" s="12">
        <v>6619.36</v>
      </c>
    </row>
    <row r="881" spans="1:4" x14ac:dyDescent="0.25">
      <c r="A881" s="14">
        <v>45689</v>
      </c>
      <c r="B881" s="13" t="s">
        <v>1877</v>
      </c>
      <c r="C881" s="13" t="s">
        <v>1775</v>
      </c>
      <c r="D881" s="15">
        <v>74081.570000000007</v>
      </c>
    </row>
    <row r="882" spans="1:4" x14ac:dyDescent="0.25">
      <c r="A882" s="11">
        <v>45689</v>
      </c>
      <c r="B882" s="10" t="s">
        <v>1799</v>
      </c>
      <c r="C882" s="10" t="s">
        <v>1797</v>
      </c>
      <c r="D882" s="12">
        <v>2787.58</v>
      </c>
    </row>
    <row r="883" spans="1:4" x14ac:dyDescent="0.25">
      <c r="A883" s="14">
        <v>45689</v>
      </c>
      <c r="B883" s="13" t="s">
        <v>1774</v>
      </c>
      <c r="C883" s="13" t="s">
        <v>1789</v>
      </c>
      <c r="D883" s="15">
        <v>12820.46</v>
      </c>
    </row>
    <row r="884" spans="1:4" x14ac:dyDescent="0.25">
      <c r="A884" s="11">
        <v>45717</v>
      </c>
      <c r="B884" s="10" t="s">
        <v>1818</v>
      </c>
      <c r="C884" s="10" t="s">
        <v>1778</v>
      </c>
      <c r="D884" s="12">
        <v>8233.48</v>
      </c>
    </row>
    <row r="885" spans="1:4" x14ac:dyDescent="0.25">
      <c r="A885" s="14">
        <v>45717</v>
      </c>
      <c r="B885" s="13" t="s">
        <v>1774</v>
      </c>
      <c r="C885" s="13" t="s">
        <v>1792</v>
      </c>
      <c r="D885" s="15">
        <v>15298.36</v>
      </c>
    </row>
    <row r="886" spans="1:4" x14ac:dyDescent="0.25">
      <c r="A886" s="11">
        <v>45717</v>
      </c>
      <c r="B886" s="10" t="s">
        <v>1877</v>
      </c>
      <c r="C886" s="10" t="s">
        <v>1778</v>
      </c>
      <c r="D886" s="12">
        <v>15161.73</v>
      </c>
    </row>
    <row r="887" spans="1:4" x14ac:dyDescent="0.25">
      <c r="A887" s="14">
        <v>45717</v>
      </c>
      <c r="B887" s="13" t="s">
        <v>1818</v>
      </c>
      <c r="C887" s="13" t="s">
        <v>1775</v>
      </c>
      <c r="D887" s="15">
        <v>39979.599999999999</v>
      </c>
    </row>
    <row r="888" spans="1:4" x14ac:dyDescent="0.25">
      <c r="A888" s="11">
        <v>45717</v>
      </c>
      <c r="B888" s="10" t="s">
        <v>1774</v>
      </c>
      <c r="C888" s="10" t="s">
        <v>1789</v>
      </c>
      <c r="D888" s="12">
        <v>10344.67</v>
      </c>
    </row>
    <row r="889" spans="1:4" x14ac:dyDescent="0.25">
      <c r="A889" s="14">
        <v>45717</v>
      </c>
      <c r="B889" s="13" t="s">
        <v>1792</v>
      </c>
      <c r="C889" s="13" t="s">
        <v>1792</v>
      </c>
      <c r="D889" s="15">
        <v>15206.79</v>
      </c>
    </row>
    <row r="890" spans="1:4" x14ac:dyDescent="0.25">
      <c r="A890" s="11">
        <v>45717</v>
      </c>
      <c r="B890" s="10" t="s">
        <v>1862</v>
      </c>
      <c r="C890" s="10" t="s">
        <v>1797</v>
      </c>
      <c r="D890" s="12">
        <v>3232.1</v>
      </c>
    </row>
    <row r="891" spans="1:4" x14ac:dyDescent="0.25">
      <c r="A891" s="14">
        <v>45717</v>
      </c>
      <c r="B891" s="13" t="s">
        <v>1799</v>
      </c>
      <c r="C891" s="13" t="s">
        <v>1789</v>
      </c>
      <c r="D891" s="15">
        <v>4770.04</v>
      </c>
    </row>
    <row r="892" spans="1:4" x14ac:dyDescent="0.25">
      <c r="A892" s="11">
        <v>45717</v>
      </c>
      <c r="B892" s="10" t="s">
        <v>1774</v>
      </c>
      <c r="C892" s="10" t="s">
        <v>1786</v>
      </c>
      <c r="D892" s="12">
        <v>18897.84</v>
      </c>
    </row>
    <row r="893" spans="1:4" x14ac:dyDescent="0.25">
      <c r="A893" s="14">
        <v>45717</v>
      </c>
      <c r="B893" s="13" t="s">
        <v>1877</v>
      </c>
      <c r="C893" s="13" t="s">
        <v>1783</v>
      </c>
      <c r="D893" s="15">
        <v>10488.23</v>
      </c>
    </row>
    <row r="894" spans="1:4" x14ac:dyDescent="0.25">
      <c r="A894" s="11">
        <v>45717</v>
      </c>
      <c r="B894" s="10" t="s">
        <v>1818</v>
      </c>
      <c r="C894" s="10" t="s">
        <v>1792</v>
      </c>
      <c r="D894" s="12">
        <v>5013.54</v>
      </c>
    </row>
    <row r="895" spans="1:4" x14ac:dyDescent="0.25">
      <c r="A895" s="14">
        <v>45717</v>
      </c>
      <c r="B895" s="13" t="s">
        <v>1786</v>
      </c>
      <c r="C895" s="13" t="s">
        <v>1778</v>
      </c>
      <c r="D895" s="15">
        <v>17811.330000000002</v>
      </c>
    </row>
    <row r="896" spans="1:4" x14ac:dyDescent="0.25">
      <c r="A896" s="11">
        <v>45717</v>
      </c>
      <c r="B896" s="10" t="s">
        <v>1792</v>
      </c>
      <c r="C896" s="10" t="s">
        <v>1797</v>
      </c>
      <c r="D896" s="12">
        <v>6056.21</v>
      </c>
    </row>
    <row r="897" spans="1:4" x14ac:dyDescent="0.25">
      <c r="A897" s="14">
        <v>45717</v>
      </c>
      <c r="B897" s="13" t="s">
        <v>1799</v>
      </c>
      <c r="C897" s="13" t="s">
        <v>1795</v>
      </c>
      <c r="D897" s="15">
        <v>2676.06</v>
      </c>
    </row>
    <row r="898" spans="1:4" x14ac:dyDescent="0.25">
      <c r="A898" s="11">
        <v>45717</v>
      </c>
      <c r="B898" s="10" t="s">
        <v>1786</v>
      </c>
      <c r="C898" s="10" t="s">
        <v>1797</v>
      </c>
      <c r="D898" s="12">
        <v>4194.38</v>
      </c>
    </row>
    <row r="899" spans="1:4" x14ac:dyDescent="0.25">
      <c r="A899" s="14">
        <v>45717</v>
      </c>
      <c r="B899" s="13" t="s">
        <v>1818</v>
      </c>
      <c r="C899" s="13" t="s">
        <v>1783</v>
      </c>
      <c r="D899" s="15">
        <v>6830.05</v>
      </c>
    </row>
    <row r="900" spans="1:4" x14ac:dyDescent="0.25">
      <c r="A900" s="11">
        <v>45717</v>
      </c>
      <c r="B900" s="10" t="s">
        <v>1799</v>
      </c>
      <c r="C900" s="10" t="s">
        <v>1783</v>
      </c>
      <c r="D900" s="12">
        <v>7667.11</v>
      </c>
    </row>
    <row r="901" spans="1:4" x14ac:dyDescent="0.25">
      <c r="A901" s="14">
        <v>45717</v>
      </c>
      <c r="B901" s="13" t="s">
        <v>1774</v>
      </c>
      <c r="C901" s="13" t="s">
        <v>1780</v>
      </c>
      <c r="D901" s="15">
        <v>13409.06</v>
      </c>
    </row>
    <row r="902" spans="1:4" x14ac:dyDescent="0.25">
      <c r="A902" s="11">
        <v>45717</v>
      </c>
      <c r="B902" s="10" t="s">
        <v>1786</v>
      </c>
      <c r="C902" s="10" t="s">
        <v>1792</v>
      </c>
      <c r="D902" s="12">
        <v>10135.219999999999</v>
      </c>
    </row>
    <row r="903" spans="1:4" x14ac:dyDescent="0.25">
      <c r="A903" s="14">
        <v>45717</v>
      </c>
      <c r="B903" s="13" t="s">
        <v>1792</v>
      </c>
      <c r="C903" s="13" t="s">
        <v>1778</v>
      </c>
      <c r="D903" s="15">
        <v>24335.84</v>
      </c>
    </row>
    <row r="904" spans="1:4" x14ac:dyDescent="0.25">
      <c r="A904" s="11">
        <v>45717</v>
      </c>
      <c r="B904" s="10" t="s">
        <v>1774</v>
      </c>
      <c r="C904" s="10" t="s">
        <v>1778</v>
      </c>
      <c r="D904" s="12">
        <v>19187.419999999998</v>
      </c>
    </row>
    <row r="905" spans="1:4" x14ac:dyDescent="0.25">
      <c r="A905" s="14">
        <v>45717</v>
      </c>
      <c r="B905" s="13" t="s">
        <v>1792</v>
      </c>
      <c r="C905" s="13" t="s">
        <v>1786</v>
      </c>
      <c r="D905" s="15">
        <v>17952.12</v>
      </c>
    </row>
    <row r="906" spans="1:4" x14ac:dyDescent="0.25">
      <c r="A906" s="11">
        <v>45717</v>
      </c>
      <c r="B906" s="10" t="s">
        <v>1877</v>
      </c>
      <c r="C906" s="10" t="s">
        <v>1786</v>
      </c>
      <c r="D906" s="12">
        <v>11867.56</v>
      </c>
    </row>
    <row r="907" spans="1:4" x14ac:dyDescent="0.25">
      <c r="A907" s="14">
        <v>45717</v>
      </c>
      <c r="B907" s="13" t="s">
        <v>1877</v>
      </c>
      <c r="C907" s="13" t="s">
        <v>1795</v>
      </c>
      <c r="D907" s="15">
        <v>4453.9799999999996</v>
      </c>
    </row>
    <row r="908" spans="1:4" x14ac:dyDescent="0.25">
      <c r="A908" s="11">
        <v>45717</v>
      </c>
      <c r="B908" s="10" t="s">
        <v>1862</v>
      </c>
      <c r="C908" s="10" t="s">
        <v>1778</v>
      </c>
      <c r="D908" s="12">
        <v>8705.43</v>
      </c>
    </row>
    <row r="909" spans="1:4" x14ac:dyDescent="0.25">
      <c r="A909" s="14">
        <v>45717</v>
      </c>
      <c r="B909" s="13" t="s">
        <v>1786</v>
      </c>
      <c r="C909" s="13" t="s">
        <v>1775</v>
      </c>
      <c r="D909" s="15">
        <v>77840.47</v>
      </c>
    </row>
    <row r="910" spans="1:4" x14ac:dyDescent="0.25">
      <c r="A910" s="11">
        <v>45717</v>
      </c>
      <c r="B910" s="10" t="s">
        <v>1862</v>
      </c>
      <c r="C910" s="10" t="s">
        <v>1780</v>
      </c>
      <c r="D910" s="12">
        <v>5634.33</v>
      </c>
    </row>
    <row r="911" spans="1:4" x14ac:dyDescent="0.25">
      <c r="A911" s="14">
        <v>45717</v>
      </c>
      <c r="B911" s="13" t="s">
        <v>1818</v>
      </c>
      <c r="C911" s="13" t="s">
        <v>1795</v>
      </c>
      <c r="D911" s="15">
        <v>2634.3</v>
      </c>
    </row>
    <row r="912" spans="1:4" x14ac:dyDescent="0.25">
      <c r="A912" s="11">
        <v>45717</v>
      </c>
      <c r="B912" s="10" t="s">
        <v>1786</v>
      </c>
      <c r="C912" s="10" t="s">
        <v>1783</v>
      </c>
      <c r="D912" s="12">
        <v>13023.53</v>
      </c>
    </row>
    <row r="913" spans="1:4" x14ac:dyDescent="0.25">
      <c r="A913" s="14">
        <v>45717</v>
      </c>
      <c r="B913" s="13" t="s">
        <v>1792</v>
      </c>
      <c r="C913" s="13" t="s">
        <v>1783</v>
      </c>
      <c r="D913" s="15">
        <v>16331.9</v>
      </c>
    </row>
    <row r="914" spans="1:4" x14ac:dyDescent="0.25">
      <c r="A914" s="11">
        <v>45717</v>
      </c>
      <c r="B914" s="10" t="s">
        <v>1792</v>
      </c>
      <c r="C914" s="10" t="s">
        <v>1775</v>
      </c>
      <c r="D914" s="12">
        <v>93190.38</v>
      </c>
    </row>
    <row r="915" spans="1:4" x14ac:dyDescent="0.25">
      <c r="A915" s="14">
        <v>45717</v>
      </c>
      <c r="B915" s="13" t="s">
        <v>1799</v>
      </c>
      <c r="C915" s="13" t="s">
        <v>1778</v>
      </c>
      <c r="D915" s="15">
        <v>11122.64</v>
      </c>
    </row>
    <row r="916" spans="1:4" x14ac:dyDescent="0.25">
      <c r="A916" s="11">
        <v>45717</v>
      </c>
      <c r="B916" s="10" t="s">
        <v>1877</v>
      </c>
      <c r="C916" s="10" t="s">
        <v>1775</v>
      </c>
      <c r="D916" s="12">
        <v>62339.02</v>
      </c>
    </row>
    <row r="917" spans="1:4" x14ac:dyDescent="0.25">
      <c r="A917" s="14">
        <v>45717</v>
      </c>
      <c r="B917" s="13" t="s">
        <v>1818</v>
      </c>
      <c r="C917" s="13" t="s">
        <v>1786</v>
      </c>
      <c r="D917" s="15">
        <v>6596.06</v>
      </c>
    </row>
    <row r="918" spans="1:4" x14ac:dyDescent="0.25">
      <c r="A918" s="11">
        <v>45717</v>
      </c>
      <c r="B918" s="10" t="s">
        <v>1818</v>
      </c>
      <c r="C918" s="10" t="s">
        <v>1789</v>
      </c>
      <c r="D918" s="12">
        <v>5121.84</v>
      </c>
    </row>
    <row r="919" spans="1:4" x14ac:dyDescent="0.25">
      <c r="A919" s="14">
        <v>45717</v>
      </c>
      <c r="B919" s="13" t="s">
        <v>1774</v>
      </c>
      <c r="C919" s="13" t="s">
        <v>1783</v>
      </c>
      <c r="D919" s="15">
        <v>19310.71</v>
      </c>
    </row>
    <row r="920" spans="1:4" x14ac:dyDescent="0.25">
      <c r="A920" s="11">
        <v>45717</v>
      </c>
      <c r="B920" s="10" t="s">
        <v>1792</v>
      </c>
      <c r="C920" s="10" t="s">
        <v>1789</v>
      </c>
      <c r="D920" s="12">
        <v>10050.41</v>
      </c>
    </row>
    <row r="921" spans="1:4" x14ac:dyDescent="0.25">
      <c r="A921" s="14">
        <v>45717</v>
      </c>
      <c r="B921" s="13" t="s">
        <v>1799</v>
      </c>
      <c r="C921" s="13" t="s">
        <v>1775</v>
      </c>
      <c r="D921" s="15">
        <v>49653.74</v>
      </c>
    </row>
    <row r="922" spans="1:4" x14ac:dyDescent="0.25">
      <c r="A922" s="11">
        <v>45717</v>
      </c>
      <c r="B922" s="10" t="s">
        <v>1786</v>
      </c>
      <c r="C922" s="10" t="s">
        <v>1795</v>
      </c>
      <c r="D922" s="12">
        <v>5906.46</v>
      </c>
    </row>
    <row r="923" spans="1:4" x14ac:dyDescent="0.25">
      <c r="A923" s="14">
        <v>45717</v>
      </c>
      <c r="B923" s="13" t="s">
        <v>1786</v>
      </c>
      <c r="C923" s="13" t="s">
        <v>1789</v>
      </c>
      <c r="D923" s="15">
        <v>7246.35</v>
      </c>
    </row>
    <row r="924" spans="1:4" x14ac:dyDescent="0.25">
      <c r="A924" s="11">
        <v>45717</v>
      </c>
      <c r="B924" s="10" t="s">
        <v>1877</v>
      </c>
      <c r="C924" s="10" t="s">
        <v>1797</v>
      </c>
      <c r="D924" s="12">
        <v>4510.17</v>
      </c>
    </row>
    <row r="925" spans="1:4" x14ac:dyDescent="0.25">
      <c r="A925" s="14">
        <v>45717</v>
      </c>
      <c r="B925" s="13" t="s">
        <v>1877</v>
      </c>
      <c r="C925" s="13" t="s">
        <v>1780</v>
      </c>
      <c r="D925" s="15">
        <v>7291.61</v>
      </c>
    </row>
    <row r="926" spans="1:4" x14ac:dyDescent="0.25">
      <c r="A926" s="11">
        <v>45717</v>
      </c>
      <c r="B926" s="10" t="s">
        <v>1818</v>
      </c>
      <c r="C926" s="10" t="s">
        <v>1797</v>
      </c>
      <c r="D926" s="12">
        <v>2511.46</v>
      </c>
    </row>
    <row r="927" spans="1:4" x14ac:dyDescent="0.25">
      <c r="A927" s="14">
        <v>45717</v>
      </c>
      <c r="B927" s="13" t="s">
        <v>1818</v>
      </c>
      <c r="C927" s="13" t="s">
        <v>1780</v>
      </c>
      <c r="D927" s="15">
        <v>4660.1499999999996</v>
      </c>
    </row>
    <row r="928" spans="1:4" x14ac:dyDescent="0.25">
      <c r="A928" s="11">
        <v>45717</v>
      </c>
      <c r="B928" s="10" t="s">
        <v>1799</v>
      </c>
      <c r="C928" s="10" t="s">
        <v>1792</v>
      </c>
      <c r="D928" s="12">
        <v>7974.79</v>
      </c>
    </row>
    <row r="929" spans="1:4" x14ac:dyDescent="0.25">
      <c r="A929" s="14">
        <v>45717</v>
      </c>
      <c r="B929" s="13" t="s">
        <v>1862</v>
      </c>
      <c r="C929" s="13" t="s">
        <v>1792</v>
      </c>
      <c r="D929" s="15">
        <v>8973.73</v>
      </c>
    </row>
    <row r="930" spans="1:4" x14ac:dyDescent="0.25">
      <c r="A930" s="11">
        <v>45717</v>
      </c>
      <c r="B930" s="10" t="s">
        <v>1799</v>
      </c>
      <c r="C930" s="10" t="s">
        <v>1786</v>
      </c>
      <c r="D930" s="12">
        <v>9118.06</v>
      </c>
    </row>
    <row r="931" spans="1:4" x14ac:dyDescent="0.25">
      <c r="A931" s="14">
        <v>45717</v>
      </c>
      <c r="B931" s="13" t="s">
        <v>1786</v>
      </c>
      <c r="C931" s="13" t="s">
        <v>1780</v>
      </c>
      <c r="D931" s="15">
        <v>8740.7800000000007</v>
      </c>
    </row>
    <row r="932" spans="1:4" x14ac:dyDescent="0.25">
      <c r="A932" s="11">
        <v>45717</v>
      </c>
      <c r="B932" s="10" t="s">
        <v>1792</v>
      </c>
      <c r="C932" s="10" t="s">
        <v>1780</v>
      </c>
      <c r="D932" s="12">
        <v>10256.69</v>
      </c>
    </row>
    <row r="933" spans="1:4" x14ac:dyDescent="0.25">
      <c r="A933" s="14">
        <v>45717</v>
      </c>
      <c r="B933" s="13" t="s">
        <v>1774</v>
      </c>
      <c r="C933" s="13" t="s">
        <v>1795</v>
      </c>
      <c r="D933" s="15">
        <v>6879.71</v>
      </c>
    </row>
    <row r="934" spans="1:4" x14ac:dyDescent="0.25">
      <c r="A934" s="11">
        <v>45717</v>
      </c>
      <c r="B934" s="10" t="s">
        <v>1862</v>
      </c>
      <c r="C934" s="10" t="s">
        <v>1795</v>
      </c>
      <c r="D934" s="12">
        <v>3468.48</v>
      </c>
    </row>
    <row r="935" spans="1:4" x14ac:dyDescent="0.25">
      <c r="A935" s="14">
        <v>45717</v>
      </c>
      <c r="B935" s="13" t="s">
        <v>1786</v>
      </c>
      <c r="C935" s="13" t="s">
        <v>1786</v>
      </c>
      <c r="D935" s="15">
        <v>14954.23</v>
      </c>
    </row>
    <row r="936" spans="1:4" x14ac:dyDescent="0.25">
      <c r="A936" s="11">
        <v>45717</v>
      </c>
      <c r="B936" s="10" t="s">
        <v>1792</v>
      </c>
      <c r="C936" s="10" t="s">
        <v>1795</v>
      </c>
      <c r="D936" s="12">
        <v>6330.45</v>
      </c>
    </row>
    <row r="937" spans="1:4" x14ac:dyDescent="0.25">
      <c r="A937" s="14">
        <v>45717</v>
      </c>
      <c r="B937" s="13" t="s">
        <v>1862</v>
      </c>
      <c r="C937" s="13" t="s">
        <v>1775</v>
      </c>
      <c r="D937" s="15">
        <v>44462.9</v>
      </c>
    </row>
    <row r="938" spans="1:4" x14ac:dyDescent="0.25">
      <c r="A938" s="11">
        <v>45717</v>
      </c>
      <c r="B938" s="10" t="s">
        <v>1862</v>
      </c>
      <c r="C938" s="10" t="s">
        <v>1783</v>
      </c>
      <c r="D938" s="12">
        <v>6515.44</v>
      </c>
    </row>
    <row r="939" spans="1:4" x14ac:dyDescent="0.25">
      <c r="A939" s="14">
        <v>45717</v>
      </c>
      <c r="B939" s="13" t="s">
        <v>1862</v>
      </c>
      <c r="C939" s="13" t="s">
        <v>1789</v>
      </c>
      <c r="D939" s="15">
        <v>4744.1000000000004</v>
      </c>
    </row>
    <row r="940" spans="1:4" x14ac:dyDescent="0.25">
      <c r="A940" s="11">
        <v>45717</v>
      </c>
      <c r="B940" s="10" t="s">
        <v>1862</v>
      </c>
      <c r="C940" s="10" t="s">
        <v>1786</v>
      </c>
      <c r="D940" s="12">
        <v>6542.99</v>
      </c>
    </row>
    <row r="941" spans="1:4" x14ac:dyDescent="0.25">
      <c r="A941" s="14">
        <v>45717</v>
      </c>
      <c r="B941" s="13" t="s">
        <v>1774</v>
      </c>
      <c r="C941" s="13" t="s">
        <v>1775</v>
      </c>
      <c r="D941" s="15">
        <v>97158.99</v>
      </c>
    </row>
    <row r="942" spans="1:4" x14ac:dyDescent="0.25">
      <c r="A942" s="11">
        <v>45717</v>
      </c>
      <c r="B942" s="10" t="s">
        <v>1774</v>
      </c>
      <c r="C942" s="10" t="s">
        <v>1797</v>
      </c>
      <c r="D942" s="12">
        <v>8131.68</v>
      </c>
    </row>
    <row r="943" spans="1:4" x14ac:dyDescent="0.25">
      <c r="A943" s="14">
        <v>45717</v>
      </c>
      <c r="B943" s="13" t="s">
        <v>1877</v>
      </c>
      <c r="C943" s="13" t="s">
        <v>1792</v>
      </c>
      <c r="D943" s="15">
        <v>9957.65</v>
      </c>
    </row>
    <row r="944" spans="1:4" x14ac:dyDescent="0.25">
      <c r="A944" s="11">
        <v>45717</v>
      </c>
      <c r="B944" s="10" t="s">
        <v>1877</v>
      </c>
      <c r="C944" s="10" t="s">
        <v>1789</v>
      </c>
      <c r="D944" s="12">
        <v>5808.02</v>
      </c>
    </row>
    <row r="945" spans="1:4" x14ac:dyDescent="0.25">
      <c r="A945" s="14">
        <v>45717</v>
      </c>
      <c r="B945" s="13" t="s">
        <v>1799</v>
      </c>
      <c r="C945" s="13" t="s">
        <v>1797</v>
      </c>
      <c r="D945" s="15">
        <v>3573.52</v>
      </c>
    </row>
    <row r="946" spans="1:4" x14ac:dyDescent="0.25">
      <c r="A946" s="11">
        <v>45717</v>
      </c>
      <c r="B946" s="10" t="s">
        <v>1799</v>
      </c>
      <c r="C946" s="10" t="s">
        <v>1780</v>
      </c>
      <c r="D946" s="12">
        <v>5842.58</v>
      </c>
    </row>
    <row r="947" spans="1:4" x14ac:dyDescent="0.25">
      <c r="A947" s="14">
        <v>45748</v>
      </c>
      <c r="B947" s="13" t="s">
        <v>1862</v>
      </c>
      <c r="C947" s="13" t="s">
        <v>1786</v>
      </c>
      <c r="D947" s="15">
        <v>7498.87</v>
      </c>
    </row>
    <row r="948" spans="1:4" x14ac:dyDescent="0.25">
      <c r="A948" s="11">
        <v>45748</v>
      </c>
      <c r="B948" s="10" t="s">
        <v>1774</v>
      </c>
      <c r="C948" s="10" t="s">
        <v>1783</v>
      </c>
      <c r="D948" s="12">
        <v>16540.669999999998</v>
      </c>
    </row>
    <row r="949" spans="1:4" x14ac:dyDescent="0.25">
      <c r="A949" s="14">
        <v>45748</v>
      </c>
      <c r="B949" s="13" t="s">
        <v>1774</v>
      </c>
      <c r="C949" s="13" t="s">
        <v>1789</v>
      </c>
      <c r="D949" s="15">
        <v>12067.73</v>
      </c>
    </row>
    <row r="950" spans="1:4" x14ac:dyDescent="0.25">
      <c r="A950" s="11">
        <v>45748</v>
      </c>
      <c r="B950" s="10" t="s">
        <v>1786</v>
      </c>
      <c r="C950" s="10" t="s">
        <v>1797</v>
      </c>
      <c r="D950" s="12">
        <v>4564.71</v>
      </c>
    </row>
    <row r="951" spans="1:4" x14ac:dyDescent="0.25">
      <c r="A951" s="14">
        <v>45748</v>
      </c>
      <c r="B951" s="13" t="s">
        <v>1862</v>
      </c>
      <c r="C951" s="13" t="s">
        <v>1775</v>
      </c>
      <c r="D951" s="15">
        <v>49058.78</v>
      </c>
    </row>
    <row r="952" spans="1:4" x14ac:dyDescent="0.25">
      <c r="A952" s="11">
        <v>45748</v>
      </c>
      <c r="B952" s="10" t="s">
        <v>1774</v>
      </c>
      <c r="C952" s="10" t="s">
        <v>1797</v>
      </c>
      <c r="D952" s="12">
        <v>6236.69</v>
      </c>
    </row>
    <row r="953" spans="1:4" x14ac:dyDescent="0.25">
      <c r="A953" s="14">
        <v>45748</v>
      </c>
      <c r="B953" s="13" t="s">
        <v>1792</v>
      </c>
      <c r="C953" s="13" t="s">
        <v>1775</v>
      </c>
      <c r="D953" s="15">
        <v>101409.03</v>
      </c>
    </row>
    <row r="954" spans="1:4" x14ac:dyDescent="0.25">
      <c r="A954" s="11">
        <v>45748</v>
      </c>
      <c r="B954" s="10" t="s">
        <v>1799</v>
      </c>
      <c r="C954" s="10" t="s">
        <v>1792</v>
      </c>
      <c r="D954" s="12">
        <v>7335.51</v>
      </c>
    </row>
    <row r="955" spans="1:4" x14ac:dyDescent="0.25">
      <c r="A955" s="14">
        <v>45748</v>
      </c>
      <c r="B955" s="13" t="s">
        <v>1786</v>
      </c>
      <c r="C955" s="13" t="s">
        <v>1775</v>
      </c>
      <c r="D955" s="15">
        <v>90298.43</v>
      </c>
    </row>
    <row r="956" spans="1:4" x14ac:dyDescent="0.25">
      <c r="A956" s="11">
        <v>45748</v>
      </c>
      <c r="B956" s="10" t="s">
        <v>1877</v>
      </c>
      <c r="C956" s="10" t="s">
        <v>1780</v>
      </c>
      <c r="D956" s="12">
        <v>7859.82</v>
      </c>
    </row>
    <row r="957" spans="1:4" x14ac:dyDescent="0.25">
      <c r="A957" s="14">
        <v>45748</v>
      </c>
      <c r="B957" s="13" t="s">
        <v>1862</v>
      </c>
      <c r="C957" s="13" t="s">
        <v>1792</v>
      </c>
      <c r="D957" s="15">
        <v>6575.55</v>
      </c>
    </row>
    <row r="958" spans="1:4" x14ac:dyDescent="0.25">
      <c r="A958" s="11">
        <v>45748</v>
      </c>
      <c r="B958" s="10" t="s">
        <v>1786</v>
      </c>
      <c r="C958" s="10" t="s">
        <v>1792</v>
      </c>
      <c r="D958" s="12">
        <v>13578.87</v>
      </c>
    </row>
    <row r="959" spans="1:4" x14ac:dyDescent="0.25">
      <c r="A959" s="14">
        <v>45748</v>
      </c>
      <c r="B959" s="13" t="s">
        <v>1786</v>
      </c>
      <c r="C959" s="13" t="s">
        <v>1783</v>
      </c>
      <c r="D959" s="15">
        <v>14984.11</v>
      </c>
    </row>
    <row r="960" spans="1:4" x14ac:dyDescent="0.25">
      <c r="A960" s="11">
        <v>45748</v>
      </c>
      <c r="B960" s="10" t="s">
        <v>1799</v>
      </c>
      <c r="C960" s="10" t="s">
        <v>1775</v>
      </c>
      <c r="D960" s="12">
        <v>58575.68</v>
      </c>
    </row>
    <row r="961" spans="1:4" x14ac:dyDescent="0.25">
      <c r="A961" s="14">
        <v>45748</v>
      </c>
      <c r="B961" s="13" t="s">
        <v>1799</v>
      </c>
      <c r="C961" s="13" t="s">
        <v>1789</v>
      </c>
      <c r="D961" s="15">
        <v>4543.88</v>
      </c>
    </row>
    <row r="962" spans="1:4" x14ac:dyDescent="0.25">
      <c r="A962" s="11">
        <v>45748</v>
      </c>
      <c r="B962" s="10" t="s">
        <v>1774</v>
      </c>
      <c r="C962" s="10" t="s">
        <v>1786</v>
      </c>
      <c r="D962" s="12">
        <v>23302.94</v>
      </c>
    </row>
    <row r="963" spans="1:4" x14ac:dyDescent="0.25">
      <c r="A963" s="14">
        <v>45748</v>
      </c>
      <c r="B963" s="13" t="s">
        <v>1774</v>
      </c>
      <c r="C963" s="13" t="s">
        <v>1792</v>
      </c>
      <c r="D963" s="15">
        <v>20689.88</v>
      </c>
    </row>
    <row r="964" spans="1:4" x14ac:dyDescent="0.25">
      <c r="A964" s="11">
        <v>45748</v>
      </c>
      <c r="B964" s="10" t="s">
        <v>1792</v>
      </c>
      <c r="C964" s="10" t="s">
        <v>1783</v>
      </c>
      <c r="D964" s="12">
        <v>13719.2</v>
      </c>
    </row>
    <row r="965" spans="1:4" x14ac:dyDescent="0.25">
      <c r="A965" s="14">
        <v>45748</v>
      </c>
      <c r="B965" s="13" t="s">
        <v>1774</v>
      </c>
      <c r="C965" s="13" t="s">
        <v>1778</v>
      </c>
      <c r="D965" s="15">
        <v>19760.53</v>
      </c>
    </row>
    <row r="966" spans="1:4" x14ac:dyDescent="0.25">
      <c r="A966" s="11">
        <v>45748</v>
      </c>
      <c r="B966" s="10" t="s">
        <v>1774</v>
      </c>
      <c r="C966" s="10" t="s">
        <v>1780</v>
      </c>
      <c r="D966" s="12">
        <v>11346.3</v>
      </c>
    </row>
    <row r="967" spans="1:4" x14ac:dyDescent="0.25">
      <c r="A967" s="14">
        <v>45748</v>
      </c>
      <c r="B967" s="13" t="s">
        <v>1792</v>
      </c>
      <c r="C967" s="13" t="s">
        <v>1778</v>
      </c>
      <c r="D967" s="15">
        <v>22159.83</v>
      </c>
    </row>
    <row r="968" spans="1:4" x14ac:dyDescent="0.25">
      <c r="A968" s="11">
        <v>45748</v>
      </c>
      <c r="B968" s="10" t="s">
        <v>1792</v>
      </c>
      <c r="C968" s="10" t="s">
        <v>1795</v>
      </c>
      <c r="D968" s="12">
        <v>5583.28</v>
      </c>
    </row>
    <row r="969" spans="1:4" x14ac:dyDescent="0.25">
      <c r="A969" s="14">
        <v>45748</v>
      </c>
      <c r="B969" s="13" t="s">
        <v>1877</v>
      </c>
      <c r="C969" s="13" t="s">
        <v>1795</v>
      </c>
      <c r="D969" s="15">
        <v>4600.01</v>
      </c>
    </row>
    <row r="970" spans="1:4" x14ac:dyDescent="0.25">
      <c r="A970" s="11">
        <v>45748</v>
      </c>
      <c r="B970" s="10" t="s">
        <v>1862</v>
      </c>
      <c r="C970" s="10" t="s">
        <v>1780</v>
      </c>
      <c r="D970" s="12">
        <v>4098.0200000000004</v>
      </c>
    </row>
    <row r="971" spans="1:4" x14ac:dyDescent="0.25">
      <c r="A971" s="14">
        <v>45748</v>
      </c>
      <c r="B971" s="13" t="s">
        <v>1818</v>
      </c>
      <c r="C971" s="13" t="s">
        <v>1783</v>
      </c>
      <c r="D971" s="15">
        <v>6465.53</v>
      </c>
    </row>
    <row r="972" spans="1:4" x14ac:dyDescent="0.25">
      <c r="A972" s="11">
        <v>45748</v>
      </c>
      <c r="B972" s="10" t="s">
        <v>1792</v>
      </c>
      <c r="C972" s="10" t="s">
        <v>1792</v>
      </c>
      <c r="D972" s="12">
        <v>19638.52</v>
      </c>
    </row>
    <row r="973" spans="1:4" x14ac:dyDescent="0.25">
      <c r="A973" s="14">
        <v>45748</v>
      </c>
      <c r="B973" s="13" t="s">
        <v>1877</v>
      </c>
      <c r="C973" s="13" t="s">
        <v>1775</v>
      </c>
      <c r="D973" s="15">
        <v>68286.97</v>
      </c>
    </row>
    <row r="974" spans="1:4" x14ac:dyDescent="0.25">
      <c r="A974" s="11">
        <v>45748</v>
      </c>
      <c r="B974" s="10" t="s">
        <v>1818</v>
      </c>
      <c r="C974" s="10" t="s">
        <v>1797</v>
      </c>
      <c r="D974" s="12">
        <v>2366.6</v>
      </c>
    </row>
    <row r="975" spans="1:4" x14ac:dyDescent="0.25">
      <c r="A975" s="14">
        <v>45748</v>
      </c>
      <c r="B975" s="13" t="s">
        <v>1799</v>
      </c>
      <c r="C975" s="13" t="s">
        <v>1780</v>
      </c>
      <c r="D975" s="15">
        <v>5115.8100000000004</v>
      </c>
    </row>
    <row r="976" spans="1:4" x14ac:dyDescent="0.25">
      <c r="A976" s="11">
        <v>45748</v>
      </c>
      <c r="B976" s="10" t="s">
        <v>1786</v>
      </c>
      <c r="C976" s="10" t="s">
        <v>1778</v>
      </c>
      <c r="D976" s="12">
        <v>14945.86</v>
      </c>
    </row>
    <row r="977" spans="1:4" x14ac:dyDescent="0.25">
      <c r="A977" s="14">
        <v>45748</v>
      </c>
      <c r="B977" s="13" t="s">
        <v>1774</v>
      </c>
      <c r="C977" s="13" t="s">
        <v>1775</v>
      </c>
      <c r="D977" s="15">
        <v>140629.85999999999</v>
      </c>
    </row>
    <row r="978" spans="1:4" x14ac:dyDescent="0.25">
      <c r="A978" s="11">
        <v>45748</v>
      </c>
      <c r="B978" s="10" t="s">
        <v>1774</v>
      </c>
      <c r="C978" s="10" t="s">
        <v>1795</v>
      </c>
      <c r="D978" s="12">
        <v>8996.24</v>
      </c>
    </row>
    <row r="979" spans="1:4" x14ac:dyDescent="0.25">
      <c r="A979" s="14">
        <v>45748</v>
      </c>
      <c r="B979" s="13" t="s">
        <v>1786</v>
      </c>
      <c r="C979" s="13" t="s">
        <v>1789</v>
      </c>
      <c r="D979" s="15">
        <v>9472.09</v>
      </c>
    </row>
    <row r="980" spans="1:4" x14ac:dyDescent="0.25">
      <c r="A980" s="11">
        <v>45748</v>
      </c>
      <c r="B980" s="10" t="s">
        <v>1818</v>
      </c>
      <c r="C980" s="10" t="s">
        <v>1775</v>
      </c>
      <c r="D980" s="12">
        <v>39172.86</v>
      </c>
    </row>
    <row r="981" spans="1:4" x14ac:dyDescent="0.25">
      <c r="A981" s="14">
        <v>45748</v>
      </c>
      <c r="B981" s="13" t="s">
        <v>1818</v>
      </c>
      <c r="C981" s="13" t="s">
        <v>1786</v>
      </c>
      <c r="D981" s="15">
        <v>7288.56</v>
      </c>
    </row>
    <row r="982" spans="1:4" x14ac:dyDescent="0.25">
      <c r="A982" s="11">
        <v>45748</v>
      </c>
      <c r="B982" s="10" t="s">
        <v>1799</v>
      </c>
      <c r="C982" s="10" t="s">
        <v>1795</v>
      </c>
      <c r="D982" s="12">
        <v>2892.91</v>
      </c>
    </row>
    <row r="983" spans="1:4" x14ac:dyDescent="0.25">
      <c r="A983" s="14">
        <v>45748</v>
      </c>
      <c r="B983" s="13" t="s">
        <v>1792</v>
      </c>
      <c r="C983" s="13" t="s">
        <v>1789</v>
      </c>
      <c r="D983" s="15">
        <v>10259.040000000001</v>
      </c>
    </row>
    <row r="984" spans="1:4" x14ac:dyDescent="0.25">
      <c r="A984" s="11">
        <v>45748</v>
      </c>
      <c r="B984" s="10" t="s">
        <v>1792</v>
      </c>
      <c r="C984" s="10" t="s">
        <v>1780</v>
      </c>
      <c r="D984" s="12">
        <v>11244.95</v>
      </c>
    </row>
    <row r="985" spans="1:4" x14ac:dyDescent="0.25">
      <c r="A985" s="14">
        <v>45748</v>
      </c>
      <c r="B985" s="13" t="s">
        <v>1877</v>
      </c>
      <c r="C985" s="13" t="s">
        <v>1789</v>
      </c>
      <c r="D985" s="15">
        <v>6974.77</v>
      </c>
    </row>
    <row r="986" spans="1:4" x14ac:dyDescent="0.25">
      <c r="A986" s="11">
        <v>45748</v>
      </c>
      <c r="B986" s="10" t="s">
        <v>1862</v>
      </c>
      <c r="C986" s="10" t="s">
        <v>1783</v>
      </c>
      <c r="D986" s="12">
        <v>7538.12</v>
      </c>
    </row>
    <row r="987" spans="1:4" x14ac:dyDescent="0.25">
      <c r="A987" s="14">
        <v>45748</v>
      </c>
      <c r="B987" s="13" t="s">
        <v>1799</v>
      </c>
      <c r="C987" s="13" t="s">
        <v>1786</v>
      </c>
      <c r="D987" s="15">
        <v>7862.52</v>
      </c>
    </row>
    <row r="988" spans="1:4" x14ac:dyDescent="0.25">
      <c r="A988" s="11">
        <v>45748</v>
      </c>
      <c r="B988" s="10" t="s">
        <v>1786</v>
      </c>
      <c r="C988" s="10" t="s">
        <v>1795</v>
      </c>
      <c r="D988" s="12">
        <v>4311.79</v>
      </c>
    </row>
    <row r="989" spans="1:4" x14ac:dyDescent="0.25">
      <c r="A989" s="14">
        <v>45748</v>
      </c>
      <c r="B989" s="13" t="s">
        <v>1877</v>
      </c>
      <c r="C989" s="13" t="s">
        <v>1783</v>
      </c>
      <c r="D989" s="15">
        <v>10530.85</v>
      </c>
    </row>
    <row r="990" spans="1:4" x14ac:dyDescent="0.25">
      <c r="A990" s="11">
        <v>45748</v>
      </c>
      <c r="B990" s="10" t="s">
        <v>1818</v>
      </c>
      <c r="C990" s="10" t="s">
        <v>1780</v>
      </c>
      <c r="D990" s="12">
        <v>4200.8</v>
      </c>
    </row>
    <row r="991" spans="1:4" x14ac:dyDescent="0.25">
      <c r="A991" s="14">
        <v>45748</v>
      </c>
      <c r="B991" s="13" t="s">
        <v>1799</v>
      </c>
      <c r="C991" s="13" t="s">
        <v>1778</v>
      </c>
      <c r="D991" s="15">
        <v>10415.39</v>
      </c>
    </row>
    <row r="992" spans="1:4" x14ac:dyDescent="0.25">
      <c r="A992" s="11">
        <v>45748</v>
      </c>
      <c r="B992" s="10" t="s">
        <v>1786</v>
      </c>
      <c r="C992" s="10" t="s">
        <v>1786</v>
      </c>
      <c r="D992" s="12">
        <v>14919.68</v>
      </c>
    </row>
    <row r="993" spans="1:4" x14ac:dyDescent="0.25">
      <c r="A993" s="14">
        <v>45748</v>
      </c>
      <c r="B993" s="13" t="s">
        <v>1862</v>
      </c>
      <c r="C993" s="13" t="s">
        <v>1778</v>
      </c>
      <c r="D993" s="15">
        <v>9847.17</v>
      </c>
    </row>
    <row r="994" spans="1:4" x14ac:dyDescent="0.25">
      <c r="A994" s="11">
        <v>45748</v>
      </c>
      <c r="B994" s="10" t="s">
        <v>1818</v>
      </c>
      <c r="C994" s="10" t="s">
        <v>1789</v>
      </c>
      <c r="D994" s="12">
        <v>4740.37</v>
      </c>
    </row>
    <row r="995" spans="1:4" x14ac:dyDescent="0.25">
      <c r="A995" s="14">
        <v>45748</v>
      </c>
      <c r="B995" s="13" t="s">
        <v>1792</v>
      </c>
      <c r="C995" s="13" t="s">
        <v>1797</v>
      </c>
      <c r="D995" s="15">
        <v>5753.96</v>
      </c>
    </row>
    <row r="996" spans="1:4" x14ac:dyDescent="0.25">
      <c r="A996" s="11">
        <v>45748</v>
      </c>
      <c r="B996" s="10" t="s">
        <v>1877</v>
      </c>
      <c r="C996" s="10" t="s">
        <v>1786</v>
      </c>
      <c r="D996" s="12">
        <v>12015.37</v>
      </c>
    </row>
    <row r="997" spans="1:4" x14ac:dyDescent="0.25">
      <c r="A997" s="14">
        <v>45748</v>
      </c>
      <c r="B997" s="13" t="s">
        <v>1877</v>
      </c>
      <c r="C997" s="13" t="s">
        <v>1792</v>
      </c>
      <c r="D997" s="15">
        <v>12141.71</v>
      </c>
    </row>
    <row r="998" spans="1:4" x14ac:dyDescent="0.25">
      <c r="A998" s="11">
        <v>45748</v>
      </c>
      <c r="B998" s="10" t="s">
        <v>1862</v>
      </c>
      <c r="C998" s="10" t="s">
        <v>1795</v>
      </c>
      <c r="D998" s="12">
        <v>3009.7</v>
      </c>
    </row>
    <row r="999" spans="1:4" x14ac:dyDescent="0.25">
      <c r="A999" s="14">
        <v>45748</v>
      </c>
      <c r="B999" s="13" t="s">
        <v>1862</v>
      </c>
      <c r="C999" s="13" t="s">
        <v>1789</v>
      </c>
      <c r="D999" s="15">
        <v>4135.16</v>
      </c>
    </row>
    <row r="1000" spans="1:4" x14ac:dyDescent="0.25">
      <c r="A1000" s="11">
        <v>45748</v>
      </c>
      <c r="B1000" s="10" t="s">
        <v>1818</v>
      </c>
      <c r="C1000" s="10" t="s">
        <v>1792</v>
      </c>
      <c r="D1000" s="12">
        <v>7398.34</v>
      </c>
    </row>
    <row r="1001" spans="1:4" x14ac:dyDescent="0.25">
      <c r="A1001" s="14">
        <v>45748</v>
      </c>
      <c r="B1001" s="13" t="s">
        <v>1877</v>
      </c>
      <c r="C1001" s="13" t="s">
        <v>1778</v>
      </c>
      <c r="D1001" s="15">
        <v>13696.2</v>
      </c>
    </row>
    <row r="1002" spans="1:4" x14ac:dyDescent="0.25">
      <c r="A1002" s="11">
        <v>45748</v>
      </c>
      <c r="B1002" s="10" t="s">
        <v>1818</v>
      </c>
      <c r="C1002" s="10" t="s">
        <v>1778</v>
      </c>
      <c r="D1002" s="12">
        <v>9635.52</v>
      </c>
    </row>
    <row r="1003" spans="1:4" x14ac:dyDescent="0.25">
      <c r="A1003" s="14">
        <v>45748</v>
      </c>
      <c r="B1003" s="13" t="s">
        <v>1818</v>
      </c>
      <c r="C1003" s="13" t="s">
        <v>1795</v>
      </c>
      <c r="D1003" s="15">
        <v>2560.7800000000002</v>
      </c>
    </row>
    <row r="1004" spans="1:4" x14ac:dyDescent="0.25">
      <c r="A1004" s="11">
        <v>45748</v>
      </c>
      <c r="B1004" s="10" t="s">
        <v>1786</v>
      </c>
      <c r="C1004" s="10" t="s">
        <v>1780</v>
      </c>
      <c r="D1004" s="12">
        <v>9483.5400000000009</v>
      </c>
    </row>
    <row r="1005" spans="1:4" x14ac:dyDescent="0.25">
      <c r="A1005" s="14">
        <v>45748</v>
      </c>
      <c r="B1005" s="13" t="s">
        <v>1877</v>
      </c>
      <c r="C1005" s="13" t="s">
        <v>1797</v>
      </c>
      <c r="D1005" s="15">
        <v>3422.45</v>
      </c>
    </row>
    <row r="1006" spans="1:4" x14ac:dyDescent="0.25">
      <c r="A1006" s="11">
        <v>45748</v>
      </c>
      <c r="B1006" s="10" t="s">
        <v>1862</v>
      </c>
      <c r="C1006" s="10" t="s">
        <v>1797</v>
      </c>
      <c r="D1006" s="12">
        <v>2439.33</v>
      </c>
    </row>
    <row r="1007" spans="1:4" x14ac:dyDescent="0.25">
      <c r="A1007" s="14">
        <v>45748</v>
      </c>
      <c r="B1007" s="13" t="s">
        <v>1792</v>
      </c>
      <c r="C1007" s="13" t="s">
        <v>1786</v>
      </c>
      <c r="D1007" s="15">
        <v>17015.61</v>
      </c>
    </row>
    <row r="1008" spans="1:4" x14ac:dyDescent="0.25">
      <c r="A1008" s="11">
        <v>45748</v>
      </c>
      <c r="B1008" s="10" t="s">
        <v>1799</v>
      </c>
      <c r="C1008" s="10" t="s">
        <v>1797</v>
      </c>
      <c r="D1008" s="12">
        <v>2655.92</v>
      </c>
    </row>
    <row r="1009" spans="1:4" x14ac:dyDescent="0.25">
      <c r="A1009" s="14">
        <v>45748</v>
      </c>
      <c r="B1009" s="13" t="s">
        <v>1799</v>
      </c>
      <c r="C1009" s="13" t="s">
        <v>1783</v>
      </c>
      <c r="D1009" s="15">
        <v>6709.4</v>
      </c>
    </row>
    <row r="1010" spans="1:4" x14ac:dyDescent="0.25">
      <c r="A1010" s="11">
        <v>45778</v>
      </c>
      <c r="B1010" s="10" t="s">
        <v>1862</v>
      </c>
      <c r="C1010" s="10" t="s">
        <v>1783</v>
      </c>
      <c r="D1010" s="12">
        <v>7048.63</v>
      </c>
    </row>
    <row r="1011" spans="1:4" x14ac:dyDescent="0.25">
      <c r="A1011" s="14">
        <v>45778</v>
      </c>
      <c r="B1011" s="13" t="s">
        <v>1774</v>
      </c>
      <c r="C1011" s="13" t="s">
        <v>1795</v>
      </c>
      <c r="D1011" s="15">
        <v>6732.66</v>
      </c>
    </row>
    <row r="1012" spans="1:4" x14ac:dyDescent="0.25">
      <c r="A1012" s="11">
        <v>45778</v>
      </c>
      <c r="B1012" s="10" t="s">
        <v>1818</v>
      </c>
      <c r="C1012" s="10" t="s">
        <v>1775</v>
      </c>
      <c r="D1012" s="12">
        <v>37135.15</v>
      </c>
    </row>
    <row r="1013" spans="1:4" x14ac:dyDescent="0.25">
      <c r="A1013" s="14">
        <v>45778</v>
      </c>
      <c r="B1013" s="13" t="s">
        <v>1774</v>
      </c>
      <c r="C1013" s="13" t="s">
        <v>1775</v>
      </c>
      <c r="D1013" s="15">
        <v>91283.64</v>
      </c>
    </row>
    <row r="1014" spans="1:4" x14ac:dyDescent="0.25">
      <c r="A1014" s="11">
        <v>45778</v>
      </c>
      <c r="B1014" s="10" t="s">
        <v>1862</v>
      </c>
      <c r="C1014" s="10" t="s">
        <v>1789</v>
      </c>
      <c r="D1014" s="12">
        <v>4923.42</v>
      </c>
    </row>
    <row r="1015" spans="1:4" x14ac:dyDescent="0.25">
      <c r="A1015" s="14">
        <v>45778</v>
      </c>
      <c r="B1015" s="13" t="s">
        <v>1786</v>
      </c>
      <c r="C1015" s="13" t="s">
        <v>1775</v>
      </c>
      <c r="D1015" s="15">
        <v>62817.2</v>
      </c>
    </row>
    <row r="1016" spans="1:4" x14ac:dyDescent="0.25">
      <c r="A1016" s="11">
        <v>45778</v>
      </c>
      <c r="B1016" s="10" t="s">
        <v>1792</v>
      </c>
      <c r="C1016" s="10" t="s">
        <v>1783</v>
      </c>
      <c r="D1016" s="12">
        <v>18187.759999999998</v>
      </c>
    </row>
    <row r="1017" spans="1:4" x14ac:dyDescent="0.25">
      <c r="A1017" s="14">
        <v>45778</v>
      </c>
      <c r="B1017" s="13" t="s">
        <v>1774</v>
      </c>
      <c r="C1017" s="13" t="s">
        <v>1792</v>
      </c>
      <c r="D1017" s="15">
        <v>20774.72</v>
      </c>
    </row>
    <row r="1018" spans="1:4" x14ac:dyDescent="0.25">
      <c r="A1018" s="11">
        <v>45778</v>
      </c>
      <c r="B1018" s="10" t="s">
        <v>1786</v>
      </c>
      <c r="C1018" s="10" t="s">
        <v>1797</v>
      </c>
      <c r="D1018" s="12">
        <v>4690.67</v>
      </c>
    </row>
    <row r="1019" spans="1:4" x14ac:dyDescent="0.25">
      <c r="A1019" s="14">
        <v>45778</v>
      </c>
      <c r="B1019" s="13" t="s">
        <v>1774</v>
      </c>
      <c r="C1019" s="13" t="s">
        <v>1780</v>
      </c>
      <c r="D1019" s="15">
        <v>11621.35</v>
      </c>
    </row>
    <row r="1020" spans="1:4" x14ac:dyDescent="0.25">
      <c r="A1020" s="11">
        <v>45778</v>
      </c>
      <c r="B1020" s="10" t="s">
        <v>1792</v>
      </c>
      <c r="C1020" s="10" t="s">
        <v>1778</v>
      </c>
      <c r="D1020" s="12">
        <v>15132.24</v>
      </c>
    </row>
    <row r="1021" spans="1:4" x14ac:dyDescent="0.25">
      <c r="A1021" s="14">
        <v>45778</v>
      </c>
      <c r="B1021" s="13" t="s">
        <v>1774</v>
      </c>
      <c r="C1021" s="13" t="s">
        <v>1786</v>
      </c>
      <c r="D1021" s="15">
        <v>16181.12</v>
      </c>
    </row>
    <row r="1022" spans="1:4" x14ac:dyDescent="0.25">
      <c r="A1022" s="11">
        <v>45778</v>
      </c>
      <c r="B1022" s="10" t="s">
        <v>1877</v>
      </c>
      <c r="C1022" s="10" t="s">
        <v>1797</v>
      </c>
      <c r="D1022" s="12">
        <v>4555.7700000000004</v>
      </c>
    </row>
    <row r="1023" spans="1:4" x14ac:dyDescent="0.25">
      <c r="A1023" s="14">
        <v>45778</v>
      </c>
      <c r="B1023" s="13" t="s">
        <v>1877</v>
      </c>
      <c r="C1023" s="13" t="s">
        <v>1789</v>
      </c>
      <c r="D1023" s="15">
        <v>8352.57</v>
      </c>
    </row>
    <row r="1024" spans="1:4" x14ac:dyDescent="0.25">
      <c r="A1024" s="11">
        <v>45778</v>
      </c>
      <c r="B1024" s="10" t="s">
        <v>1818</v>
      </c>
      <c r="C1024" s="10" t="s">
        <v>1783</v>
      </c>
      <c r="D1024" s="12">
        <v>6805.67</v>
      </c>
    </row>
    <row r="1025" spans="1:4" x14ac:dyDescent="0.25">
      <c r="A1025" s="14">
        <v>45778</v>
      </c>
      <c r="B1025" s="13" t="s">
        <v>1799</v>
      </c>
      <c r="C1025" s="13" t="s">
        <v>1797</v>
      </c>
      <c r="D1025" s="15">
        <v>3148.83</v>
      </c>
    </row>
    <row r="1026" spans="1:4" x14ac:dyDescent="0.25">
      <c r="A1026" s="11">
        <v>45778</v>
      </c>
      <c r="B1026" s="10" t="s">
        <v>1786</v>
      </c>
      <c r="C1026" s="10" t="s">
        <v>1792</v>
      </c>
      <c r="D1026" s="12">
        <v>11182.65</v>
      </c>
    </row>
    <row r="1027" spans="1:4" x14ac:dyDescent="0.25">
      <c r="A1027" s="14">
        <v>45778</v>
      </c>
      <c r="B1027" s="13" t="s">
        <v>1786</v>
      </c>
      <c r="C1027" s="13" t="s">
        <v>1789</v>
      </c>
      <c r="D1027" s="15">
        <v>6281.79</v>
      </c>
    </row>
    <row r="1028" spans="1:4" x14ac:dyDescent="0.25">
      <c r="A1028" s="11">
        <v>45778</v>
      </c>
      <c r="B1028" s="10" t="s">
        <v>1792</v>
      </c>
      <c r="C1028" s="10" t="s">
        <v>1797</v>
      </c>
      <c r="D1028" s="12">
        <v>5965.43</v>
      </c>
    </row>
    <row r="1029" spans="1:4" x14ac:dyDescent="0.25">
      <c r="A1029" s="14">
        <v>45778</v>
      </c>
      <c r="B1029" s="13" t="s">
        <v>1792</v>
      </c>
      <c r="C1029" s="13" t="s">
        <v>1795</v>
      </c>
      <c r="D1029" s="15">
        <v>6003.12</v>
      </c>
    </row>
    <row r="1030" spans="1:4" x14ac:dyDescent="0.25">
      <c r="A1030" s="11">
        <v>45778</v>
      </c>
      <c r="B1030" s="10" t="s">
        <v>1818</v>
      </c>
      <c r="C1030" s="10" t="s">
        <v>1792</v>
      </c>
      <c r="D1030" s="12">
        <v>6761.55</v>
      </c>
    </row>
    <row r="1031" spans="1:4" x14ac:dyDescent="0.25">
      <c r="A1031" s="14">
        <v>45778</v>
      </c>
      <c r="B1031" s="13" t="s">
        <v>1799</v>
      </c>
      <c r="C1031" s="13" t="s">
        <v>1778</v>
      </c>
      <c r="D1031" s="15">
        <v>9922.1</v>
      </c>
    </row>
    <row r="1032" spans="1:4" x14ac:dyDescent="0.25">
      <c r="A1032" s="11">
        <v>45778</v>
      </c>
      <c r="B1032" s="10" t="s">
        <v>1799</v>
      </c>
      <c r="C1032" s="10" t="s">
        <v>1789</v>
      </c>
      <c r="D1032" s="12">
        <v>5551.22</v>
      </c>
    </row>
    <row r="1033" spans="1:4" x14ac:dyDescent="0.25">
      <c r="A1033" s="14">
        <v>45778</v>
      </c>
      <c r="B1033" s="13" t="s">
        <v>1818</v>
      </c>
      <c r="C1033" s="13" t="s">
        <v>1789</v>
      </c>
      <c r="D1033" s="15">
        <v>3776.08</v>
      </c>
    </row>
    <row r="1034" spans="1:4" x14ac:dyDescent="0.25">
      <c r="A1034" s="11">
        <v>45778</v>
      </c>
      <c r="B1034" s="10" t="s">
        <v>1799</v>
      </c>
      <c r="C1034" s="10" t="s">
        <v>1786</v>
      </c>
      <c r="D1034" s="12">
        <v>7964.09</v>
      </c>
    </row>
    <row r="1035" spans="1:4" x14ac:dyDescent="0.25">
      <c r="A1035" s="14">
        <v>45778</v>
      </c>
      <c r="B1035" s="13" t="s">
        <v>1862</v>
      </c>
      <c r="C1035" s="13" t="s">
        <v>1775</v>
      </c>
      <c r="D1035" s="15">
        <v>47512.42</v>
      </c>
    </row>
    <row r="1036" spans="1:4" x14ac:dyDescent="0.25">
      <c r="A1036" s="11">
        <v>45778</v>
      </c>
      <c r="B1036" s="10" t="s">
        <v>1799</v>
      </c>
      <c r="C1036" s="10" t="s">
        <v>1775</v>
      </c>
      <c r="D1036" s="12">
        <v>57730.11</v>
      </c>
    </row>
    <row r="1037" spans="1:4" x14ac:dyDescent="0.25">
      <c r="A1037" s="14">
        <v>45778</v>
      </c>
      <c r="B1037" s="13" t="s">
        <v>1818</v>
      </c>
      <c r="C1037" s="13" t="s">
        <v>1778</v>
      </c>
      <c r="D1037" s="15">
        <v>10196.44</v>
      </c>
    </row>
    <row r="1038" spans="1:4" x14ac:dyDescent="0.25">
      <c r="A1038" s="11">
        <v>45778</v>
      </c>
      <c r="B1038" s="10" t="s">
        <v>1818</v>
      </c>
      <c r="C1038" s="10" t="s">
        <v>1780</v>
      </c>
      <c r="D1038" s="12">
        <v>3250.64</v>
      </c>
    </row>
    <row r="1039" spans="1:4" x14ac:dyDescent="0.25">
      <c r="A1039" s="14">
        <v>45778</v>
      </c>
      <c r="B1039" s="13" t="s">
        <v>1786</v>
      </c>
      <c r="C1039" s="13" t="s">
        <v>1786</v>
      </c>
      <c r="D1039" s="15">
        <v>10951.34</v>
      </c>
    </row>
    <row r="1040" spans="1:4" x14ac:dyDescent="0.25">
      <c r="A1040" s="11">
        <v>45778</v>
      </c>
      <c r="B1040" s="10" t="s">
        <v>1792</v>
      </c>
      <c r="C1040" s="10" t="s">
        <v>1780</v>
      </c>
      <c r="D1040" s="12">
        <v>10652.51</v>
      </c>
    </row>
    <row r="1041" spans="1:4" x14ac:dyDescent="0.25">
      <c r="A1041" s="14">
        <v>45778</v>
      </c>
      <c r="B1041" s="13" t="s">
        <v>1877</v>
      </c>
      <c r="C1041" s="13" t="s">
        <v>1786</v>
      </c>
      <c r="D1041" s="15">
        <v>13217.73</v>
      </c>
    </row>
    <row r="1042" spans="1:4" x14ac:dyDescent="0.25">
      <c r="A1042" s="11">
        <v>45778</v>
      </c>
      <c r="B1042" s="10" t="s">
        <v>1799</v>
      </c>
      <c r="C1042" s="10" t="s">
        <v>1792</v>
      </c>
      <c r="D1042" s="12">
        <v>7153.61</v>
      </c>
    </row>
    <row r="1043" spans="1:4" x14ac:dyDescent="0.25">
      <c r="A1043" s="14">
        <v>45778</v>
      </c>
      <c r="B1043" s="13" t="s">
        <v>1799</v>
      </c>
      <c r="C1043" s="13" t="s">
        <v>1795</v>
      </c>
      <c r="D1043" s="15">
        <v>3138.46</v>
      </c>
    </row>
    <row r="1044" spans="1:4" x14ac:dyDescent="0.25">
      <c r="A1044" s="11">
        <v>45778</v>
      </c>
      <c r="B1044" s="10" t="s">
        <v>1774</v>
      </c>
      <c r="C1044" s="10" t="s">
        <v>1783</v>
      </c>
      <c r="D1044" s="12">
        <v>17740.7</v>
      </c>
    </row>
    <row r="1045" spans="1:4" x14ac:dyDescent="0.25">
      <c r="A1045" s="14">
        <v>45778</v>
      </c>
      <c r="B1045" s="13" t="s">
        <v>1877</v>
      </c>
      <c r="C1045" s="13" t="s">
        <v>1795</v>
      </c>
      <c r="D1045" s="15">
        <v>3951.85</v>
      </c>
    </row>
    <row r="1046" spans="1:4" x14ac:dyDescent="0.25">
      <c r="A1046" s="11">
        <v>45778</v>
      </c>
      <c r="B1046" s="10" t="s">
        <v>1786</v>
      </c>
      <c r="C1046" s="10" t="s">
        <v>1778</v>
      </c>
      <c r="D1046" s="12">
        <v>17086.580000000002</v>
      </c>
    </row>
    <row r="1047" spans="1:4" x14ac:dyDescent="0.25">
      <c r="A1047" s="14">
        <v>45778</v>
      </c>
      <c r="B1047" s="13" t="s">
        <v>1786</v>
      </c>
      <c r="C1047" s="13" t="s">
        <v>1783</v>
      </c>
      <c r="D1047" s="15">
        <v>15215.89</v>
      </c>
    </row>
    <row r="1048" spans="1:4" x14ac:dyDescent="0.25">
      <c r="A1048" s="11">
        <v>45778</v>
      </c>
      <c r="B1048" s="10" t="s">
        <v>1792</v>
      </c>
      <c r="C1048" s="10" t="s">
        <v>1775</v>
      </c>
      <c r="D1048" s="12">
        <v>85203.19</v>
      </c>
    </row>
    <row r="1049" spans="1:4" x14ac:dyDescent="0.25">
      <c r="A1049" s="14">
        <v>45778</v>
      </c>
      <c r="B1049" s="13" t="s">
        <v>1792</v>
      </c>
      <c r="C1049" s="13" t="s">
        <v>1789</v>
      </c>
      <c r="D1049" s="15">
        <v>9722.99</v>
      </c>
    </row>
    <row r="1050" spans="1:4" x14ac:dyDescent="0.25">
      <c r="A1050" s="11">
        <v>45778</v>
      </c>
      <c r="B1050" s="10" t="s">
        <v>1774</v>
      </c>
      <c r="C1050" s="10" t="s">
        <v>1797</v>
      </c>
      <c r="D1050" s="12">
        <v>7000.18</v>
      </c>
    </row>
    <row r="1051" spans="1:4" x14ac:dyDescent="0.25">
      <c r="A1051" s="14">
        <v>45778</v>
      </c>
      <c r="B1051" s="13" t="s">
        <v>1799</v>
      </c>
      <c r="C1051" s="13" t="s">
        <v>1780</v>
      </c>
      <c r="D1051" s="15">
        <v>4391.75</v>
      </c>
    </row>
    <row r="1052" spans="1:4" x14ac:dyDescent="0.25">
      <c r="A1052" s="11">
        <v>45778</v>
      </c>
      <c r="B1052" s="10" t="s">
        <v>1862</v>
      </c>
      <c r="C1052" s="10" t="s">
        <v>1778</v>
      </c>
      <c r="D1052" s="12">
        <v>9945.19</v>
      </c>
    </row>
    <row r="1053" spans="1:4" x14ac:dyDescent="0.25">
      <c r="A1053" s="14">
        <v>45778</v>
      </c>
      <c r="B1053" s="13" t="s">
        <v>1818</v>
      </c>
      <c r="C1053" s="13" t="s">
        <v>1786</v>
      </c>
      <c r="D1053" s="15">
        <v>6805.08</v>
      </c>
    </row>
    <row r="1054" spans="1:4" x14ac:dyDescent="0.25">
      <c r="A1054" s="11">
        <v>45778</v>
      </c>
      <c r="B1054" s="10" t="s">
        <v>1786</v>
      </c>
      <c r="C1054" s="10" t="s">
        <v>1795</v>
      </c>
      <c r="D1054" s="12">
        <v>4533.01</v>
      </c>
    </row>
    <row r="1055" spans="1:4" x14ac:dyDescent="0.25">
      <c r="A1055" s="14">
        <v>45778</v>
      </c>
      <c r="B1055" s="13" t="s">
        <v>1786</v>
      </c>
      <c r="C1055" s="13" t="s">
        <v>1780</v>
      </c>
      <c r="D1055" s="15">
        <v>6001.8</v>
      </c>
    </row>
    <row r="1056" spans="1:4" x14ac:dyDescent="0.25">
      <c r="A1056" s="11">
        <v>45778</v>
      </c>
      <c r="B1056" s="10" t="s">
        <v>1792</v>
      </c>
      <c r="C1056" s="10" t="s">
        <v>1786</v>
      </c>
      <c r="D1056" s="12">
        <v>12895.95</v>
      </c>
    </row>
    <row r="1057" spans="1:4" x14ac:dyDescent="0.25">
      <c r="A1057" s="14">
        <v>45778</v>
      </c>
      <c r="B1057" s="13" t="s">
        <v>1862</v>
      </c>
      <c r="C1057" s="13" t="s">
        <v>1797</v>
      </c>
      <c r="D1057" s="15">
        <v>2355.98</v>
      </c>
    </row>
    <row r="1058" spans="1:4" x14ac:dyDescent="0.25">
      <c r="A1058" s="11">
        <v>45778</v>
      </c>
      <c r="B1058" s="10" t="s">
        <v>1818</v>
      </c>
      <c r="C1058" s="10" t="s">
        <v>1795</v>
      </c>
      <c r="D1058" s="12">
        <v>2428.64</v>
      </c>
    </row>
    <row r="1059" spans="1:4" x14ac:dyDescent="0.25">
      <c r="A1059" s="14">
        <v>45778</v>
      </c>
      <c r="B1059" s="13" t="s">
        <v>1877</v>
      </c>
      <c r="C1059" s="13" t="s">
        <v>1778</v>
      </c>
      <c r="D1059" s="15">
        <v>15717.82</v>
      </c>
    </row>
    <row r="1060" spans="1:4" x14ac:dyDescent="0.25">
      <c r="A1060" s="11">
        <v>45778</v>
      </c>
      <c r="B1060" s="10" t="s">
        <v>1877</v>
      </c>
      <c r="C1060" s="10" t="s">
        <v>1775</v>
      </c>
      <c r="D1060" s="12">
        <v>66483.820000000007</v>
      </c>
    </row>
    <row r="1061" spans="1:4" x14ac:dyDescent="0.25">
      <c r="A1061" s="14">
        <v>45778</v>
      </c>
      <c r="B1061" s="13" t="s">
        <v>1862</v>
      </c>
      <c r="C1061" s="13" t="s">
        <v>1786</v>
      </c>
      <c r="D1061" s="15">
        <v>6992.58</v>
      </c>
    </row>
    <row r="1062" spans="1:4" x14ac:dyDescent="0.25">
      <c r="A1062" s="11">
        <v>45778</v>
      </c>
      <c r="B1062" s="10" t="s">
        <v>1862</v>
      </c>
      <c r="C1062" s="10" t="s">
        <v>1792</v>
      </c>
      <c r="D1062" s="12">
        <v>6974.08</v>
      </c>
    </row>
    <row r="1063" spans="1:4" x14ac:dyDescent="0.25">
      <c r="A1063" s="14">
        <v>45778</v>
      </c>
      <c r="B1063" s="13" t="s">
        <v>1818</v>
      </c>
      <c r="C1063" s="13" t="s">
        <v>1797</v>
      </c>
      <c r="D1063" s="15">
        <v>2819.67</v>
      </c>
    </row>
    <row r="1064" spans="1:4" x14ac:dyDescent="0.25">
      <c r="A1064" s="11">
        <v>45778</v>
      </c>
      <c r="B1064" s="10" t="s">
        <v>1774</v>
      </c>
      <c r="C1064" s="10" t="s">
        <v>1778</v>
      </c>
      <c r="D1064" s="12">
        <v>19596.310000000001</v>
      </c>
    </row>
    <row r="1065" spans="1:4" x14ac:dyDescent="0.25">
      <c r="A1065" s="14">
        <v>45778</v>
      </c>
      <c r="B1065" s="13" t="s">
        <v>1862</v>
      </c>
      <c r="C1065" s="13" t="s">
        <v>1795</v>
      </c>
      <c r="D1065" s="15">
        <v>3126.85</v>
      </c>
    </row>
    <row r="1066" spans="1:4" x14ac:dyDescent="0.25">
      <c r="A1066" s="11">
        <v>45778</v>
      </c>
      <c r="B1066" s="10" t="s">
        <v>1877</v>
      </c>
      <c r="C1066" s="10" t="s">
        <v>1783</v>
      </c>
      <c r="D1066" s="12">
        <v>13873.96</v>
      </c>
    </row>
    <row r="1067" spans="1:4" x14ac:dyDescent="0.25">
      <c r="A1067" s="14">
        <v>45778</v>
      </c>
      <c r="B1067" s="13" t="s">
        <v>1877</v>
      </c>
      <c r="C1067" s="13" t="s">
        <v>1780</v>
      </c>
      <c r="D1067" s="15">
        <v>7715.56</v>
      </c>
    </row>
    <row r="1068" spans="1:4" x14ac:dyDescent="0.25">
      <c r="A1068" s="11">
        <v>45778</v>
      </c>
      <c r="B1068" s="10" t="s">
        <v>1799</v>
      </c>
      <c r="C1068" s="10" t="s">
        <v>1783</v>
      </c>
      <c r="D1068" s="12">
        <v>8339.6299999999992</v>
      </c>
    </row>
    <row r="1069" spans="1:4" x14ac:dyDescent="0.25">
      <c r="A1069" s="14">
        <v>45778</v>
      </c>
      <c r="B1069" s="13" t="s">
        <v>1877</v>
      </c>
      <c r="C1069" s="13" t="s">
        <v>1792</v>
      </c>
      <c r="D1069" s="15">
        <v>10307.17</v>
      </c>
    </row>
    <row r="1070" spans="1:4" x14ac:dyDescent="0.25">
      <c r="A1070" s="11">
        <v>45778</v>
      </c>
      <c r="B1070" s="10" t="s">
        <v>1862</v>
      </c>
      <c r="C1070" s="10" t="s">
        <v>1780</v>
      </c>
      <c r="D1070" s="12">
        <v>4326.4799999999996</v>
      </c>
    </row>
    <row r="1071" spans="1:4" x14ac:dyDescent="0.25">
      <c r="A1071" s="14">
        <v>45778</v>
      </c>
      <c r="B1071" s="13" t="s">
        <v>1774</v>
      </c>
      <c r="C1071" s="13" t="s">
        <v>1789</v>
      </c>
      <c r="D1071" s="15">
        <v>10629.89</v>
      </c>
    </row>
    <row r="1072" spans="1:4" x14ac:dyDescent="0.25">
      <c r="A1072" s="11">
        <v>45778</v>
      </c>
      <c r="B1072" s="10" t="s">
        <v>1792</v>
      </c>
      <c r="C1072" s="10" t="s">
        <v>1792</v>
      </c>
      <c r="D1072" s="12">
        <v>15973.2</v>
      </c>
    </row>
    <row r="1073" spans="1:4" x14ac:dyDescent="0.25">
      <c r="A1073" s="14">
        <v>45809</v>
      </c>
      <c r="B1073" s="13" t="s">
        <v>1862</v>
      </c>
      <c r="C1073" s="13" t="s">
        <v>1783</v>
      </c>
      <c r="D1073" s="15">
        <v>7624.38</v>
      </c>
    </row>
    <row r="1074" spans="1:4" x14ac:dyDescent="0.25">
      <c r="A1074" s="11">
        <v>45809</v>
      </c>
      <c r="B1074" s="10" t="s">
        <v>1818</v>
      </c>
      <c r="C1074" s="10" t="s">
        <v>1797</v>
      </c>
      <c r="D1074" s="12">
        <v>2521.8000000000002</v>
      </c>
    </row>
    <row r="1075" spans="1:4" x14ac:dyDescent="0.25">
      <c r="A1075" s="14">
        <v>45809</v>
      </c>
      <c r="B1075" s="13" t="s">
        <v>1818</v>
      </c>
      <c r="C1075" s="13" t="s">
        <v>1789</v>
      </c>
      <c r="D1075" s="15">
        <v>3148.3</v>
      </c>
    </row>
    <row r="1076" spans="1:4" x14ac:dyDescent="0.25">
      <c r="A1076" s="11">
        <v>45809</v>
      </c>
      <c r="B1076" s="10" t="s">
        <v>1799</v>
      </c>
      <c r="C1076" s="10" t="s">
        <v>1775</v>
      </c>
      <c r="D1076" s="12">
        <v>54106.36</v>
      </c>
    </row>
    <row r="1077" spans="1:4" x14ac:dyDescent="0.25">
      <c r="A1077" s="14">
        <v>45809</v>
      </c>
      <c r="B1077" s="13" t="s">
        <v>1774</v>
      </c>
      <c r="C1077" s="13" t="s">
        <v>1775</v>
      </c>
      <c r="D1077" s="15">
        <v>121870.09</v>
      </c>
    </row>
    <row r="1078" spans="1:4" x14ac:dyDescent="0.25">
      <c r="A1078" s="11">
        <v>45809</v>
      </c>
      <c r="B1078" s="10" t="s">
        <v>1792</v>
      </c>
      <c r="C1078" s="10" t="s">
        <v>1792</v>
      </c>
      <c r="D1078" s="12">
        <v>15038.07</v>
      </c>
    </row>
    <row r="1079" spans="1:4" x14ac:dyDescent="0.25">
      <c r="A1079" s="14">
        <v>45809</v>
      </c>
      <c r="B1079" s="13" t="s">
        <v>1774</v>
      </c>
      <c r="C1079" s="13" t="s">
        <v>1795</v>
      </c>
      <c r="D1079" s="15">
        <v>7202.8</v>
      </c>
    </row>
    <row r="1080" spans="1:4" x14ac:dyDescent="0.25">
      <c r="A1080" s="11">
        <v>45809</v>
      </c>
      <c r="B1080" s="10" t="s">
        <v>1877</v>
      </c>
      <c r="C1080" s="10" t="s">
        <v>1786</v>
      </c>
      <c r="D1080" s="12">
        <v>11644.91</v>
      </c>
    </row>
    <row r="1081" spans="1:4" x14ac:dyDescent="0.25">
      <c r="A1081" s="14">
        <v>45809</v>
      </c>
      <c r="B1081" s="13" t="s">
        <v>1877</v>
      </c>
      <c r="C1081" s="13" t="s">
        <v>1780</v>
      </c>
      <c r="D1081" s="15">
        <v>5419.28</v>
      </c>
    </row>
    <row r="1082" spans="1:4" x14ac:dyDescent="0.25">
      <c r="A1082" s="11">
        <v>45809</v>
      </c>
      <c r="B1082" s="10" t="s">
        <v>1799</v>
      </c>
      <c r="C1082" s="10" t="s">
        <v>1786</v>
      </c>
      <c r="D1082" s="12">
        <v>7148.41</v>
      </c>
    </row>
    <row r="1083" spans="1:4" x14ac:dyDescent="0.25">
      <c r="A1083" s="14">
        <v>45809</v>
      </c>
      <c r="B1083" s="13" t="s">
        <v>1786</v>
      </c>
      <c r="C1083" s="13" t="s">
        <v>1783</v>
      </c>
      <c r="D1083" s="15">
        <v>10940.14</v>
      </c>
    </row>
    <row r="1084" spans="1:4" x14ac:dyDescent="0.25">
      <c r="A1084" s="11">
        <v>45809</v>
      </c>
      <c r="B1084" s="10" t="s">
        <v>1799</v>
      </c>
      <c r="C1084" s="10" t="s">
        <v>1783</v>
      </c>
      <c r="D1084" s="12">
        <v>9133.9699999999993</v>
      </c>
    </row>
    <row r="1085" spans="1:4" x14ac:dyDescent="0.25">
      <c r="A1085" s="14">
        <v>45809</v>
      </c>
      <c r="B1085" s="13" t="s">
        <v>1799</v>
      </c>
      <c r="C1085" s="13" t="s">
        <v>1780</v>
      </c>
      <c r="D1085" s="15">
        <v>6163.28</v>
      </c>
    </row>
    <row r="1086" spans="1:4" x14ac:dyDescent="0.25">
      <c r="A1086" s="11">
        <v>45809</v>
      </c>
      <c r="B1086" s="10" t="s">
        <v>1877</v>
      </c>
      <c r="C1086" s="10" t="s">
        <v>1795</v>
      </c>
      <c r="D1086" s="12">
        <v>4543.59</v>
      </c>
    </row>
    <row r="1087" spans="1:4" x14ac:dyDescent="0.25">
      <c r="A1087" s="14">
        <v>45809</v>
      </c>
      <c r="B1087" s="13" t="s">
        <v>1774</v>
      </c>
      <c r="C1087" s="13" t="s">
        <v>1797</v>
      </c>
      <c r="D1087" s="15">
        <v>6716.71</v>
      </c>
    </row>
    <row r="1088" spans="1:4" x14ac:dyDescent="0.25">
      <c r="A1088" s="11">
        <v>45809</v>
      </c>
      <c r="B1088" s="10" t="s">
        <v>1774</v>
      </c>
      <c r="C1088" s="10" t="s">
        <v>1778</v>
      </c>
      <c r="D1088" s="12">
        <v>21658.31</v>
      </c>
    </row>
    <row r="1089" spans="1:4" x14ac:dyDescent="0.25">
      <c r="A1089" s="14">
        <v>45809</v>
      </c>
      <c r="B1089" s="13" t="s">
        <v>1792</v>
      </c>
      <c r="C1089" s="13" t="s">
        <v>1797</v>
      </c>
      <c r="D1089" s="15">
        <v>6887.27</v>
      </c>
    </row>
    <row r="1090" spans="1:4" x14ac:dyDescent="0.25">
      <c r="A1090" s="11">
        <v>45809</v>
      </c>
      <c r="B1090" s="10" t="s">
        <v>1877</v>
      </c>
      <c r="C1090" s="10" t="s">
        <v>1778</v>
      </c>
      <c r="D1090" s="12">
        <v>14090.96</v>
      </c>
    </row>
    <row r="1091" spans="1:4" x14ac:dyDescent="0.25">
      <c r="A1091" s="14">
        <v>45809</v>
      </c>
      <c r="B1091" s="13" t="s">
        <v>1862</v>
      </c>
      <c r="C1091" s="13" t="s">
        <v>1775</v>
      </c>
      <c r="D1091" s="15">
        <v>38918.75</v>
      </c>
    </row>
    <row r="1092" spans="1:4" x14ac:dyDescent="0.25">
      <c r="A1092" s="11">
        <v>45809</v>
      </c>
      <c r="B1092" s="10" t="s">
        <v>1818</v>
      </c>
      <c r="C1092" s="10" t="s">
        <v>1786</v>
      </c>
      <c r="D1092" s="12">
        <v>7328.49</v>
      </c>
    </row>
    <row r="1093" spans="1:4" x14ac:dyDescent="0.25">
      <c r="A1093" s="14">
        <v>45809</v>
      </c>
      <c r="B1093" s="13" t="s">
        <v>1799</v>
      </c>
      <c r="C1093" s="13" t="s">
        <v>1792</v>
      </c>
      <c r="D1093" s="15">
        <v>9612.73</v>
      </c>
    </row>
    <row r="1094" spans="1:4" x14ac:dyDescent="0.25">
      <c r="A1094" s="11">
        <v>45809</v>
      </c>
      <c r="B1094" s="10" t="s">
        <v>1792</v>
      </c>
      <c r="C1094" s="10" t="s">
        <v>1795</v>
      </c>
      <c r="D1094" s="12">
        <v>6029.05</v>
      </c>
    </row>
    <row r="1095" spans="1:4" x14ac:dyDescent="0.25">
      <c r="A1095" s="14">
        <v>45809</v>
      </c>
      <c r="B1095" s="13" t="s">
        <v>1774</v>
      </c>
      <c r="C1095" s="13" t="s">
        <v>1789</v>
      </c>
      <c r="D1095" s="15">
        <v>9467.4599999999991</v>
      </c>
    </row>
    <row r="1096" spans="1:4" x14ac:dyDescent="0.25">
      <c r="A1096" s="11">
        <v>45809</v>
      </c>
      <c r="B1096" s="10" t="s">
        <v>1792</v>
      </c>
      <c r="C1096" s="10" t="s">
        <v>1780</v>
      </c>
      <c r="D1096" s="12">
        <v>9749.64</v>
      </c>
    </row>
    <row r="1097" spans="1:4" x14ac:dyDescent="0.25">
      <c r="A1097" s="14">
        <v>45809</v>
      </c>
      <c r="B1097" s="13" t="s">
        <v>1877</v>
      </c>
      <c r="C1097" s="13" t="s">
        <v>1792</v>
      </c>
      <c r="D1097" s="15">
        <v>11626.11</v>
      </c>
    </row>
    <row r="1098" spans="1:4" x14ac:dyDescent="0.25">
      <c r="A1098" s="11">
        <v>45809</v>
      </c>
      <c r="B1098" s="10" t="s">
        <v>1862</v>
      </c>
      <c r="C1098" s="10" t="s">
        <v>1786</v>
      </c>
      <c r="D1098" s="12">
        <v>6887.6</v>
      </c>
    </row>
    <row r="1099" spans="1:4" x14ac:dyDescent="0.25">
      <c r="A1099" s="14">
        <v>45809</v>
      </c>
      <c r="B1099" s="13" t="s">
        <v>1818</v>
      </c>
      <c r="C1099" s="13" t="s">
        <v>1778</v>
      </c>
      <c r="D1099" s="15">
        <v>6727.47</v>
      </c>
    </row>
    <row r="1100" spans="1:4" x14ac:dyDescent="0.25">
      <c r="A1100" s="11">
        <v>45809</v>
      </c>
      <c r="B1100" s="10" t="s">
        <v>1786</v>
      </c>
      <c r="C1100" s="10" t="s">
        <v>1775</v>
      </c>
      <c r="D1100" s="12">
        <v>97890.52</v>
      </c>
    </row>
    <row r="1101" spans="1:4" x14ac:dyDescent="0.25">
      <c r="A1101" s="14">
        <v>45809</v>
      </c>
      <c r="B1101" s="13" t="s">
        <v>1792</v>
      </c>
      <c r="C1101" s="13" t="s">
        <v>1778</v>
      </c>
      <c r="D1101" s="15">
        <v>19490.59</v>
      </c>
    </row>
    <row r="1102" spans="1:4" x14ac:dyDescent="0.25">
      <c r="A1102" s="11">
        <v>45809</v>
      </c>
      <c r="B1102" s="10" t="s">
        <v>1877</v>
      </c>
      <c r="C1102" s="10" t="s">
        <v>1789</v>
      </c>
      <c r="D1102" s="12">
        <v>5453.8</v>
      </c>
    </row>
    <row r="1103" spans="1:4" x14ac:dyDescent="0.25">
      <c r="A1103" s="14">
        <v>45809</v>
      </c>
      <c r="B1103" s="13" t="s">
        <v>1862</v>
      </c>
      <c r="C1103" s="13" t="s">
        <v>1792</v>
      </c>
      <c r="D1103" s="15">
        <v>8692.43</v>
      </c>
    </row>
    <row r="1104" spans="1:4" x14ac:dyDescent="0.25">
      <c r="A1104" s="11">
        <v>45809</v>
      </c>
      <c r="B1104" s="10" t="s">
        <v>1818</v>
      </c>
      <c r="C1104" s="10" t="s">
        <v>1795</v>
      </c>
      <c r="D1104" s="12">
        <v>2821.91</v>
      </c>
    </row>
    <row r="1105" spans="1:4" x14ac:dyDescent="0.25">
      <c r="A1105" s="14">
        <v>45809</v>
      </c>
      <c r="B1105" s="13" t="s">
        <v>1799</v>
      </c>
      <c r="C1105" s="13" t="s">
        <v>1797</v>
      </c>
      <c r="D1105" s="15">
        <v>2935.18</v>
      </c>
    </row>
    <row r="1106" spans="1:4" x14ac:dyDescent="0.25">
      <c r="A1106" s="11">
        <v>45809</v>
      </c>
      <c r="B1106" s="10" t="s">
        <v>1799</v>
      </c>
      <c r="C1106" s="10" t="s">
        <v>1778</v>
      </c>
      <c r="D1106" s="12">
        <v>9867.3799999999992</v>
      </c>
    </row>
    <row r="1107" spans="1:4" x14ac:dyDescent="0.25">
      <c r="A1107" s="14">
        <v>45809</v>
      </c>
      <c r="B1107" s="13" t="s">
        <v>1792</v>
      </c>
      <c r="C1107" s="13" t="s">
        <v>1786</v>
      </c>
      <c r="D1107" s="15">
        <v>14493.86</v>
      </c>
    </row>
    <row r="1108" spans="1:4" x14ac:dyDescent="0.25">
      <c r="A1108" s="11">
        <v>45809</v>
      </c>
      <c r="B1108" s="10" t="s">
        <v>1862</v>
      </c>
      <c r="C1108" s="10" t="s">
        <v>1795</v>
      </c>
      <c r="D1108" s="12">
        <v>2245.86</v>
      </c>
    </row>
    <row r="1109" spans="1:4" x14ac:dyDescent="0.25">
      <c r="A1109" s="14">
        <v>45809</v>
      </c>
      <c r="B1109" s="13" t="s">
        <v>1774</v>
      </c>
      <c r="C1109" s="13" t="s">
        <v>1792</v>
      </c>
      <c r="D1109" s="15">
        <v>17559.16</v>
      </c>
    </row>
    <row r="1110" spans="1:4" x14ac:dyDescent="0.25">
      <c r="A1110" s="11">
        <v>45809</v>
      </c>
      <c r="B1110" s="10" t="s">
        <v>1877</v>
      </c>
      <c r="C1110" s="10" t="s">
        <v>1775</v>
      </c>
      <c r="D1110" s="12">
        <v>63826.54</v>
      </c>
    </row>
    <row r="1111" spans="1:4" x14ac:dyDescent="0.25">
      <c r="A1111" s="14">
        <v>45809</v>
      </c>
      <c r="B1111" s="13" t="s">
        <v>1799</v>
      </c>
      <c r="C1111" s="13" t="s">
        <v>1795</v>
      </c>
      <c r="D1111" s="15">
        <v>2551.41</v>
      </c>
    </row>
    <row r="1112" spans="1:4" x14ac:dyDescent="0.25">
      <c r="A1112" s="11">
        <v>45809</v>
      </c>
      <c r="B1112" s="10" t="s">
        <v>1786</v>
      </c>
      <c r="C1112" s="10" t="s">
        <v>1792</v>
      </c>
      <c r="D1112" s="12">
        <v>13805.86</v>
      </c>
    </row>
    <row r="1113" spans="1:4" x14ac:dyDescent="0.25">
      <c r="A1113" s="14">
        <v>45809</v>
      </c>
      <c r="B1113" s="13" t="s">
        <v>1786</v>
      </c>
      <c r="C1113" s="13" t="s">
        <v>1778</v>
      </c>
      <c r="D1113" s="15">
        <v>16172.81</v>
      </c>
    </row>
    <row r="1114" spans="1:4" x14ac:dyDescent="0.25">
      <c r="A1114" s="11">
        <v>45809</v>
      </c>
      <c r="B1114" s="10" t="s">
        <v>1818</v>
      </c>
      <c r="C1114" s="10" t="s">
        <v>1775</v>
      </c>
      <c r="D1114" s="12">
        <v>40689.449999999997</v>
      </c>
    </row>
    <row r="1115" spans="1:4" x14ac:dyDescent="0.25">
      <c r="A1115" s="14">
        <v>45809</v>
      </c>
      <c r="B1115" s="13" t="s">
        <v>1786</v>
      </c>
      <c r="C1115" s="13" t="s">
        <v>1789</v>
      </c>
      <c r="D1115" s="15">
        <v>8674.91</v>
      </c>
    </row>
    <row r="1116" spans="1:4" x14ac:dyDescent="0.25">
      <c r="A1116" s="11">
        <v>45809</v>
      </c>
      <c r="B1116" s="10" t="s">
        <v>1792</v>
      </c>
      <c r="C1116" s="10" t="s">
        <v>1775</v>
      </c>
      <c r="D1116" s="12">
        <v>87383.85</v>
      </c>
    </row>
    <row r="1117" spans="1:4" x14ac:dyDescent="0.25">
      <c r="A1117" s="14">
        <v>45809</v>
      </c>
      <c r="B1117" s="13" t="s">
        <v>1792</v>
      </c>
      <c r="C1117" s="13" t="s">
        <v>1783</v>
      </c>
      <c r="D1117" s="15">
        <v>13435.95</v>
      </c>
    </row>
    <row r="1118" spans="1:4" x14ac:dyDescent="0.25">
      <c r="A1118" s="11">
        <v>45809</v>
      </c>
      <c r="B1118" s="10" t="s">
        <v>1862</v>
      </c>
      <c r="C1118" s="10" t="s">
        <v>1780</v>
      </c>
      <c r="D1118" s="12">
        <v>5012.67</v>
      </c>
    </row>
    <row r="1119" spans="1:4" x14ac:dyDescent="0.25">
      <c r="A1119" s="14">
        <v>45809</v>
      </c>
      <c r="B1119" s="13" t="s">
        <v>1774</v>
      </c>
      <c r="C1119" s="13" t="s">
        <v>1786</v>
      </c>
      <c r="D1119" s="15">
        <v>19824.29</v>
      </c>
    </row>
    <row r="1120" spans="1:4" x14ac:dyDescent="0.25">
      <c r="A1120" s="11">
        <v>45809</v>
      </c>
      <c r="B1120" s="10" t="s">
        <v>1786</v>
      </c>
      <c r="C1120" s="10" t="s">
        <v>1797</v>
      </c>
      <c r="D1120" s="12">
        <v>3622.79</v>
      </c>
    </row>
    <row r="1121" spans="1:4" x14ac:dyDescent="0.25">
      <c r="A1121" s="14">
        <v>45809</v>
      </c>
      <c r="B1121" s="13" t="s">
        <v>1862</v>
      </c>
      <c r="C1121" s="13" t="s">
        <v>1778</v>
      </c>
      <c r="D1121" s="15">
        <v>8148.62</v>
      </c>
    </row>
    <row r="1122" spans="1:4" x14ac:dyDescent="0.25">
      <c r="A1122" s="11">
        <v>45809</v>
      </c>
      <c r="B1122" s="10" t="s">
        <v>1786</v>
      </c>
      <c r="C1122" s="10" t="s">
        <v>1795</v>
      </c>
      <c r="D1122" s="12">
        <v>3825.88</v>
      </c>
    </row>
    <row r="1123" spans="1:4" x14ac:dyDescent="0.25">
      <c r="A1123" s="14">
        <v>45809</v>
      </c>
      <c r="B1123" s="13" t="s">
        <v>1786</v>
      </c>
      <c r="C1123" s="13" t="s">
        <v>1780</v>
      </c>
      <c r="D1123" s="15">
        <v>9047.23</v>
      </c>
    </row>
    <row r="1124" spans="1:4" x14ac:dyDescent="0.25">
      <c r="A1124" s="11">
        <v>45809</v>
      </c>
      <c r="B1124" s="10" t="s">
        <v>1774</v>
      </c>
      <c r="C1124" s="10" t="s">
        <v>1780</v>
      </c>
      <c r="D1124" s="12">
        <v>11045.73</v>
      </c>
    </row>
    <row r="1125" spans="1:4" x14ac:dyDescent="0.25">
      <c r="A1125" s="14">
        <v>45809</v>
      </c>
      <c r="B1125" s="13" t="s">
        <v>1786</v>
      </c>
      <c r="C1125" s="13" t="s">
        <v>1786</v>
      </c>
      <c r="D1125" s="15">
        <v>12342.54</v>
      </c>
    </row>
    <row r="1126" spans="1:4" x14ac:dyDescent="0.25">
      <c r="A1126" s="11">
        <v>45809</v>
      </c>
      <c r="B1126" s="10" t="s">
        <v>1862</v>
      </c>
      <c r="C1126" s="10" t="s">
        <v>1789</v>
      </c>
      <c r="D1126" s="12">
        <v>3822.02</v>
      </c>
    </row>
    <row r="1127" spans="1:4" x14ac:dyDescent="0.25">
      <c r="A1127" s="14">
        <v>45809</v>
      </c>
      <c r="B1127" s="13" t="s">
        <v>1877</v>
      </c>
      <c r="C1127" s="13" t="s">
        <v>1797</v>
      </c>
      <c r="D1127" s="15">
        <v>4072.07</v>
      </c>
    </row>
    <row r="1128" spans="1:4" x14ac:dyDescent="0.25">
      <c r="A1128" s="11">
        <v>45809</v>
      </c>
      <c r="B1128" s="10" t="s">
        <v>1877</v>
      </c>
      <c r="C1128" s="10" t="s">
        <v>1783</v>
      </c>
      <c r="D1128" s="12">
        <v>9732.2099999999991</v>
      </c>
    </row>
    <row r="1129" spans="1:4" x14ac:dyDescent="0.25">
      <c r="A1129" s="14">
        <v>45809</v>
      </c>
      <c r="B1129" s="13" t="s">
        <v>1862</v>
      </c>
      <c r="C1129" s="13" t="s">
        <v>1797</v>
      </c>
      <c r="D1129" s="15">
        <v>2454.17</v>
      </c>
    </row>
    <row r="1130" spans="1:4" x14ac:dyDescent="0.25">
      <c r="A1130" s="11">
        <v>45809</v>
      </c>
      <c r="B1130" s="10" t="s">
        <v>1799</v>
      </c>
      <c r="C1130" s="10" t="s">
        <v>1789</v>
      </c>
      <c r="D1130" s="12">
        <v>4022.4</v>
      </c>
    </row>
    <row r="1131" spans="1:4" x14ac:dyDescent="0.25">
      <c r="A1131" s="14">
        <v>45809</v>
      </c>
      <c r="B1131" s="13" t="s">
        <v>1774</v>
      </c>
      <c r="C1131" s="13" t="s">
        <v>1783</v>
      </c>
      <c r="D1131" s="15">
        <v>18877.68</v>
      </c>
    </row>
    <row r="1132" spans="1:4" x14ac:dyDescent="0.25">
      <c r="A1132" s="11">
        <v>45809</v>
      </c>
      <c r="B1132" s="10" t="s">
        <v>1792</v>
      </c>
      <c r="C1132" s="10" t="s">
        <v>1789</v>
      </c>
      <c r="D1132" s="12">
        <v>8192.7999999999993</v>
      </c>
    </row>
    <row r="1133" spans="1:4" x14ac:dyDescent="0.25">
      <c r="A1133" s="14">
        <v>45809</v>
      </c>
      <c r="B1133" s="13" t="s">
        <v>1818</v>
      </c>
      <c r="C1133" s="13" t="s">
        <v>1792</v>
      </c>
      <c r="D1133" s="15">
        <v>7437.06</v>
      </c>
    </row>
    <row r="1134" spans="1:4" x14ac:dyDescent="0.25">
      <c r="A1134" s="11">
        <v>45809</v>
      </c>
      <c r="B1134" s="10" t="s">
        <v>1818</v>
      </c>
      <c r="C1134" s="10" t="s">
        <v>1780</v>
      </c>
      <c r="D1134" s="12">
        <v>3247.04</v>
      </c>
    </row>
    <row r="1135" spans="1:4" x14ac:dyDescent="0.25">
      <c r="A1135" s="14">
        <v>45809</v>
      </c>
      <c r="B1135" s="13" t="s">
        <v>1818</v>
      </c>
      <c r="C1135" s="13" t="s">
        <v>1783</v>
      </c>
      <c r="D1135" s="15">
        <v>5312.73</v>
      </c>
    </row>
    <row r="1136" spans="1:4" x14ac:dyDescent="0.25">
      <c r="A1136" s="11">
        <v>45839</v>
      </c>
      <c r="B1136" s="10" t="s">
        <v>1786</v>
      </c>
      <c r="C1136" s="10" t="s">
        <v>1789</v>
      </c>
      <c r="D1136" s="12">
        <v>7352.1</v>
      </c>
    </row>
    <row r="1137" spans="1:4" x14ac:dyDescent="0.25">
      <c r="A1137" s="14">
        <v>45839</v>
      </c>
      <c r="B1137" s="13" t="s">
        <v>1818</v>
      </c>
      <c r="C1137" s="13" t="s">
        <v>1775</v>
      </c>
      <c r="D1137" s="15">
        <v>30993.75</v>
      </c>
    </row>
    <row r="1138" spans="1:4" x14ac:dyDescent="0.25">
      <c r="A1138" s="11">
        <v>45839</v>
      </c>
      <c r="B1138" s="10" t="s">
        <v>1799</v>
      </c>
      <c r="C1138" s="10" t="s">
        <v>1778</v>
      </c>
      <c r="D1138" s="12">
        <v>9252.27</v>
      </c>
    </row>
    <row r="1139" spans="1:4" x14ac:dyDescent="0.25">
      <c r="A1139" s="14">
        <v>45839</v>
      </c>
      <c r="B1139" s="13" t="s">
        <v>1774</v>
      </c>
      <c r="C1139" s="13" t="s">
        <v>1780</v>
      </c>
      <c r="D1139" s="15">
        <v>11648.94</v>
      </c>
    </row>
    <row r="1140" spans="1:4" x14ac:dyDescent="0.25">
      <c r="A1140" s="11">
        <v>45839</v>
      </c>
      <c r="B1140" s="10" t="s">
        <v>1862</v>
      </c>
      <c r="C1140" s="10" t="s">
        <v>1792</v>
      </c>
      <c r="D1140" s="12">
        <v>5667.06</v>
      </c>
    </row>
    <row r="1141" spans="1:4" x14ac:dyDescent="0.25">
      <c r="A1141" s="14">
        <v>45839</v>
      </c>
      <c r="B1141" s="13" t="s">
        <v>1786</v>
      </c>
      <c r="C1141" s="13" t="s">
        <v>1775</v>
      </c>
      <c r="D1141" s="15">
        <v>65382.400000000001</v>
      </c>
    </row>
    <row r="1142" spans="1:4" x14ac:dyDescent="0.25">
      <c r="A1142" s="11">
        <v>45839</v>
      </c>
      <c r="B1142" s="10" t="s">
        <v>1877</v>
      </c>
      <c r="C1142" s="10" t="s">
        <v>1783</v>
      </c>
      <c r="D1142" s="12">
        <v>11292.33</v>
      </c>
    </row>
    <row r="1143" spans="1:4" x14ac:dyDescent="0.25">
      <c r="A1143" s="14">
        <v>45839</v>
      </c>
      <c r="B1143" s="13" t="s">
        <v>1786</v>
      </c>
      <c r="C1143" s="13" t="s">
        <v>1792</v>
      </c>
      <c r="D1143" s="15">
        <v>10398.16</v>
      </c>
    </row>
    <row r="1144" spans="1:4" x14ac:dyDescent="0.25">
      <c r="A1144" s="11">
        <v>45839</v>
      </c>
      <c r="B1144" s="10" t="s">
        <v>1792</v>
      </c>
      <c r="C1144" s="10" t="s">
        <v>1783</v>
      </c>
      <c r="D1144" s="12">
        <v>15333.27</v>
      </c>
    </row>
    <row r="1145" spans="1:4" x14ac:dyDescent="0.25">
      <c r="A1145" s="14">
        <v>45839</v>
      </c>
      <c r="B1145" s="13" t="s">
        <v>1862</v>
      </c>
      <c r="C1145" s="13" t="s">
        <v>1775</v>
      </c>
      <c r="D1145" s="15">
        <v>38555.96</v>
      </c>
    </row>
    <row r="1146" spans="1:4" x14ac:dyDescent="0.25">
      <c r="A1146" s="11">
        <v>45839</v>
      </c>
      <c r="B1146" s="10" t="s">
        <v>1774</v>
      </c>
      <c r="C1146" s="10" t="s">
        <v>1783</v>
      </c>
      <c r="D1146" s="12">
        <v>19465.72</v>
      </c>
    </row>
    <row r="1147" spans="1:4" x14ac:dyDescent="0.25">
      <c r="A1147" s="14">
        <v>45839</v>
      </c>
      <c r="B1147" s="13" t="s">
        <v>1862</v>
      </c>
      <c r="C1147" s="13" t="s">
        <v>1778</v>
      </c>
      <c r="D1147" s="15">
        <v>8523.74</v>
      </c>
    </row>
    <row r="1148" spans="1:4" x14ac:dyDescent="0.25">
      <c r="A1148" s="11">
        <v>45839</v>
      </c>
      <c r="B1148" s="10" t="s">
        <v>1799</v>
      </c>
      <c r="C1148" s="10" t="s">
        <v>1783</v>
      </c>
      <c r="D1148" s="12">
        <v>6218.93</v>
      </c>
    </row>
    <row r="1149" spans="1:4" x14ac:dyDescent="0.25">
      <c r="A1149" s="14">
        <v>45839</v>
      </c>
      <c r="B1149" s="13" t="s">
        <v>1774</v>
      </c>
      <c r="C1149" s="13" t="s">
        <v>1775</v>
      </c>
      <c r="D1149" s="15">
        <v>82507.820000000007</v>
      </c>
    </row>
    <row r="1150" spans="1:4" x14ac:dyDescent="0.25">
      <c r="A1150" s="11">
        <v>45839</v>
      </c>
      <c r="B1150" s="10" t="s">
        <v>1786</v>
      </c>
      <c r="C1150" s="10" t="s">
        <v>1778</v>
      </c>
      <c r="D1150" s="12">
        <v>13552.11</v>
      </c>
    </row>
    <row r="1151" spans="1:4" x14ac:dyDescent="0.25">
      <c r="A1151" s="14">
        <v>45839</v>
      </c>
      <c r="B1151" s="13" t="s">
        <v>1877</v>
      </c>
      <c r="C1151" s="13" t="s">
        <v>1778</v>
      </c>
      <c r="D1151" s="15">
        <v>15732.82</v>
      </c>
    </row>
    <row r="1152" spans="1:4" x14ac:dyDescent="0.25">
      <c r="A1152" s="11">
        <v>45839</v>
      </c>
      <c r="B1152" s="10" t="s">
        <v>1818</v>
      </c>
      <c r="C1152" s="10" t="s">
        <v>1797</v>
      </c>
      <c r="D1152" s="12">
        <v>2232.34</v>
      </c>
    </row>
    <row r="1153" spans="1:4" x14ac:dyDescent="0.25">
      <c r="A1153" s="14">
        <v>45839</v>
      </c>
      <c r="B1153" s="13" t="s">
        <v>1774</v>
      </c>
      <c r="C1153" s="13" t="s">
        <v>1795</v>
      </c>
      <c r="D1153" s="15">
        <v>6226.86</v>
      </c>
    </row>
    <row r="1154" spans="1:4" x14ac:dyDescent="0.25">
      <c r="A1154" s="11">
        <v>45839</v>
      </c>
      <c r="B1154" s="10" t="s">
        <v>1786</v>
      </c>
      <c r="C1154" s="10" t="s">
        <v>1786</v>
      </c>
      <c r="D1154" s="12">
        <v>16812.71</v>
      </c>
    </row>
    <row r="1155" spans="1:4" x14ac:dyDescent="0.25">
      <c r="A1155" s="14">
        <v>45839</v>
      </c>
      <c r="B1155" s="13" t="s">
        <v>1792</v>
      </c>
      <c r="C1155" s="13" t="s">
        <v>1786</v>
      </c>
      <c r="D1155" s="15">
        <v>14760.46</v>
      </c>
    </row>
    <row r="1156" spans="1:4" x14ac:dyDescent="0.25">
      <c r="A1156" s="11">
        <v>45839</v>
      </c>
      <c r="B1156" s="10" t="s">
        <v>1818</v>
      </c>
      <c r="C1156" s="10" t="s">
        <v>1792</v>
      </c>
      <c r="D1156" s="12">
        <v>6270.52</v>
      </c>
    </row>
    <row r="1157" spans="1:4" x14ac:dyDescent="0.25">
      <c r="A1157" s="14">
        <v>45839</v>
      </c>
      <c r="B1157" s="13" t="s">
        <v>1786</v>
      </c>
      <c r="C1157" s="13" t="s">
        <v>1780</v>
      </c>
      <c r="D1157" s="15">
        <v>7735.71</v>
      </c>
    </row>
    <row r="1158" spans="1:4" x14ac:dyDescent="0.25">
      <c r="A1158" s="11">
        <v>45839</v>
      </c>
      <c r="B1158" s="10" t="s">
        <v>1792</v>
      </c>
      <c r="C1158" s="10" t="s">
        <v>1780</v>
      </c>
      <c r="D1158" s="12">
        <v>10701.46</v>
      </c>
    </row>
    <row r="1159" spans="1:4" x14ac:dyDescent="0.25">
      <c r="A1159" s="14">
        <v>45839</v>
      </c>
      <c r="B1159" s="13" t="s">
        <v>1877</v>
      </c>
      <c r="C1159" s="13" t="s">
        <v>1786</v>
      </c>
      <c r="D1159" s="15">
        <v>11301.54</v>
      </c>
    </row>
    <row r="1160" spans="1:4" x14ac:dyDescent="0.25">
      <c r="A1160" s="11">
        <v>45839</v>
      </c>
      <c r="B1160" s="10" t="s">
        <v>1818</v>
      </c>
      <c r="C1160" s="10" t="s">
        <v>1789</v>
      </c>
      <c r="D1160" s="12">
        <v>3012.38</v>
      </c>
    </row>
    <row r="1161" spans="1:4" x14ac:dyDescent="0.25">
      <c r="A1161" s="14">
        <v>45839</v>
      </c>
      <c r="B1161" s="13" t="s">
        <v>1774</v>
      </c>
      <c r="C1161" s="13" t="s">
        <v>1786</v>
      </c>
      <c r="D1161" s="15">
        <v>15427.81</v>
      </c>
    </row>
    <row r="1162" spans="1:4" x14ac:dyDescent="0.25">
      <c r="A1162" s="11">
        <v>45839</v>
      </c>
      <c r="B1162" s="10" t="s">
        <v>1774</v>
      </c>
      <c r="C1162" s="10" t="s">
        <v>1778</v>
      </c>
      <c r="D1162" s="12">
        <v>23804.62</v>
      </c>
    </row>
    <row r="1163" spans="1:4" x14ac:dyDescent="0.25">
      <c r="A1163" s="14">
        <v>45839</v>
      </c>
      <c r="B1163" s="13" t="s">
        <v>1774</v>
      </c>
      <c r="C1163" s="13" t="s">
        <v>1789</v>
      </c>
      <c r="D1163" s="15">
        <v>8690.11</v>
      </c>
    </row>
    <row r="1164" spans="1:4" x14ac:dyDescent="0.25">
      <c r="A1164" s="11">
        <v>45839</v>
      </c>
      <c r="B1164" s="10" t="s">
        <v>1818</v>
      </c>
      <c r="C1164" s="10" t="s">
        <v>1778</v>
      </c>
      <c r="D1164" s="12">
        <v>7493.06</v>
      </c>
    </row>
    <row r="1165" spans="1:4" x14ac:dyDescent="0.25">
      <c r="A1165" s="14">
        <v>45839</v>
      </c>
      <c r="B1165" s="13" t="s">
        <v>1799</v>
      </c>
      <c r="C1165" s="13" t="s">
        <v>1797</v>
      </c>
      <c r="D1165" s="15">
        <v>2687.48</v>
      </c>
    </row>
    <row r="1166" spans="1:4" x14ac:dyDescent="0.25">
      <c r="A1166" s="11">
        <v>45839</v>
      </c>
      <c r="B1166" s="10" t="s">
        <v>1792</v>
      </c>
      <c r="C1166" s="10" t="s">
        <v>1775</v>
      </c>
      <c r="D1166" s="12">
        <v>71220.33</v>
      </c>
    </row>
    <row r="1167" spans="1:4" x14ac:dyDescent="0.25">
      <c r="A1167" s="14">
        <v>45839</v>
      </c>
      <c r="B1167" s="13" t="s">
        <v>1877</v>
      </c>
      <c r="C1167" s="13" t="s">
        <v>1795</v>
      </c>
      <c r="D1167" s="15">
        <v>4026.92</v>
      </c>
    </row>
    <row r="1168" spans="1:4" x14ac:dyDescent="0.25">
      <c r="A1168" s="11">
        <v>45839</v>
      </c>
      <c r="B1168" s="10" t="s">
        <v>1774</v>
      </c>
      <c r="C1168" s="10" t="s">
        <v>1797</v>
      </c>
      <c r="D1168" s="12">
        <v>6599.44</v>
      </c>
    </row>
    <row r="1169" spans="1:4" x14ac:dyDescent="0.25">
      <c r="A1169" s="14">
        <v>45839</v>
      </c>
      <c r="B1169" s="13" t="s">
        <v>1818</v>
      </c>
      <c r="C1169" s="13" t="s">
        <v>1783</v>
      </c>
      <c r="D1169" s="15">
        <v>6348.45</v>
      </c>
    </row>
    <row r="1170" spans="1:4" x14ac:dyDescent="0.25">
      <c r="A1170" s="11">
        <v>45839</v>
      </c>
      <c r="B1170" s="10" t="s">
        <v>1818</v>
      </c>
      <c r="C1170" s="10" t="s">
        <v>1780</v>
      </c>
      <c r="D1170" s="12">
        <v>4026.76</v>
      </c>
    </row>
    <row r="1171" spans="1:4" x14ac:dyDescent="0.25">
      <c r="A1171" s="14">
        <v>45839</v>
      </c>
      <c r="B1171" s="13" t="s">
        <v>1799</v>
      </c>
      <c r="C1171" s="13" t="s">
        <v>1775</v>
      </c>
      <c r="D1171" s="15">
        <v>53754.55</v>
      </c>
    </row>
    <row r="1172" spans="1:4" x14ac:dyDescent="0.25">
      <c r="A1172" s="11">
        <v>45839</v>
      </c>
      <c r="B1172" s="10" t="s">
        <v>1799</v>
      </c>
      <c r="C1172" s="10" t="s">
        <v>1780</v>
      </c>
      <c r="D1172" s="12">
        <v>4259.1499999999996</v>
      </c>
    </row>
    <row r="1173" spans="1:4" x14ac:dyDescent="0.25">
      <c r="A1173" s="14">
        <v>45839</v>
      </c>
      <c r="B1173" s="13" t="s">
        <v>1786</v>
      </c>
      <c r="C1173" s="13" t="s">
        <v>1795</v>
      </c>
      <c r="D1173" s="15">
        <v>4545.74</v>
      </c>
    </row>
    <row r="1174" spans="1:4" x14ac:dyDescent="0.25">
      <c r="A1174" s="11">
        <v>45839</v>
      </c>
      <c r="B1174" s="10" t="s">
        <v>1799</v>
      </c>
      <c r="C1174" s="10" t="s">
        <v>1786</v>
      </c>
      <c r="D1174" s="12">
        <v>6929.1</v>
      </c>
    </row>
    <row r="1175" spans="1:4" x14ac:dyDescent="0.25">
      <c r="A1175" s="14">
        <v>45839</v>
      </c>
      <c r="B1175" s="13" t="s">
        <v>1786</v>
      </c>
      <c r="C1175" s="13" t="s">
        <v>1797</v>
      </c>
      <c r="D1175" s="15">
        <v>4231.8999999999996</v>
      </c>
    </row>
    <row r="1176" spans="1:4" x14ac:dyDescent="0.25">
      <c r="A1176" s="11">
        <v>45839</v>
      </c>
      <c r="B1176" s="10" t="s">
        <v>1792</v>
      </c>
      <c r="C1176" s="10" t="s">
        <v>1797</v>
      </c>
      <c r="D1176" s="12">
        <v>5326.73</v>
      </c>
    </row>
    <row r="1177" spans="1:4" x14ac:dyDescent="0.25">
      <c r="A1177" s="14">
        <v>45839</v>
      </c>
      <c r="B1177" s="13" t="s">
        <v>1792</v>
      </c>
      <c r="C1177" s="13" t="s">
        <v>1789</v>
      </c>
      <c r="D1177" s="15">
        <v>10956.79</v>
      </c>
    </row>
    <row r="1178" spans="1:4" x14ac:dyDescent="0.25">
      <c r="A1178" s="11">
        <v>45839</v>
      </c>
      <c r="B1178" s="10" t="s">
        <v>1862</v>
      </c>
      <c r="C1178" s="10" t="s">
        <v>1797</v>
      </c>
      <c r="D1178" s="12">
        <v>2128.15</v>
      </c>
    </row>
    <row r="1179" spans="1:4" x14ac:dyDescent="0.25">
      <c r="A1179" s="14">
        <v>45839</v>
      </c>
      <c r="B1179" s="13" t="s">
        <v>1877</v>
      </c>
      <c r="C1179" s="13" t="s">
        <v>1789</v>
      </c>
      <c r="D1179" s="15">
        <v>5233.6499999999996</v>
      </c>
    </row>
    <row r="1180" spans="1:4" x14ac:dyDescent="0.25">
      <c r="A1180" s="11">
        <v>45839</v>
      </c>
      <c r="B1180" s="10" t="s">
        <v>1877</v>
      </c>
      <c r="C1180" s="10" t="s">
        <v>1780</v>
      </c>
      <c r="D1180" s="12">
        <v>8448.0499999999993</v>
      </c>
    </row>
    <row r="1181" spans="1:4" x14ac:dyDescent="0.25">
      <c r="A1181" s="14">
        <v>45839</v>
      </c>
      <c r="B1181" s="13" t="s">
        <v>1818</v>
      </c>
      <c r="C1181" s="13" t="s">
        <v>1786</v>
      </c>
      <c r="D1181" s="15">
        <v>5758.03</v>
      </c>
    </row>
    <row r="1182" spans="1:4" x14ac:dyDescent="0.25">
      <c r="A1182" s="11">
        <v>45839</v>
      </c>
      <c r="B1182" s="10" t="s">
        <v>1792</v>
      </c>
      <c r="C1182" s="10" t="s">
        <v>1795</v>
      </c>
      <c r="D1182" s="12">
        <v>5676.11</v>
      </c>
    </row>
    <row r="1183" spans="1:4" x14ac:dyDescent="0.25">
      <c r="A1183" s="14">
        <v>45839</v>
      </c>
      <c r="B1183" s="13" t="s">
        <v>1877</v>
      </c>
      <c r="C1183" s="13" t="s">
        <v>1797</v>
      </c>
      <c r="D1183" s="15">
        <v>3807.39</v>
      </c>
    </row>
    <row r="1184" spans="1:4" x14ac:dyDescent="0.25">
      <c r="A1184" s="11">
        <v>45839</v>
      </c>
      <c r="B1184" s="10" t="s">
        <v>1877</v>
      </c>
      <c r="C1184" s="10" t="s">
        <v>1775</v>
      </c>
      <c r="D1184" s="12">
        <v>60917.52</v>
      </c>
    </row>
    <row r="1185" spans="1:4" x14ac:dyDescent="0.25">
      <c r="A1185" s="14">
        <v>45839</v>
      </c>
      <c r="B1185" s="13" t="s">
        <v>1862</v>
      </c>
      <c r="C1185" s="13" t="s">
        <v>1780</v>
      </c>
      <c r="D1185" s="15">
        <v>4483.66</v>
      </c>
    </row>
    <row r="1186" spans="1:4" x14ac:dyDescent="0.25">
      <c r="A1186" s="11">
        <v>45839</v>
      </c>
      <c r="B1186" s="10" t="s">
        <v>1818</v>
      </c>
      <c r="C1186" s="10" t="s">
        <v>1795</v>
      </c>
      <c r="D1186" s="12">
        <v>2126.42</v>
      </c>
    </row>
    <row r="1187" spans="1:4" x14ac:dyDescent="0.25">
      <c r="A1187" s="14">
        <v>45839</v>
      </c>
      <c r="B1187" s="13" t="s">
        <v>1774</v>
      </c>
      <c r="C1187" s="13" t="s">
        <v>1792</v>
      </c>
      <c r="D1187" s="15">
        <v>15956.22</v>
      </c>
    </row>
    <row r="1188" spans="1:4" x14ac:dyDescent="0.25">
      <c r="A1188" s="11">
        <v>45839</v>
      </c>
      <c r="B1188" s="10" t="s">
        <v>1792</v>
      </c>
      <c r="C1188" s="10" t="s">
        <v>1792</v>
      </c>
      <c r="D1188" s="12">
        <v>16858.82</v>
      </c>
    </row>
    <row r="1189" spans="1:4" x14ac:dyDescent="0.25">
      <c r="A1189" s="14">
        <v>45839</v>
      </c>
      <c r="B1189" s="13" t="s">
        <v>1877</v>
      </c>
      <c r="C1189" s="13" t="s">
        <v>1792</v>
      </c>
      <c r="D1189" s="15">
        <v>8929.2000000000007</v>
      </c>
    </row>
    <row r="1190" spans="1:4" x14ac:dyDescent="0.25">
      <c r="A1190" s="11">
        <v>45839</v>
      </c>
      <c r="B1190" s="10" t="s">
        <v>1862</v>
      </c>
      <c r="C1190" s="10" t="s">
        <v>1795</v>
      </c>
      <c r="D1190" s="12">
        <v>3095.9</v>
      </c>
    </row>
    <row r="1191" spans="1:4" x14ac:dyDescent="0.25">
      <c r="A1191" s="14">
        <v>45839</v>
      </c>
      <c r="B1191" s="13" t="s">
        <v>1862</v>
      </c>
      <c r="C1191" s="13" t="s">
        <v>1789</v>
      </c>
      <c r="D1191" s="15">
        <v>3559.67</v>
      </c>
    </row>
    <row r="1192" spans="1:4" x14ac:dyDescent="0.25">
      <c r="A1192" s="11">
        <v>45839</v>
      </c>
      <c r="B1192" s="10" t="s">
        <v>1799</v>
      </c>
      <c r="C1192" s="10" t="s">
        <v>1795</v>
      </c>
      <c r="D1192" s="12">
        <v>2961.96</v>
      </c>
    </row>
    <row r="1193" spans="1:4" x14ac:dyDescent="0.25">
      <c r="A1193" s="14">
        <v>45839</v>
      </c>
      <c r="B1193" s="13" t="s">
        <v>1786</v>
      </c>
      <c r="C1193" s="13" t="s">
        <v>1783</v>
      </c>
      <c r="D1193" s="15">
        <v>10226.870000000001</v>
      </c>
    </row>
    <row r="1194" spans="1:4" x14ac:dyDescent="0.25">
      <c r="A1194" s="11">
        <v>45839</v>
      </c>
      <c r="B1194" s="10" t="s">
        <v>1862</v>
      </c>
      <c r="C1194" s="10" t="s">
        <v>1783</v>
      </c>
      <c r="D1194" s="12">
        <v>6943.33</v>
      </c>
    </row>
    <row r="1195" spans="1:4" x14ac:dyDescent="0.25">
      <c r="A1195" s="14">
        <v>45839</v>
      </c>
      <c r="B1195" s="13" t="s">
        <v>1799</v>
      </c>
      <c r="C1195" s="13" t="s">
        <v>1792</v>
      </c>
      <c r="D1195" s="15">
        <v>6688.44</v>
      </c>
    </row>
    <row r="1196" spans="1:4" x14ac:dyDescent="0.25">
      <c r="A1196" s="11">
        <v>45839</v>
      </c>
      <c r="B1196" s="10" t="s">
        <v>1862</v>
      </c>
      <c r="C1196" s="10" t="s">
        <v>1786</v>
      </c>
      <c r="D1196" s="12">
        <v>6867.6</v>
      </c>
    </row>
    <row r="1197" spans="1:4" x14ac:dyDescent="0.25">
      <c r="A1197" s="14">
        <v>45839</v>
      </c>
      <c r="B1197" s="13" t="s">
        <v>1799</v>
      </c>
      <c r="C1197" s="13" t="s">
        <v>1789</v>
      </c>
      <c r="D1197" s="15">
        <v>4636.8</v>
      </c>
    </row>
    <row r="1198" spans="1:4" x14ac:dyDescent="0.25">
      <c r="A1198" s="11">
        <v>45839</v>
      </c>
      <c r="B1198" s="10" t="s">
        <v>1792</v>
      </c>
      <c r="C1198" s="10" t="s">
        <v>1778</v>
      </c>
      <c r="D1198" s="12">
        <v>15144.16</v>
      </c>
    </row>
    <row r="1199" spans="1:4" x14ac:dyDescent="0.25">
      <c r="A1199" s="14">
        <v>45870</v>
      </c>
      <c r="B1199" s="13" t="s">
        <v>1862</v>
      </c>
      <c r="C1199" s="13" t="s">
        <v>1786</v>
      </c>
      <c r="D1199" s="15">
        <v>8036.94</v>
      </c>
    </row>
    <row r="1200" spans="1:4" x14ac:dyDescent="0.25">
      <c r="A1200" s="11">
        <v>45870</v>
      </c>
      <c r="B1200" s="10" t="s">
        <v>1799</v>
      </c>
      <c r="C1200" s="10" t="s">
        <v>1795</v>
      </c>
      <c r="D1200" s="12">
        <v>2555.88</v>
      </c>
    </row>
    <row r="1201" spans="1:4" x14ac:dyDescent="0.25">
      <c r="A1201" s="14">
        <v>45870</v>
      </c>
      <c r="B1201" s="13" t="s">
        <v>1774</v>
      </c>
      <c r="C1201" s="13" t="s">
        <v>1795</v>
      </c>
      <c r="D1201" s="15">
        <v>6807.56</v>
      </c>
    </row>
    <row r="1202" spans="1:4" x14ac:dyDescent="0.25">
      <c r="A1202" s="11">
        <v>45870</v>
      </c>
      <c r="B1202" s="10" t="s">
        <v>1792</v>
      </c>
      <c r="C1202" s="10" t="s">
        <v>1775</v>
      </c>
      <c r="D1202" s="12">
        <v>67587.14</v>
      </c>
    </row>
    <row r="1203" spans="1:4" x14ac:dyDescent="0.25">
      <c r="A1203" s="14">
        <v>45870</v>
      </c>
      <c r="B1203" s="13" t="s">
        <v>1792</v>
      </c>
      <c r="C1203" s="13" t="s">
        <v>1783</v>
      </c>
      <c r="D1203" s="15">
        <v>15595.86</v>
      </c>
    </row>
    <row r="1204" spans="1:4" x14ac:dyDescent="0.25">
      <c r="A1204" s="11">
        <v>45870</v>
      </c>
      <c r="B1204" s="10" t="s">
        <v>1774</v>
      </c>
      <c r="C1204" s="10" t="s">
        <v>1775</v>
      </c>
      <c r="D1204" s="12">
        <v>107736.92</v>
      </c>
    </row>
    <row r="1205" spans="1:4" x14ac:dyDescent="0.25">
      <c r="A1205" s="14">
        <v>45870</v>
      </c>
      <c r="B1205" s="13" t="s">
        <v>1786</v>
      </c>
      <c r="C1205" s="13" t="s">
        <v>1780</v>
      </c>
      <c r="D1205" s="15">
        <v>6797.85</v>
      </c>
    </row>
    <row r="1206" spans="1:4" x14ac:dyDescent="0.25">
      <c r="A1206" s="11">
        <v>45870</v>
      </c>
      <c r="B1206" s="10" t="s">
        <v>1877</v>
      </c>
      <c r="C1206" s="10" t="s">
        <v>1789</v>
      </c>
      <c r="D1206" s="12">
        <v>5564.05</v>
      </c>
    </row>
    <row r="1207" spans="1:4" x14ac:dyDescent="0.25">
      <c r="A1207" s="14">
        <v>45870</v>
      </c>
      <c r="B1207" s="13" t="s">
        <v>1799</v>
      </c>
      <c r="C1207" s="13" t="s">
        <v>1797</v>
      </c>
      <c r="D1207" s="15">
        <v>2141.3000000000002</v>
      </c>
    </row>
    <row r="1208" spans="1:4" x14ac:dyDescent="0.25">
      <c r="A1208" s="11">
        <v>45870</v>
      </c>
      <c r="B1208" s="10" t="s">
        <v>1799</v>
      </c>
      <c r="C1208" s="10" t="s">
        <v>1778</v>
      </c>
      <c r="D1208" s="12">
        <v>8861.6</v>
      </c>
    </row>
    <row r="1209" spans="1:4" x14ac:dyDescent="0.25">
      <c r="A1209" s="14">
        <v>45870</v>
      </c>
      <c r="B1209" s="13" t="s">
        <v>1799</v>
      </c>
      <c r="C1209" s="13" t="s">
        <v>1780</v>
      </c>
      <c r="D1209" s="15">
        <v>4265.33</v>
      </c>
    </row>
    <row r="1210" spans="1:4" x14ac:dyDescent="0.25">
      <c r="A1210" s="11">
        <v>45870</v>
      </c>
      <c r="B1210" s="10" t="s">
        <v>1774</v>
      </c>
      <c r="C1210" s="10" t="s">
        <v>1780</v>
      </c>
      <c r="D1210" s="12">
        <v>10511.54</v>
      </c>
    </row>
    <row r="1211" spans="1:4" x14ac:dyDescent="0.25">
      <c r="A1211" s="14">
        <v>45870</v>
      </c>
      <c r="B1211" s="13" t="s">
        <v>1862</v>
      </c>
      <c r="C1211" s="13" t="s">
        <v>1795</v>
      </c>
      <c r="D1211" s="15">
        <v>2105.98</v>
      </c>
    </row>
    <row r="1212" spans="1:4" x14ac:dyDescent="0.25">
      <c r="A1212" s="11">
        <v>45870</v>
      </c>
      <c r="B1212" s="10" t="s">
        <v>1786</v>
      </c>
      <c r="C1212" s="10" t="s">
        <v>1778</v>
      </c>
      <c r="D1212" s="12">
        <v>15135.62</v>
      </c>
    </row>
    <row r="1213" spans="1:4" x14ac:dyDescent="0.25">
      <c r="A1213" s="14">
        <v>45870</v>
      </c>
      <c r="B1213" s="13" t="s">
        <v>1786</v>
      </c>
      <c r="C1213" s="13" t="s">
        <v>1783</v>
      </c>
      <c r="D1213" s="15">
        <v>12363.76</v>
      </c>
    </row>
    <row r="1214" spans="1:4" x14ac:dyDescent="0.25">
      <c r="A1214" s="11">
        <v>45870</v>
      </c>
      <c r="B1214" s="10" t="s">
        <v>1792</v>
      </c>
      <c r="C1214" s="10" t="s">
        <v>1792</v>
      </c>
      <c r="D1214" s="12">
        <v>14801.19</v>
      </c>
    </row>
    <row r="1215" spans="1:4" x14ac:dyDescent="0.25">
      <c r="A1215" s="14">
        <v>45870</v>
      </c>
      <c r="B1215" s="13" t="s">
        <v>1877</v>
      </c>
      <c r="C1215" s="13" t="s">
        <v>1792</v>
      </c>
      <c r="D1215" s="15">
        <v>9211.49</v>
      </c>
    </row>
    <row r="1216" spans="1:4" x14ac:dyDescent="0.25">
      <c r="A1216" s="11">
        <v>45870</v>
      </c>
      <c r="B1216" s="10" t="s">
        <v>1818</v>
      </c>
      <c r="C1216" s="10" t="s">
        <v>1795</v>
      </c>
      <c r="D1216" s="12">
        <v>2202.92</v>
      </c>
    </row>
    <row r="1217" spans="1:4" x14ac:dyDescent="0.25">
      <c r="A1217" s="14">
        <v>45870</v>
      </c>
      <c r="B1217" s="13" t="s">
        <v>1774</v>
      </c>
      <c r="C1217" s="13" t="s">
        <v>1778</v>
      </c>
      <c r="D1217" s="15">
        <v>24546.86</v>
      </c>
    </row>
    <row r="1218" spans="1:4" x14ac:dyDescent="0.25">
      <c r="A1218" s="11">
        <v>45870</v>
      </c>
      <c r="B1218" s="10" t="s">
        <v>1818</v>
      </c>
      <c r="C1218" s="10" t="s">
        <v>1786</v>
      </c>
      <c r="D1218" s="12">
        <v>6269.96</v>
      </c>
    </row>
    <row r="1219" spans="1:4" x14ac:dyDescent="0.25">
      <c r="A1219" s="14">
        <v>45870</v>
      </c>
      <c r="B1219" s="13" t="s">
        <v>1799</v>
      </c>
      <c r="C1219" s="13" t="s">
        <v>1789</v>
      </c>
      <c r="D1219" s="15">
        <v>3707.33</v>
      </c>
    </row>
    <row r="1220" spans="1:4" x14ac:dyDescent="0.25">
      <c r="A1220" s="11">
        <v>45870</v>
      </c>
      <c r="B1220" s="10" t="s">
        <v>1774</v>
      </c>
      <c r="C1220" s="10" t="s">
        <v>1792</v>
      </c>
      <c r="D1220" s="12">
        <v>16999.36</v>
      </c>
    </row>
    <row r="1221" spans="1:4" x14ac:dyDescent="0.25">
      <c r="A1221" s="14">
        <v>45870</v>
      </c>
      <c r="B1221" s="13" t="s">
        <v>1877</v>
      </c>
      <c r="C1221" s="13" t="s">
        <v>1786</v>
      </c>
      <c r="D1221" s="15">
        <v>9720.4699999999993</v>
      </c>
    </row>
    <row r="1222" spans="1:4" x14ac:dyDescent="0.25">
      <c r="A1222" s="11">
        <v>45870</v>
      </c>
      <c r="B1222" s="10" t="s">
        <v>1862</v>
      </c>
      <c r="C1222" s="10" t="s">
        <v>1775</v>
      </c>
      <c r="D1222" s="12">
        <v>38726.720000000001</v>
      </c>
    </row>
    <row r="1223" spans="1:4" x14ac:dyDescent="0.25">
      <c r="A1223" s="14">
        <v>45870</v>
      </c>
      <c r="B1223" s="13" t="s">
        <v>1877</v>
      </c>
      <c r="C1223" s="13" t="s">
        <v>1775</v>
      </c>
      <c r="D1223" s="15">
        <v>60697.279999999999</v>
      </c>
    </row>
    <row r="1224" spans="1:4" x14ac:dyDescent="0.25">
      <c r="A1224" s="11">
        <v>45870</v>
      </c>
      <c r="B1224" s="10" t="s">
        <v>1799</v>
      </c>
      <c r="C1224" s="10" t="s">
        <v>1786</v>
      </c>
      <c r="D1224" s="12">
        <v>6626.92</v>
      </c>
    </row>
    <row r="1225" spans="1:4" x14ac:dyDescent="0.25">
      <c r="A1225" s="14">
        <v>45870</v>
      </c>
      <c r="B1225" s="13" t="s">
        <v>1774</v>
      </c>
      <c r="C1225" s="13" t="s">
        <v>1786</v>
      </c>
      <c r="D1225" s="15">
        <v>14219.95</v>
      </c>
    </row>
    <row r="1226" spans="1:4" x14ac:dyDescent="0.25">
      <c r="A1226" s="11">
        <v>45870</v>
      </c>
      <c r="B1226" s="10" t="s">
        <v>1792</v>
      </c>
      <c r="C1226" s="10" t="s">
        <v>1795</v>
      </c>
      <c r="D1226" s="12">
        <v>4749.41</v>
      </c>
    </row>
    <row r="1227" spans="1:4" x14ac:dyDescent="0.25">
      <c r="A1227" s="14">
        <v>45870</v>
      </c>
      <c r="B1227" s="13" t="s">
        <v>1799</v>
      </c>
      <c r="C1227" s="13" t="s">
        <v>1783</v>
      </c>
      <c r="D1227" s="15">
        <v>7132.7</v>
      </c>
    </row>
    <row r="1228" spans="1:4" x14ac:dyDescent="0.25">
      <c r="A1228" s="11">
        <v>45870</v>
      </c>
      <c r="B1228" s="10" t="s">
        <v>1786</v>
      </c>
      <c r="C1228" s="10" t="s">
        <v>1775</v>
      </c>
      <c r="D1228" s="12">
        <v>68828.34</v>
      </c>
    </row>
    <row r="1229" spans="1:4" x14ac:dyDescent="0.25">
      <c r="A1229" s="14">
        <v>45870</v>
      </c>
      <c r="B1229" s="13" t="s">
        <v>1818</v>
      </c>
      <c r="C1229" s="13" t="s">
        <v>1797</v>
      </c>
      <c r="D1229" s="15">
        <v>2119.96</v>
      </c>
    </row>
    <row r="1230" spans="1:4" x14ac:dyDescent="0.25">
      <c r="A1230" s="11">
        <v>45870</v>
      </c>
      <c r="B1230" s="10" t="s">
        <v>1818</v>
      </c>
      <c r="C1230" s="10" t="s">
        <v>1783</v>
      </c>
      <c r="D1230" s="12">
        <v>6390.12</v>
      </c>
    </row>
    <row r="1231" spans="1:4" x14ac:dyDescent="0.25">
      <c r="A1231" s="14">
        <v>45870</v>
      </c>
      <c r="B1231" s="13" t="s">
        <v>1877</v>
      </c>
      <c r="C1231" s="13" t="s">
        <v>1783</v>
      </c>
      <c r="D1231" s="15">
        <v>8406.4699999999993</v>
      </c>
    </row>
    <row r="1232" spans="1:4" x14ac:dyDescent="0.25">
      <c r="A1232" s="11">
        <v>45870</v>
      </c>
      <c r="B1232" s="10" t="s">
        <v>1862</v>
      </c>
      <c r="C1232" s="10" t="s">
        <v>1792</v>
      </c>
      <c r="D1232" s="12">
        <v>6810.05</v>
      </c>
    </row>
    <row r="1233" spans="1:4" x14ac:dyDescent="0.25">
      <c r="A1233" s="14">
        <v>45870</v>
      </c>
      <c r="B1233" s="13" t="s">
        <v>1818</v>
      </c>
      <c r="C1233" s="13" t="s">
        <v>1778</v>
      </c>
      <c r="D1233" s="15">
        <v>5813.36</v>
      </c>
    </row>
    <row r="1234" spans="1:4" x14ac:dyDescent="0.25">
      <c r="A1234" s="11">
        <v>45870</v>
      </c>
      <c r="B1234" s="10" t="s">
        <v>1818</v>
      </c>
      <c r="C1234" s="10" t="s">
        <v>1789</v>
      </c>
      <c r="D1234" s="12">
        <v>3316.75</v>
      </c>
    </row>
    <row r="1235" spans="1:4" x14ac:dyDescent="0.25">
      <c r="A1235" s="14">
        <v>45870</v>
      </c>
      <c r="B1235" s="13" t="s">
        <v>1774</v>
      </c>
      <c r="C1235" s="13" t="s">
        <v>1789</v>
      </c>
      <c r="D1235" s="15">
        <v>11716.03</v>
      </c>
    </row>
    <row r="1236" spans="1:4" x14ac:dyDescent="0.25">
      <c r="A1236" s="11">
        <v>45870</v>
      </c>
      <c r="B1236" s="10" t="s">
        <v>1786</v>
      </c>
      <c r="C1236" s="10" t="s">
        <v>1789</v>
      </c>
      <c r="D1236" s="12">
        <v>7302.45</v>
      </c>
    </row>
    <row r="1237" spans="1:4" x14ac:dyDescent="0.25">
      <c r="A1237" s="14">
        <v>45870</v>
      </c>
      <c r="B1237" s="13" t="s">
        <v>1877</v>
      </c>
      <c r="C1237" s="13" t="s">
        <v>1795</v>
      </c>
      <c r="D1237" s="15">
        <v>3100.63</v>
      </c>
    </row>
    <row r="1238" spans="1:4" x14ac:dyDescent="0.25">
      <c r="A1238" s="11">
        <v>45870</v>
      </c>
      <c r="B1238" s="10" t="s">
        <v>1877</v>
      </c>
      <c r="C1238" s="10" t="s">
        <v>1780</v>
      </c>
      <c r="D1238" s="12">
        <v>6792.21</v>
      </c>
    </row>
    <row r="1239" spans="1:4" x14ac:dyDescent="0.25">
      <c r="A1239" s="14">
        <v>45870</v>
      </c>
      <c r="B1239" s="13" t="s">
        <v>1818</v>
      </c>
      <c r="C1239" s="13" t="s">
        <v>1780</v>
      </c>
      <c r="D1239" s="15">
        <v>4393.82</v>
      </c>
    </row>
    <row r="1240" spans="1:4" x14ac:dyDescent="0.25">
      <c r="A1240" s="11">
        <v>45870</v>
      </c>
      <c r="B1240" s="10" t="s">
        <v>1862</v>
      </c>
      <c r="C1240" s="10" t="s">
        <v>1780</v>
      </c>
      <c r="D1240" s="12">
        <v>3327.19</v>
      </c>
    </row>
    <row r="1241" spans="1:4" x14ac:dyDescent="0.25">
      <c r="A1241" s="14">
        <v>45870</v>
      </c>
      <c r="B1241" s="13" t="s">
        <v>1818</v>
      </c>
      <c r="C1241" s="13" t="s">
        <v>1792</v>
      </c>
      <c r="D1241" s="15">
        <v>7002.14</v>
      </c>
    </row>
    <row r="1242" spans="1:4" x14ac:dyDescent="0.25">
      <c r="A1242" s="11">
        <v>45870</v>
      </c>
      <c r="B1242" s="10" t="s">
        <v>1799</v>
      </c>
      <c r="C1242" s="10" t="s">
        <v>1775</v>
      </c>
      <c r="D1242" s="12">
        <v>43001.84</v>
      </c>
    </row>
    <row r="1243" spans="1:4" x14ac:dyDescent="0.25">
      <c r="A1243" s="14">
        <v>45870</v>
      </c>
      <c r="B1243" s="13" t="s">
        <v>1786</v>
      </c>
      <c r="C1243" s="13" t="s">
        <v>1786</v>
      </c>
      <c r="D1243" s="15">
        <v>13049.32</v>
      </c>
    </row>
    <row r="1244" spans="1:4" x14ac:dyDescent="0.25">
      <c r="A1244" s="11">
        <v>45870</v>
      </c>
      <c r="B1244" s="10" t="s">
        <v>1786</v>
      </c>
      <c r="C1244" s="10" t="s">
        <v>1795</v>
      </c>
      <c r="D1244" s="12">
        <v>4478.62</v>
      </c>
    </row>
    <row r="1245" spans="1:4" x14ac:dyDescent="0.25">
      <c r="A1245" s="14">
        <v>45870</v>
      </c>
      <c r="B1245" s="13" t="s">
        <v>1792</v>
      </c>
      <c r="C1245" s="13" t="s">
        <v>1778</v>
      </c>
      <c r="D1245" s="15">
        <v>14886.9</v>
      </c>
    </row>
    <row r="1246" spans="1:4" x14ac:dyDescent="0.25">
      <c r="A1246" s="11">
        <v>45870</v>
      </c>
      <c r="B1246" s="10" t="s">
        <v>1818</v>
      </c>
      <c r="C1246" s="10" t="s">
        <v>1775</v>
      </c>
      <c r="D1246" s="12">
        <v>42551.55</v>
      </c>
    </row>
    <row r="1247" spans="1:4" x14ac:dyDescent="0.25">
      <c r="A1247" s="14">
        <v>45870</v>
      </c>
      <c r="B1247" s="13" t="s">
        <v>1774</v>
      </c>
      <c r="C1247" s="13" t="s">
        <v>1797</v>
      </c>
      <c r="D1247" s="15">
        <v>5388.98</v>
      </c>
    </row>
    <row r="1248" spans="1:4" x14ac:dyDescent="0.25">
      <c r="A1248" s="11">
        <v>45870</v>
      </c>
      <c r="B1248" s="10" t="s">
        <v>1799</v>
      </c>
      <c r="C1248" s="10" t="s">
        <v>1792</v>
      </c>
      <c r="D1248" s="12">
        <v>6396.71</v>
      </c>
    </row>
    <row r="1249" spans="1:4" x14ac:dyDescent="0.25">
      <c r="A1249" s="14">
        <v>45870</v>
      </c>
      <c r="B1249" s="13" t="s">
        <v>1792</v>
      </c>
      <c r="C1249" s="13" t="s">
        <v>1780</v>
      </c>
      <c r="D1249" s="15">
        <v>7883.51</v>
      </c>
    </row>
    <row r="1250" spans="1:4" x14ac:dyDescent="0.25">
      <c r="A1250" s="11">
        <v>45870</v>
      </c>
      <c r="B1250" s="10" t="s">
        <v>1862</v>
      </c>
      <c r="C1250" s="10" t="s">
        <v>1789</v>
      </c>
      <c r="D1250" s="12">
        <v>3889.53</v>
      </c>
    </row>
    <row r="1251" spans="1:4" x14ac:dyDescent="0.25">
      <c r="A1251" s="14">
        <v>45870</v>
      </c>
      <c r="B1251" s="13" t="s">
        <v>1877</v>
      </c>
      <c r="C1251" s="13" t="s">
        <v>1797</v>
      </c>
      <c r="D1251" s="15">
        <v>3526.59</v>
      </c>
    </row>
    <row r="1252" spans="1:4" x14ac:dyDescent="0.25">
      <c r="A1252" s="11">
        <v>45870</v>
      </c>
      <c r="B1252" s="10" t="s">
        <v>1862</v>
      </c>
      <c r="C1252" s="10" t="s">
        <v>1797</v>
      </c>
      <c r="D1252" s="12">
        <v>2756.83</v>
      </c>
    </row>
    <row r="1253" spans="1:4" x14ac:dyDescent="0.25">
      <c r="A1253" s="14">
        <v>45870</v>
      </c>
      <c r="B1253" s="13" t="s">
        <v>1792</v>
      </c>
      <c r="C1253" s="13" t="s">
        <v>1789</v>
      </c>
      <c r="D1253" s="15">
        <v>7711.67</v>
      </c>
    </row>
    <row r="1254" spans="1:4" x14ac:dyDescent="0.25">
      <c r="A1254" s="11">
        <v>45870</v>
      </c>
      <c r="B1254" s="10" t="s">
        <v>1774</v>
      </c>
      <c r="C1254" s="10" t="s">
        <v>1783</v>
      </c>
      <c r="D1254" s="12">
        <v>18038.13</v>
      </c>
    </row>
    <row r="1255" spans="1:4" x14ac:dyDescent="0.25">
      <c r="A1255" s="14">
        <v>45870</v>
      </c>
      <c r="B1255" s="13" t="s">
        <v>1862</v>
      </c>
      <c r="C1255" s="13" t="s">
        <v>1783</v>
      </c>
      <c r="D1255" s="15">
        <v>7985.84</v>
      </c>
    </row>
    <row r="1256" spans="1:4" x14ac:dyDescent="0.25">
      <c r="A1256" s="11">
        <v>45870</v>
      </c>
      <c r="B1256" s="10" t="s">
        <v>1786</v>
      </c>
      <c r="C1256" s="10" t="s">
        <v>1797</v>
      </c>
      <c r="D1256" s="12">
        <v>3441.54</v>
      </c>
    </row>
    <row r="1257" spans="1:4" x14ac:dyDescent="0.25">
      <c r="A1257" s="14">
        <v>45870</v>
      </c>
      <c r="B1257" s="13" t="s">
        <v>1862</v>
      </c>
      <c r="C1257" s="13" t="s">
        <v>1778</v>
      </c>
      <c r="D1257" s="15">
        <v>9334.3799999999992</v>
      </c>
    </row>
    <row r="1258" spans="1:4" x14ac:dyDescent="0.25">
      <c r="A1258" s="11">
        <v>45870</v>
      </c>
      <c r="B1258" s="10" t="s">
        <v>1786</v>
      </c>
      <c r="C1258" s="10" t="s">
        <v>1792</v>
      </c>
      <c r="D1258" s="12">
        <v>8287.5400000000009</v>
      </c>
    </row>
    <row r="1259" spans="1:4" x14ac:dyDescent="0.25">
      <c r="A1259" s="14">
        <v>45870</v>
      </c>
      <c r="B1259" s="13" t="s">
        <v>1792</v>
      </c>
      <c r="C1259" s="13" t="s">
        <v>1786</v>
      </c>
      <c r="D1259" s="15">
        <v>10950.53</v>
      </c>
    </row>
    <row r="1260" spans="1:4" x14ac:dyDescent="0.25">
      <c r="A1260" s="11">
        <v>45870</v>
      </c>
      <c r="B1260" s="10" t="s">
        <v>1792</v>
      </c>
      <c r="C1260" s="10" t="s">
        <v>1797</v>
      </c>
      <c r="D1260" s="12">
        <v>4478.63</v>
      </c>
    </row>
    <row r="1261" spans="1:4" x14ac:dyDescent="0.25">
      <c r="A1261" s="14">
        <v>45870</v>
      </c>
      <c r="B1261" s="13" t="s">
        <v>1877</v>
      </c>
      <c r="C1261" s="13" t="s">
        <v>1778</v>
      </c>
      <c r="D1261" s="15">
        <v>13566.76</v>
      </c>
    </row>
    <row r="1262" spans="1:4" x14ac:dyDescent="0.25">
      <c r="A1262" s="11">
        <v>45901</v>
      </c>
      <c r="B1262" s="10" t="s">
        <v>1774</v>
      </c>
      <c r="C1262" s="10" t="s">
        <v>1778</v>
      </c>
      <c r="D1262" s="12">
        <v>18522.96</v>
      </c>
    </row>
    <row r="1263" spans="1:4" x14ac:dyDescent="0.25">
      <c r="A1263" s="14">
        <v>45901</v>
      </c>
      <c r="B1263" s="13" t="s">
        <v>1792</v>
      </c>
      <c r="C1263" s="13" t="s">
        <v>1792</v>
      </c>
      <c r="D1263" s="15">
        <v>12426.23</v>
      </c>
    </row>
    <row r="1264" spans="1:4" x14ac:dyDescent="0.25">
      <c r="A1264" s="11">
        <v>45901</v>
      </c>
      <c r="B1264" s="10" t="s">
        <v>1792</v>
      </c>
      <c r="C1264" s="10" t="s">
        <v>1797</v>
      </c>
      <c r="D1264" s="12">
        <v>5547.71</v>
      </c>
    </row>
    <row r="1265" spans="1:4" x14ac:dyDescent="0.25">
      <c r="A1265" s="14">
        <v>45901</v>
      </c>
      <c r="B1265" s="13" t="s">
        <v>1877</v>
      </c>
      <c r="C1265" s="13" t="s">
        <v>1780</v>
      </c>
      <c r="D1265" s="15">
        <v>4924.92</v>
      </c>
    </row>
    <row r="1266" spans="1:4" x14ac:dyDescent="0.25">
      <c r="A1266" s="11">
        <v>45901</v>
      </c>
      <c r="B1266" s="10" t="s">
        <v>1818</v>
      </c>
      <c r="C1266" s="10" t="s">
        <v>1778</v>
      </c>
      <c r="D1266" s="12">
        <v>7154.43</v>
      </c>
    </row>
    <row r="1267" spans="1:4" x14ac:dyDescent="0.25">
      <c r="A1267" s="14">
        <v>45901</v>
      </c>
      <c r="B1267" s="13" t="s">
        <v>1774</v>
      </c>
      <c r="C1267" s="13" t="s">
        <v>1797</v>
      </c>
      <c r="D1267" s="15">
        <v>5152.6899999999996</v>
      </c>
    </row>
    <row r="1268" spans="1:4" x14ac:dyDescent="0.25">
      <c r="A1268" s="11">
        <v>45901</v>
      </c>
      <c r="B1268" s="10" t="s">
        <v>1774</v>
      </c>
      <c r="C1268" s="10" t="s">
        <v>1780</v>
      </c>
      <c r="D1268" s="12">
        <v>9326.33</v>
      </c>
    </row>
    <row r="1269" spans="1:4" x14ac:dyDescent="0.25">
      <c r="A1269" s="14">
        <v>45901</v>
      </c>
      <c r="B1269" s="13" t="s">
        <v>1818</v>
      </c>
      <c r="C1269" s="13" t="s">
        <v>1797</v>
      </c>
      <c r="D1269" s="15">
        <v>2240.37</v>
      </c>
    </row>
    <row r="1270" spans="1:4" x14ac:dyDescent="0.25">
      <c r="A1270" s="11">
        <v>45901</v>
      </c>
      <c r="B1270" s="10" t="s">
        <v>1818</v>
      </c>
      <c r="C1270" s="10" t="s">
        <v>1789</v>
      </c>
      <c r="D1270" s="12">
        <v>3948.37</v>
      </c>
    </row>
    <row r="1271" spans="1:4" x14ac:dyDescent="0.25">
      <c r="A1271" s="14">
        <v>45901</v>
      </c>
      <c r="B1271" s="13" t="s">
        <v>1799</v>
      </c>
      <c r="C1271" s="13" t="s">
        <v>1775</v>
      </c>
      <c r="D1271" s="15">
        <v>41795.120000000003</v>
      </c>
    </row>
    <row r="1272" spans="1:4" x14ac:dyDescent="0.25">
      <c r="A1272" s="11">
        <v>45901</v>
      </c>
      <c r="B1272" s="10" t="s">
        <v>1877</v>
      </c>
      <c r="C1272" s="10" t="s">
        <v>1778</v>
      </c>
      <c r="D1272" s="12">
        <v>12957.11</v>
      </c>
    </row>
    <row r="1273" spans="1:4" x14ac:dyDescent="0.25">
      <c r="A1273" s="14">
        <v>45901</v>
      </c>
      <c r="B1273" s="13" t="s">
        <v>1862</v>
      </c>
      <c r="C1273" s="13" t="s">
        <v>1786</v>
      </c>
      <c r="D1273" s="15">
        <v>6156.09</v>
      </c>
    </row>
    <row r="1274" spans="1:4" x14ac:dyDescent="0.25">
      <c r="A1274" s="11">
        <v>45901</v>
      </c>
      <c r="B1274" s="10" t="s">
        <v>1862</v>
      </c>
      <c r="C1274" s="10" t="s">
        <v>1797</v>
      </c>
      <c r="D1274" s="12">
        <v>2456.9299999999998</v>
      </c>
    </row>
    <row r="1275" spans="1:4" x14ac:dyDescent="0.25">
      <c r="A1275" s="14">
        <v>45901</v>
      </c>
      <c r="B1275" s="13" t="s">
        <v>1799</v>
      </c>
      <c r="C1275" s="13" t="s">
        <v>1786</v>
      </c>
      <c r="D1275" s="15">
        <v>7290.9</v>
      </c>
    </row>
    <row r="1276" spans="1:4" x14ac:dyDescent="0.25">
      <c r="A1276" s="11">
        <v>45901</v>
      </c>
      <c r="B1276" s="10" t="s">
        <v>1799</v>
      </c>
      <c r="C1276" s="10" t="s">
        <v>1778</v>
      </c>
      <c r="D1276" s="12">
        <v>7376.54</v>
      </c>
    </row>
    <row r="1277" spans="1:4" x14ac:dyDescent="0.25">
      <c r="A1277" s="14">
        <v>45901</v>
      </c>
      <c r="B1277" s="13" t="s">
        <v>1774</v>
      </c>
      <c r="C1277" s="13" t="s">
        <v>1795</v>
      </c>
      <c r="D1277" s="15">
        <v>6007.6</v>
      </c>
    </row>
    <row r="1278" spans="1:4" x14ac:dyDescent="0.25">
      <c r="A1278" s="11">
        <v>45901</v>
      </c>
      <c r="B1278" s="10" t="s">
        <v>1774</v>
      </c>
      <c r="C1278" s="10" t="s">
        <v>1789</v>
      </c>
      <c r="D1278" s="12">
        <v>9833.9</v>
      </c>
    </row>
    <row r="1279" spans="1:4" x14ac:dyDescent="0.25">
      <c r="A1279" s="14">
        <v>45901</v>
      </c>
      <c r="B1279" s="13" t="s">
        <v>1786</v>
      </c>
      <c r="C1279" s="13" t="s">
        <v>1778</v>
      </c>
      <c r="D1279" s="15">
        <v>11865.68</v>
      </c>
    </row>
    <row r="1280" spans="1:4" x14ac:dyDescent="0.25">
      <c r="A1280" s="11">
        <v>45901</v>
      </c>
      <c r="B1280" s="10" t="s">
        <v>1877</v>
      </c>
      <c r="C1280" s="10" t="s">
        <v>1786</v>
      </c>
      <c r="D1280" s="12">
        <v>10781.3</v>
      </c>
    </row>
    <row r="1281" spans="1:4" x14ac:dyDescent="0.25">
      <c r="A1281" s="14">
        <v>45901</v>
      </c>
      <c r="B1281" s="13" t="s">
        <v>1877</v>
      </c>
      <c r="C1281" s="13" t="s">
        <v>1797</v>
      </c>
      <c r="D1281" s="15">
        <v>3992.86</v>
      </c>
    </row>
    <row r="1282" spans="1:4" x14ac:dyDescent="0.25">
      <c r="A1282" s="11">
        <v>45901</v>
      </c>
      <c r="B1282" s="10" t="s">
        <v>1877</v>
      </c>
      <c r="C1282" s="10" t="s">
        <v>1789</v>
      </c>
      <c r="D1282" s="12">
        <v>6368.94</v>
      </c>
    </row>
    <row r="1283" spans="1:4" x14ac:dyDescent="0.25">
      <c r="A1283" s="14">
        <v>45901</v>
      </c>
      <c r="B1283" s="13" t="s">
        <v>1862</v>
      </c>
      <c r="C1283" s="13" t="s">
        <v>1783</v>
      </c>
      <c r="D1283" s="15">
        <v>5251.42</v>
      </c>
    </row>
    <row r="1284" spans="1:4" x14ac:dyDescent="0.25">
      <c r="A1284" s="11">
        <v>45901</v>
      </c>
      <c r="B1284" s="10" t="s">
        <v>1786</v>
      </c>
      <c r="C1284" s="10" t="s">
        <v>1797</v>
      </c>
      <c r="D1284" s="12">
        <v>3483.12</v>
      </c>
    </row>
    <row r="1285" spans="1:4" x14ac:dyDescent="0.25">
      <c r="A1285" s="14">
        <v>45901</v>
      </c>
      <c r="B1285" s="13" t="s">
        <v>1862</v>
      </c>
      <c r="C1285" s="13" t="s">
        <v>1775</v>
      </c>
      <c r="D1285" s="15">
        <v>40193.519999999997</v>
      </c>
    </row>
    <row r="1286" spans="1:4" x14ac:dyDescent="0.25">
      <c r="A1286" s="11">
        <v>45901</v>
      </c>
      <c r="B1286" s="10" t="s">
        <v>1799</v>
      </c>
      <c r="C1286" s="10" t="s">
        <v>1797</v>
      </c>
      <c r="D1286" s="12">
        <v>2090.69</v>
      </c>
    </row>
    <row r="1287" spans="1:4" x14ac:dyDescent="0.25">
      <c r="A1287" s="14">
        <v>45901</v>
      </c>
      <c r="B1287" s="13" t="s">
        <v>1774</v>
      </c>
      <c r="C1287" s="13" t="s">
        <v>1786</v>
      </c>
      <c r="D1287" s="15">
        <v>15321.38</v>
      </c>
    </row>
    <row r="1288" spans="1:4" x14ac:dyDescent="0.25">
      <c r="A1288" s="11">
        <v>45901</v>
      </c>
      <c r="B1288" s="10" t="s">
        <v>1786</v>
      </c>
      <c r="C1288" s="10" t="s">
        <v>1780</v>
      </c>
      <c r="D1288" s="12">
        <v>7436.28</v>
      </c>
    </row>
    <row r="1289" spans="1:4" x14ac:dyDescent="0.25">
      <c r="A1289" s="14">
        <v>45901</v>
      </c>
      <c r="B1289" s="13" t="s">
        <v>1786</v>
      </c>
      <c r="C1289" s="13" t="s">
        <v>1789</v>
      </c>
      <c r="D1289" s="15">
        <v>6360.49</v>
      </c>
    </row>
    <row r="1290" spans="1:4" x14ac:dyDescent="0.25">
      <c r="A1290" s="11">
        <v>45901</v>
      </c>
      <c r="B1290" s="10" t="s">
        <v>1818</v>
      </c>
      <c r="C1290" s="10" t="s">
        <v>1780</v>
      </c>
      <c r="D1290" s="12">
        <v>3599.56</v>
      </c>
    </row>
    <row r="1291" spans="1:4" x14ac:dyDescent="0.25">
      <c r="A1291" s="14">
        <v>45901</v>
      </c>
      <c r="B1291" s="13" t="s">
        <v>1799</v>
      </c>
      <c r="C1291" s="13" t="s">
        <v>1795</v>
      </c>
      <c r="D1291" s="15">
        <v>2334.12</v>
      </c>
    </row>
    <row r="1292" spans="1:4" x14ac:dyDescent="0.25">
      <c r="A1292" s="11">
        <v>45901</v>
      </c>
      <c r="B1292" s="10" t="s">
        <v>1774</v>
      </c>
      <c r="C1292" s="10" t="s">
        <v>1792</v>
      </c>
      <c r="D1292" s="12">
        <v>15354.25</v>
      </c>
    </row>
    <row r="1293" spans="1:4" x14ac:dyDescent="0.25">
      <c r="A1293" s="14">
        <v>45901</v>
      </c>
      <c r="B1293" s="13" t="s">
        <v>1799</v>
      </c>
      <c r="C1293" s="13" t="s">
        <v>1789</v>
      </c>
      <c r="D1293" s="15">
        <v>4324.09</v>
      </c>
    </row>
    <row r="1294" spans="1:4" x14ac:dyDescent="0.25">
      <c r="A1294" s="11">
        <v>45901</v>
      </c>
      <c r="B1294" s="10" t="s">
        <v>1792</v>
      </c>
      <c r="C1294" s="10" t="s">
        <v>1778</v>
      </c>
      <c r="D1294" s="12">
        <v>14074.23</v>
      </c>
    </row>
    <row r="1295" spans="1:4" x14ac:dyDescent="0.25">
      <c r="A1295" s="14">
        <v>45901</v>
      </c>
      <c r="B1295" s="13" t="s">
        <v>1877</v>
      </c>
      <c r="C1295" s="13" t="s">
        <v>1795</v>
      </c>
      <c r="D1295" s="15">
        <v>3879.54</v>
      </c>
    </row>
    <row r="1296" spans="1:4" x14ac:dyDescent="0.25">
      <c r="A1296" s="11">
        <v>45901</v>
      </c>
      <c r="B1296" s="10" t="s">
        <v>1818</v>
      </c>
      <c r="C1296" s="10" t="s">
        <v>1795</v>
      </c>
      <c r="D1296" s="12">
        <v>2406.38</v>
      </c>
    </row>
    <row r="1297" spans="1:4" x14ac:dyDescent="0.25">
      <c r="A1297" s="14">
        <v>45901</v>
      </c>
      <c r="B1297" s="13" t="s">
        <v>1786</v>
      </c>
      <c r="C1297" s="13" t="s">
        <v>1786</v>
      </c>
      <c r="D1297" s="15">
        <v>9641.7999999999993</v>
      </c>
    </row>
    <row r="1298" spans="1:4" x14ac:dyDescent="0.25">
      <c r="A1298" s="11">
        <v>45901</v>
      </c>
      <c r="B1298" s="10" t="s">
        <v>1818</v>
      </c>
      <c r="C1298" s="10" t="s">
        <v>1783</v>
      </c>
      <c r="D1298" s="12">
        <v>5245.22</v>
      </c>
    </row>
    <row r="1299" spans="1:4" x14ac:dyDescent="0.25">
      <c r="A1299" s="14">
        <v>45901</v>
      </c>
      <c r="B1299" s="13" t="s">
        <v>1877</v>
      </c>
      <c r="C1299" s="13" t="s">
        <v>1792</v>
      </c>
      <c r="D1299" s="15">
        <v>10062.290000000001</v>
      </c>
    </row>
    <row r="1300" spans="1:4" x14ac:dyDescent="0.25">
      <c r="A1300" s="11">
        <v>45901</v>
      </c>
      <c r="B1300" s="10" t="s">
        <v>1862</v>
      </c>
      <c r="C1300" s="10" t="s">
        <v>1778</v>
      </c>
      <c r="D1300" s="12">
        <v>6846.25</v>
      </c>
    </row>
    <row r="1301" spans="1:4" x14ac:dyDescent="0.25">
      <c r="A1301" s="14">
        <v>45901</v>
      </c>
      <c r="B1301" s="13" t="s">
        <v>1862</v>
      </c>
      <c r="C1301" s="13" t="s">
        <v>1789</v>
      </c>
      <c r="D1301" s="15">
        <v>4731.46</v>
      </c>
    </row>
    <row r="1302" spans="1:4" x14ac:dyDescent="0.25">
      <c r="A1302" s="11">
        <v>45901</v>
      </c>
      <c r="B1302" s="10" t="s">
        <v>1786</v>
      </c>
      <c r="C1302" s="10" t="s">
        <v>1775</v>
      </c>
      <c r="D1302" s="12">
        <v>66993.89</v>
      </c>
    </row>
    <row r="1303" spans="1:4" x14ac:dyDescent="0.25">
      <c r="A1303" s="14">
        <v>45901</v>
      </c>
      <c r="B1303" s="13" t="s">
        <v>1818</v>
      </c>
      <c r="C1303" s="13" t="s">
        <v>1786</v>
      </c>
      <c r="D1303" s="15">
        <v>5285</v>
      </c>
    </row>
    <row r="1304" spans="1:4" x14ac:dyDescent="0.25">
      <c r="A1304" s="11">
        <v>45901</v>
      </c>
      <c r="B1304" s="10" t="s">
        <v>1799</v>
      </c>
      <c r="C1304" s="10" t="s">
        <v>1792</v>
      </c>
      <c r="D1304" s="12">
        <v>6391.03</v>
      </c>
    </row>
    <row r="1305" spans="1:4" x14ac:dyDescent="0.25">
      <c r="A1305" s="14">
        <v>45901</v>
      </c>
      <c r="B1305" s="13" t="s">
        <v>1786</v>
      </c>
      <c r="C1305" s="13" t="s">
        <v>1783</v>
      </c>
      <c r="D1305" s="15">
        <v>10898.38</v>
      </c>
    </row>
    <row r="1306" spans="1:4" x14ac:dyDescent="0.25">
      <c r="A1306" s="11">
        <v>45901</v>
      </c>
      <c r="B1306" s="10" t="s">
        <v>1792</v>
      </c>
      <c r="C1306" s="10" t="s">
        <v>1786</v>
      </c>
      <c r="D1306" s="12">
        <v>16113.3</v>
      </c>
    </row>
    <row r="1307" spans="1:4" x14ac:dyDescent="0.25">
      <c r="A1307" s="14">
        <v>45901</v>
      </c>
      <c r="B1307" s="13" t="s">
        <v>1862</v>
      </c>
      <c r="C1307" s="13" t="s">
        <v>1795</v>
      </c>
      <c r="D1307" s="15">
        <v>2089.2399999999998</v>
      </c>
    </row>
    <row r="1308" spans="1:4" x14ac:dyDescent="0.25">
      <c r="A1308" s="11">
        <v>45901</v>
      </c>
      <c r="B1308" s="10" t="s">
        <v>1862</v>
      </c>
      <c r="C1308" s="10" t="s">
        <v>1780</v>
      </c>
      <c r="D1308" s="12">
        <v>4024.67</v>
      </c>
    </row>
    <row r="1309" spans="1:4" x14ac:dyDescent="0.25">
      <c r="A1309" s="14">
        <v>45901</v>
      </c>
      <c r="B1309" s="13" t="s">
        <v>1818</v>
      </c>
      <c r="C1309" s="13" t="s">
        <v>1792</v>
      </c>
      <c r="D1309" s="15">
        <v>5645.25</v>
      </c>
    </row>
    <row r="1310" spans="1:4" x14ac:dyDescent="0.25">
      <c r="A1310" s="11">
        <v>45901</v>
      </c>
      <c r="B1310" s="10" t="s">
        <v>1786</v>
      </c>
      <c r="C1310" s="10" t="s">
        <v>1792</v>
      </c>
      <c r="D1310" s="12">
        <v>8661.9500000000007</v>
      </c>
    </row>
    <row r="1311" spans="1:4" x14ac:dyDescent="0.25">
      <c r="A1311" s="14">
        <v>45901</v>
      </c>
      <c r="B1311" s="13" t="s">
        <v>1792</v>
      </c>
      <c r="C1311" s="13" t="s">
        <v>1775</v>
      </c>
      <c r="D1311" s="15">
        <v>105541.02</v>
      </c>
    </row>
    <row r="1312" spans="1:4" x14ac:dyDescent="0.25">
      <c r="A1312" s="11">
        <v>45901</v>
      </c>
      <c r="B1312" s="10" t="s">
        <v>1792</v>
      </c>
      <c r="C1312" s="10" t="s">
        <v>1780</v>
      </c>
      <c r="D1312" s="12">
        <v>6624.38</v>
      </c>
    </row>
    <row r="1313" spans="1:4" x14ac:dyDescent="0.25">
      <c r="A1313" s="14">
        <v>45901</v>
      </c>
      <c r="B1313" s="13" t="s">
        <v>1799</v>
      </c>
      <c r="C1313" s="13" t="s">
        <v>1780</v>
      </c>
      <c r="D1313" s="15">
        <v>4107.96</v>
      </c>
    </row>
    <row r="1314" spans="1:4" x14ac:dyDescent="0.25">
      <c r="A1314" s="11">
        <v>45901</v>
      </c>
      <c r="B1314" s="10" t="s">
        <v>1792</v>
      </c>
      <c r="C1314" s="10" t="s">
        <v>1789</v>
      </c>
      <c r="D1314" s="12">
        <v>10627.23</v>
      </c>
    </row>
    <row r="1315" spans="1:4" x14ac:dyDescent="0.25">
      <c r="A1315" s="14">
        <v>45901</v>
      </c>
      <c r="B1315" s="13" t="s">
        <v>1862</v>
      </c>
      <c r="C1315" s="13" t="s">
        <v>1792</v>
      </c>
      <c r="D1315" s="15">
        <v>6406.59</v>
      </c>
    </row>
    <row r="1316" spans="1:4" x14ac:dyDescent="0.25">
      <c r="A1316" s="11">
        <v>45901</v>
      </c>
      <c r="B1316" s="10" t="s">
        <v>1877</v>
      </c>
      <c r="C1316" s="10" t="s">
        <v>1783</v>
      </c>
      <c r="D1316" s="12">
        <v>11306.71</v>
      </c>
    </row>
    <row r="1317" spans="1:4" x14ac:dyDescent="0.25">
      <c r="A1317" s="14">
        <v>45901</v>
      </c>
      <c r="B1317" s="13" t="s">
        <v>1818</v>
      </c>
      <c r="C1317" s="13" t="s">
        <v>1775</v>
      </c>
      <c r="D1317" s="15">
        <v>40084.1</v>
      </c>
    </row>
    <row r="1318" spans="1:4" x14ac:dyDescent="0.25">
      <c r="A1318" s="11">
        <v>45901</v>
      </c>
      <c r="B1318" s="10" t="s">
        <v>1774</v>
      </c>
      <c r="C1318" s="10" t="s">
        <v>1775</v>
      </c>
      <c r="D1318" s="12">
        <v>90277.88</v>
      </c>
    </row>
    <row r="1319" spans="1:4" x14ac:dyDescent="0.25">
      <c r="A1319" s="14">
        <v>45901</v>
      </c>
      <c r="B1319" s="13" t="s">
        <v>1786</v>
      </c>
      <c r="C1319" s="13" t="s">
        <v>1795</v>
      </c>
      <c r="D1319" s="15">
        <v>4640.37</v>
      </c>
    </row>
    <row r="1320" spans="1:4" x14ac:dyDescent="0.25">
      <c r="A1320" s="11">
        <v>45901</v>
      </c>
      <c r="B1320" s="10" t="s">
        <v>1877</v>
      </c>
      <c r="C1320" s="10" t="s">
        <v>1775</v>
      </c>
      <c r="D1320" s="12">
        <v>55692.79</v>
      </c>
    </row>
    <row r="1321" spans="1:4" x14ac:dyDescent="0.25">
      <c r="A1321" s="14">
        <v>45901</v>
      </c>
      <c r="B1321" s="13" t="s">
        <v>1799</v>
      </c>
      <c r="C1321" s="13" t="s">
        <v>1783</v>
      </c>
      <c r="D1321" s="15">
        <v>6588.24</v>
      </c>
    </row>
    <row r="1322" spans="1:4" x14ac:dyDescent="0.25">
      <c r="A1322" s="11">
        <v>45901</v>
      </c>
      <c r="B1322" s="10" t="s">
        <v>1774</v>
      </c>
      <c r="C1322" s="10" t="s">
        <v>1783</v>
      </c>
      <c r="D1322" s="12">
        <v>14297.16</v>
      </c>
    </row>
    <row r="1323" spans="1:4" x14ac:dyDescent="0.25">
      <c r="A1323" s="14">
        <v>45901</v>
      </c>
      <c r="B1323" s="13" t="s">
        <v>1792</v>
      </c>
      <c r="C1323" s="13" t="s">
        <v>1783</v>
      </c>
      <c r="D1323" s="15">
        <v>16229.02</v>
      </c>
    </row>
    <row r="1324" spans="1:4" x14ac:dyDescent="0.25">
      <c r="A1324" s="11">
        <v>45901</v>
      </c>
      <c r="B1324" s="10" t="s">
        <v>1792</v>
      </c>
      <c r="C1324" s="10" t="s">
        <v>1795</v>
      </c>
      <c r="D1324" s="12">
        <v>4205.93</v>
      </c>
    </row>
    <row r="1325" spans="1:4" x14ac:dyDescent="0.25">
      <c r="A1325" s="14">
        <v>45931</v>
      </c>
      <c r="B1325" s="13" t="s">
        <v>1862</v>
      </c>
      <c r="C1325" s="13" t="s">
        <v>1789</v>
      </c>
      <c r="D1325" s="15">
        <v>3890.12</v>
      </c>
    </row>
    <row r="1326" spans="1:4" x14ac:dyDescent="0.25">
      <c r="A1326" s="11">
        <v>45931</v>
      </c>
      <c r="B1326" s="10" t="s">
        <v>1774</v>
      </c>
      <c r="C1326" s="10" t="s">
        <v>1789</v>
      </c>
      <c r="D1326" s="12">
        <v>9919.64</v>
      </c>
    </row>
    <row r="1327" spans="1:4" x14ac:dyDescent="0.25">
      <c r="A1327" s="14">
        <v>45931</v>
      </c>
      <c r="B1327" s="13" t="s">
        <v>1786</v>
      </c>
      <c r="C1327" s="13" t="s">
        <v>1795</v>
      </c>
      <c r="D1327" s="15">
        <v>4146.97</v>
      </c>
    </row>
    <row r="1328" spans="1:4" x14ac:dyDescent="0.25">
      <c r="A1328" s="11">
        <v>45931</v>
      </c>
      <c r="B1328" s="10" t="s">
        <v>1792</v>
      </c>
      <c r="C1328" s="10" t="s">
        <v>1786</v>
      </c>
      <c r="D1328" s="12">
        <v>14010.52</v>
      </c>
    </row>
    <row r="1329" spans="1:4" x14ac:dyDescent="0.25">
      <c r="A1329" s="14">
        <v>45931</v>
      </c>
      <c r="B1329" s="13" t="s">
        <v>1877</v>
      </c>
      <c r="C1329" s="13" t="s">
        <v>1780</v>
      </c>
      <c r="D1329" s="15">
        <v>6824.6</v>
      </c>
    </row>
    <row r="1330" spans="1:4" x14ac:dyDescent="0.25">
      <c r="A1330" s="11">
        <v>45931</v>
      </c>
      <c r="B1330" s="10" t="s">
        <v>1862</v>
      </c>
      <c r="C1330" s="10" t="s">
        <v>1778</v>
      </c>
      <c r="D1330" s="12">
        <v>9171.06</v>
      </c>
    </row>
    <row r="1331" spans="1:4" x14ac:dyDescent="0.25">
      <c r="A1331" s="14">
        <v>45931</v>
      </c>
      <c r="B1331" s="13" t="s">
        <v>1862</v>
      </c>
      <c r="C1331" s="13" t="s">
        <v>1795</v>
      </c>
      <c r="D1331" s="15">
        <v>2752.69</v>
      </c>
    </row>
    <row r="1332" spans="1:4" x14ac:dyDescent="0.25">
      <c r="A1332" s="11">
        <v>45931</v>
      </c>
      <c r="B1332" s="10" t="s">
        <v>1799</v>
      </c>
      <c r="C1332" s="10" t="s">
        <v>1775</v>
      </c>
      <c r="D1332" s="12">
        <v>44204.74</v>
      </c>
    </row>
    <row r="1333" spans="1:4" x14ac:dyDescent="0.25">
      <c r="A1333" s="14">
        <v>45931</v>
      </c>
      <c r="B1333" s="13" t="s">
        <v>1799</v>
      </c>
      <c r="C1333" s="13" t="s">
        <v>1780</v>
      </c>
      <c r="D1333" s="15">
        <v>4538.13</v>
      </c>
    </row>
    <row r="1334" spans="1:4" x14ac:dyDescent="0.25">
      <c r="A1334" s="11">
        <v>45931</v>
      </c>
      <c r="B1334" s="10" t="s">
        <v>1799</v>
      </c>
      <c r="C1334" s="10" t="s">
        <v>1786</v>
      </c>
      <c r="D1334" s="12">
        <v>6470.34</v>
      </c>
    </row>
    <row r="1335" spans="1:4" x14ac:dyDescent="0.25">
      <c r="A1335" s="14">
        <v>45931</v>
      </c>
      <c r="B1335" s="13" t="s">
        <v>1799</v>
      </c>
      <c r="C1335" s="13" t="s">
        <v>1789</v>
      </c>
      <c r="D1335" s="15">
        <v>4178.8999999999996</v>
      </c>
    </row>
    <row r="1336" spans="1:4" x14ac:dyDescent="0.25">
      <c r="A1336" s="11">
        <v>45931</v>
      </c>
      <c r="B1336" s="10" t="s">
        <v>1774</v>
      </c>
      <c r="C1336" s="10" t="s">
        <v>1786</v>
      </c>
      <c r="D1336" s="12">
        <v>17401.2</v>
      </c>
    </row>
    <row r="1337" spans="1:4" x14ac:dyDescent="0.25">
      <c r="A1337" s="14">
        <v>45931</v>
      </c>
      <c r="B1337" s="13" t="s">
        <v>1786</v>
      </c>
      <c r="C1337" s="13" t="s">
        <v>1778</v>
      </c>
      <c r="D1337" s="15">
        <v>13447.21</v>
      </c>
    </row>
    <row r="1338" spans="1:4" x14ac:dyDescent="0.25">
      <c r="A1338" s="11">
        <v>45931</v>
      </c>
      <c r="B1338" s="10" t="s">
        <v>1786</v>
      </c>
      <c r="C1338" s="10" t="s">
        <v>1775</v>
      </c>
      <c r="D1338" s="12">
        <v>72963.08</v>
      </c>
    </row>
    <row r="1339" spans="1:4" x14ac:dyDescent="0.25">
      <c r="A1339" s="14">
        <v>45931</v>
      </c>
      <c r="B1339" s="13" t="s">
        <v>1877</v>
      </c>
      <c r="C1339" s="13" t="s">
        <v>1775</v>
      </c>
      <c r="D1339" s="15">
        <v>64357.81</v>
      </c>
    </row>
    <row r="1340" spans="1:4" x14ac:dyDescent="0.25">
      <c r="A1340" s="11">
        <v>45931</v>
      </c>
      <c r="B1340" s="10" t="s">
        <v>1877</v>
      </c>
      <c r="C1340" s="10" t="s">
        <v>1783</v>
      </c>
      <c r="D1340" s="12">
        <v>8579.7999999999993</v>
      </c>
    </row>
    <row r="1341" spans="1:4" x14ac:dyDescent="0.25">
      <c r="A1341" s="14">
        <v>45931</v>
      </c>
      <c r="B1341" s="13" t="s">
        <v>1862</v>
      </c>
      <c r="C1341" s="13" t="s">
        <v>1775</v>
      </c>
      <c r="D1341" s="15">
        <v>39174.17</v>
      </c>
    </row>
    <row r="1342" spans="1:4" x14ac:dyDescent="0.25">
      <c r="A1342" s="11">
        <v>45931</v>
      </c>
      <c r="B1342" s="10" t="s">
        <v>1862</v>
      </c>
      <c r="C1342" s="10" t="s">
        <v>1783</v>
      </c>
      <c r="D1342" s="12">
        <v>5257.61</v>
      </c>
    </row>
    <row r="1343" spans="1:4" x14ac:dyDescent="0.25">
      <c r="A1343" s="14">
        <v>45931</v>
      </c>
      <c r="B1343" s="13" t="s">
        <v>1799</v>
      </c>
      <c r="C1343" s="13" t="s">
        <v>1783</v>
      </c>
      <c r="D1343" s="15">
        <v>5823.6</v>
      </c>
    </row>
    <row r="1344" spans="1:4" x14ac:dyDescent="0.25">
      <c r="A1344" s="11">
        <v>45931</v>
      </c>
      <c r="B1344" s="10" t="s">
        <v>1774</v>
      </c>
      <c r="C1344" s="10" t="s">
        <v>1792</v>
      </c>
      <c r="D1344" s="12">
        <v>18022.099999999999</v>
      </c>
    </row>
    <row r="1345" spans="1:4" x14ac:dyDescent="0.25">
      <c r="A1345" s="14">
        <v>45931</v>
      </c>
      <c r="B1345" s="13" t="s">
        <v>1774</v>
      </c>
      <c r="C1345" s="13" t="s">
        <v>1775</v>
      </c>
      <c r="D1345" s="15">
        <v>78386.58</v>
      </c>
    </row>
    <row r="1346" spans="1:4" x14ac:dyDescent="0.25">
      <c r="A1346" s="11">
        <v>45931</v>
      </c>
      <c r="B1346" s="10" t="s">
        <v>1786</v>
      </c>
      <c r="C1346" s="10" t="s">
        <v>1797</v>
      </c>
      <c r="D1346" s="12">
        <v>3829.59</v>
      </c>
    </row>
    <row r="1347" spans="1:4" x14ac:dyDescent="0.25">
      <c r="A1347" s="14">
        <v>45931</v>
      </c>
      <c r="B1347" s="13" t="s">
        <v>1818</v>
      </c>
      <c r="C1347" s="13" t="s">
        <v>1795</v>
      </c>
      <c r="D1347" s="15">
        <v>1999.53</v>
      </c>
    </row>
    <row r="1348" spans="1:4" x14ac:dyDescent="0.25">
      <c r="A1348" s="11">
        <v>45931</v>
      </c>
      <c r="B1348" s="10" t="s">
        <v>1799</v>
      </c>
      <c r="C1348" s="10" t="s">
        <v>1778</v>
      </c>
      <c r="D1348" s="12">
        <v>7719.53</v>
      </c>
    </row>
    <row r="1349" spans="1:4" x14ac:dyDescent="0.25">
      <c r="A1349" s="14">
        <v>45931</v>
      </c>
      <c r="B1349" s="13" t="s">
        <v>1774</v>
      </c>
      <c r="C1349" s="13" t="s">
        <v>1797</v>
      </c>
      <c r="D1349" s="15">
        <v>7227.92</v>
      </c>
    </row>
    <row r="1350" spans="1:4" x14ac:dyDescent="0.25">
      <c r="A1350" s="11">
        <v>45931</v>
      </c>
      <c r="B1350" s="10" t="s">
        <v>1774</v>
      </c>
      <c r="C1350" s="10" t="s">
        <v>1780</v>
      </c>
      <c r="D1350" s="12">
        <v>11204.81</v>
      </c>
    </row>
    <row r="1351" spans="1:4" x14ac:dyDescent="0.25">
      <c r="A1351" s="14">
        <v>45931</v>
      </c>
      <c r="B1351" s="13" t="s">
        <v>1786</v>
      </c>
      <c r="C1351" s="13" t="s">
        <v>1780</v>
      </c>
      <c r="D1351" s="15">
        <v>5994.05</v>
      </c>
    </row>
    <row r="1352" spans="1:4" x14ac:dyDescent="0.25">
      <c r="A1352" s="11">
        <v>45931</v>
      </c>
      <c r="B1352" s="10" t="s">
        <v>1792</v>
      </c>
      <c r="C1352" s="10" t="s">
        <v>1789</v>
      </c>
      <c r="D1352" s="12">
        <v>7990.04</v>
      </c>
    </row>
    <row r="1353" spans="1:4" x14ac:dyDescent="0.25">
      <c r="A1353" s="14">
        <v>45931</v>
      </c>
      <c r="B1353" s="13" t="s">
        <v>1792</v>
      </c>
      <c r="C1353" s="13" t="s">
        <v>1783</v>
      </c>
      <c r="D1353" s="15">
        <v>13653.32</v>
      </c>
    </row>
    <row r="1354" spans="1:4" x14ac:dyDescent="0.25">
      <c r="A1354" s="11">
        <v>45931</v>
      </c>
      <c r="B1354" s="10" t="s">
        <v>1877</v>
      </c>
      <c r="C1354" s="10" t="s">
        <v>1786</v>
      </c>
      <c r="D1354" s="12">
        <v>10038.34</v>
      </c>
    </row>
    <row r="1355" spans="1:4" x14ac:dyDescent="0.25">
      <c r="A1355" s="14">
        <v>45931</v>
      </c>
      <c r="B1355" s="13" t="s">
        <v>1877</v>
      </c>
      <c r="C1355" s="13" t="s">
        <v>1795</v>
      </c>
      <c r="D1355" s="15">
        <v>4327.1099999999997</v>
      </c>
    </row>
    <row r="1356" spans="1:4" x14ac:dyDescent="0.25">
      <c r="A1356" s="11">
        <v>45931</v>
      </c>
      <c r="B1356" s="10" t="s">
        <v>1862</v>
      </c>
      <c r="C1356" s="10" t="s">
        <v>1792</v>
      </c>
      <c r="D1356" s="12">
        <v>6413.93</v>
      </c>
    </row>
    <row r="1357" spans="1:4" x14ac:dyDescent="0.25">
      <c r="A1357" s="14">
        <v>45931</v>
      </c>
      <c r="B1357" s="13" t="s">
        <v>1786</v>
      </c>
      <c r="C1357" s="13" t="s">
        <v>1792</v>
      </c>
      <c r="D1357" s="15">
        <v>11647.62</v>
      </c>
    </row>
    <row r="1358" spans="1:4" x14ac:dyDescent="0.25">
      <c r="A1358" s="11">
        <v>45931</v>
      </c>
      <c r="B1358" s="10" t="s">
        <v>1792</v>
      </c>
      <c r="C1358" s="10" t="s">
        <v>1795</v>
      </c>
      <c r="D1358" s="12">
        <v>5448.14</v>
      </c>
    </row>
    <row r="1359" spans="1:4" x14ac:dyDescent="0.25">
      <c r="A1359" s="14">
        <v>45931</v>
      </c>
      <c r="B1359" s="13" t="s">
        <v>1877</v>
      </c>
      <c r="C1359" s="13" t="s">
        <v>1789</v>
      </c>
      <c r="D1359" s="15">
        <v>6414.65</v>
      </c>
    </row>
    <row r="1360" spans="1:4" x14ac:dyDescent="0.25">
      <c r="A1360" s="11">
        <v>45931</v>
      </c>
      <c r="B1360" s="10" t="s">
        <v>1799</v>
      </c>
      <c r="C1360" s="10" t="s">
        <v>1797</v>
      </c>
      <c r="D1360" s="12">
        <v>2759.63</v>
      </c>
    </row>
    <row r="1361" spans="1:4" x14ac:dyDescent="0.25">
      <c r="A1361" s="14">
        <v>45931</v>
      </c>
      <c r="B1361" s="13" t="s">
        <v>1799</v>
      </c>
      <c r="C1361" s="13" t="s">
        <v>1792</v>
      </c>
      <c r="D1361" s="15">
        <v>5169.26</v>
      </c>
    </row>
    <row r="1362" spans="1:4" x14ac:dyDescent="0.25">
      <c r="A1362" s="11">
        <v>45931</v>
      </c>
      <c r="B1362" s="10" t="s">
        <v>1862</v>
      </c>
      <c r="C1362" s="10" t="s">
        <v>1786</v>
      </c>
      <c r="D1362" s="12">
        <v>7006.54</v>
      </c>
    </row>
    <row r="1363" spans="1:4" x14ac:dyDescent="0.25">
      <c r="A1363" s="14">
        <v>45931</v>
      </c>
      <c r="B1363" s="13" t="s">
        <v>1818</v>
      </c>
      <c r="C1363" s="13" t="s">
        <v>1783</v>
      </c>
      <c r="D1363" s="15">
        <v>6754.6</v>
      </c>
    </row>
    <row r="1364" spans="1:4" x14ac:dyDescent="0.25">
      <c r="A1364" s="11">
        <v>45931</v>
      </c>
      <c r="B1364" s="10" t="s">
        <v>1792</v>
      </c>
      <c r="C1364" s="10" t="s">
        <v>1778</v>
      </c>
      <c r="D1364" s="12">
        <v>17712.189999999999</v>
      </c>
    </row>
    <row r="1365" spans="1:4" x14ac:dyDescent="0.25">
      <c r="A1365" s="14">
        <v>45931</v>
      </c>
      <c r="B1365" s="13" t="s">
        <v>1818</v>
      </c>
      <c r="C1365" s="13" t="s">
        <v>1789</v>
      </c>
      <c r="D1365" s="15">
        <v>2819.06</v>
      </c>
    </row>
    <row r="1366" spans="1:4" x14ac:dyDescent="0.25">
      <c r="A1366" s="11">
        <v>45931</v>
      </c>
      <c r="B1366" s="10" t="s">
        <v>1792</v>
      </c>
      <c r="C1366" s="10" t="s">
        <v>1797</v>
      </c>
      <c r="D1366" s="12">
        <v>4948.8100000000004</v>
      </c>
    </row>
    <row r="1367" spans="1:4" x14ac:dyDescent="0.25">
      <c r="A1367" s="14">
        <v>45931</v>
      </c>
      <c r="B1367" s="13" t="s">
        <v>1799</v>
      </c>
      <c r="C1367" s="13" t="s">
        <v>1795</v>
      </c>
      <c r="D1367" s="15">
        <v>2169.63</v>
      </c>
    </row>
    <row r="1368" spans="1:4" x14ac:dyDescent="0.25">
      <c r="A1368" s="11">
        <v>45931</v>
      </c>
      <c r="B1368" s="10" t="s">
        <v>1774</v>
      </c>
      <c r="C1368" s="10" t="s">
        <v>1778</v>
      </c>
      <c r="D1368" s="12">
        <v>18218.18</v>
      </c>
    </row>
    <row r="1369" spans="1:4" x14ac:dyDescent="0.25">
      <c r="A1369" s="14">
        <v>45931</v>
      </c>
      <c r="B1369" s="13" t="s">
        <v>1774</v>
      </c>
      <c r="C1369" s="13" t="s">
        <v>1783</v>
      </c>
      <c r="D1369" s="15">
        <v>13953.46</v>
      </c>
    </row>
    <row r="1370" spans="1:4" x14ac:dyDescent="0.25">
      <c r="A1370" s="11">
        <v>45931</v>
      </c>
      <c r="B1370" s="10" t="s">
        <v>1792</v>
      </c>
      <c r="C1370" s="10" t="s">
        <v>1792</v>
      </c>
      <c r="D1370" s="12">
        <v>14224.81</v>
      </c>
    </row>
    <row r="1371" spans="1:4" x14ac:dyDescent="0.25">
      <c r="A1371" s="14">
        <v>45931</v>
      </c>
      <c r="B1371" s="13" t="s">
        <v>1786</v>
      </c>
      <c r="C1371" s="13" t="s">
        <v>1783</v>
      </c>
      <c r="D1371" s="15">
        <v>11231.58</v>
      </c>
    </row>
    <row r="1372" spans="1:4" x14ac:dyDescent="0.25">
      <c r="A1372" s="11">
        <v>45931</v>
      </c>
      <c r="B1372" s="10" t="s">
        <v>1877</v>
      </c>
      <c r="C1372" s="10" t="s">
        <v>1792</v>
      </c>
      <c r="D1372" s="12">
        <v>9727.39</v>
      </c>
    </row>
    <row r="1373" spans="1:4" x14ac:dyDescent="0.25">
      <c r="A1373" s="14">
        <v>45931</v>
      </c>
      <c r="B1373" s="13" t="s">
        <v>1862</v>
      </c>
      <c r="C1373" s="13" t="s">
        <v>1780</v>
      </c>
      <c r="D1373" s="15">
        <v>3825.63</v>
      </c>
    </row>
    <row r="1374" spans="1:4" x14ac:dyDescent="0.25">
      <c r="A1374" s="11">
        <v>45931</v>
      </c>
      <c r="B1374" s="10" t="s">
        <v>1818</v>
      </c>
      <c r="C1374" s="10" t="s">
        <v>1797</v>
      </c>
      <c r="D1374" s="12">
        <v>2571.23</v>
      </c>
    </row>
    <row r="1375" spans="1:4" x14ac:dyDescent="0.25">
      <c r="A1375" s="14">
        <v>45931</v>
      </c>
      <c r="B1375" s="13" t="s">
        <v>1818</v>
      </c>
      <c r="C1375" s="13" t="s">
        <v>1780</v>
      </c>
      <c r="D1375" s="15">
        <v>2855.07</v>
      </c>
    </row>
    <row r="1376" spans="1:4" x14ac:dyDescent="0.25">
      <c r="A1376" s="11">
        <v>45931</v>
      </c>
      <c r="B1376" s="10" t="s">
        <v>1792</v>
      </c>
      <c r="C1376" s="10" t="s">
        <v>1775</v>
      </c>
      <c r="D1376" s="12">
        <v>79765.490000000005</v>
      </c>
    </row>
    <row r="1377" spans="1:4" x14ac:dyDescent="0.25">
      <c r="A1377" s="14">
        <v>45931</v>
      </c>
      <c r="B1377" s="13" t="s">
        <v>1818</v>
      </c>
      <c r="C1377" s="13" t="s">
        <v>1778</v>
      </c>
      <c r="D1377" s="15">
        <v>6061.21</v>
      </c>
    </row>
    <row r="1378" spans="1:4" x14ac:dyDescent="0.25">
      <c r="A1378" s="11">
        <v>45931</v>
      </c>
      <c r="B1378" s="10" t="s">
        <v>1792</v>
      </c>
      <c r="C1378" s="10" t="s">
        <v>1780</v>
      </c>
      <c r="D1378" s="12">
        <v>6322.99</v>
      </c>
    </row>
    <row r="1379" spans="1:4" x14ac:dyDescent="0.25">
      <c r="A1379" s="14">
        <v>45931</v>
      </c>
      <c r="B1379" s="13" t="s">
        <v>1818</v>
      </c>
      <c r="C1379" s="13" t="s">
        <v>1775</v>
      </c>
      <c r="D1379" s="15">
        <v>39148.410000000003</v>
      </c>
    </row>
    <row r="1380" spans="1:4" x14ac:dyDescent="0.25">
      <c r="A1380" s="11">
        <v>45931</v>
      </c>
      <c r="B1380" s="10" t="s">
        <v>1786</v>
      </c>
      <c r="C1380" s="10" t="s">
        <v>1789</v>
      </c>
      <c r="D1380" s="12">
        <v>5442.61</v>
      </c>
    </row>
    <row r="1381" spans="1:4" x14ac:dyDescent="0.25">
      <c r="A1381" s="14">
        <v>45931</v>
      </c>
      <c r="B1381" s="13" t="s">
        <v>1877</v>
      </c>
      <c r="C1381" s="13" t="s">
        <v>1778</v>
      </c>
      <c r="D1381" s="15">
        <v>13278.68</v>
      </c>
    </row>
    <row r="1382" spans="1:4" x14ac:dyDescent="0.25">
      <c r="A1382" s="11">
        <v>45931</v>
      </c>
      <c r="B1382" s="10" t="s">
        <v>1818</v>
      </c>
      <c r="C1382" s="10" t="s">
        <v>1786</v>
      </c>
      <c r="D1382" s="12">
        <v>5666.09</v>
      </c>
    </row>
    <row r="1383" spans="1:4" x14ac:dyDescent="0.25">
      <c r="A1383" s="14">
        <v>45931</v>
      </c>
      <c r="B1383" s="13" t="s">
        <v>1818</v>
      </c>
      <c r="C1383" s="13" t="s">
        <v>1792</v>
      </c>
      <c r="D1383" s="15">
        <v>5260.85</v>
      </c>
    </row>
    <row r="1384" spans="1:4" x14ac:dyDescent="0.25">
      <c r="A1384" s="11">
        <v>45931</v>
      </c>
      <c r="B1384" s="10" t="s">
        <v>1786</v>
      </c>
      <c r="C1384" s="10" t="s">
        <v>1786</v>
      </c>
      <c r="D1384" s="12">
        <v>15882.01</v>
      </c>
    </row>
    <row r="1385" spans="1:4" x14ac:dyDescent="0.25">
      <c r="A1385" s="14">
        <v>45931</v>
      </c>
      <c r="B1385" s="13" t="s">
        <v>1862</v>
      </c>
      <c r="C1385" s="13" t="s">
        <v>1797</v>
      </c>
      <c r="D1385" s="15">
        <v>2766.44</v>
      </c>
    </row>
    <row r="1386" spans="1:4" x14ac:dyDescent="0.25">
      <c r="A1386" s="11">
        <v>45931</v>
      </c>
      <c r="B1386" s="10" t="s">
        <v>1774</v>
      </c>
      <c r="C1386" s="10" t="s">
        <v>1795</v>
      </c>
      <c r="D1386" s="12">
        <v>4784.17</v>
      </c>
    </row>
    <row r="1387" spans="1:4" x14ac:dyDescent="0.25">
      <c r="A1387" s="14">
        <v>45931</v>
      </c>
      <c r="B1387" s="13" t="s">
        <v>1877</v>
      </c>
      <c r="C1387" s="13" t="s">
        <v>1797</v>
      </c>
      <c r="D1387" s="15">
        <v>3441.35</v>
      </c>
    </row>
    <row r="1388" spans="1:4" x14ac:dyDescent="0.25">
      <c r="A1388" s="11">
        <v>45962</v>
      </c>
      <c r="B1388" s="10" t="s">
        <v>1786</v>
      </c>
      <c r="C1388" s="10" t="s">
        <v>1792</v>
      </c>
      <c r="D1388" s="12">
        <v>9549.93</v>
      </c>
    </row>
    <row r="1389" spans="1:4" x14ac:dyDescent="0.25">
      <c r="A1389" s="14">
        <v>45962</v>
      </c>
      <c r="B1389" s="13" t="s">
        <v>1877</v>
      </c>
      <c r="C1389" s="13" t="s">
        <v>1795</v>
      </c>
      <c r="D1389" s="15">
        <v>3585.94</v>
      </c>
    </row>
    <row r="1390" spans="1:4" x14ac:dyDescent="0.25">
      <c r="A1390" s="11">
        <v>45962</v>
      </c>
      <c r="B1390" s="10" t="s">
        <v>1786</v>
      </c>
      <c r="C1390" s="10" t="s">
        <v>1789</v>
      </c>
      <c r="D1390" s="12">
        <v>6586.74</v>
      </c>
    </row>
    <row r="1391" spans="1:4" x14ac:dyDescent="0.25">
      <c r="A1391" s="14">
        <v>45962</v>
      </c>
      <c r="B1391" s="13" t="s">
        <v>1862</v>
      </c>
      <c r="C1391" s="13" t="s">
        <v>1783</v>
      </c>
      <c r="D1391" s="15">
        <v>6256.08</v>
      </c>
    </row>
    <row r="1392" spans="1:4" x14ac:dyDescent="0.25">
      <c r="A1392" s="11">
        <v>45962</v>
      </c>
      <c r="B1392" s="10" t="s">
        <v>1877</v>
      </c>
      <c r="C1392" s="10" t="s">
        <v>1789</v>
      </c>
      <c r="D1392" s="12">
        <v>7176.53</v>
      </c>
    </row>
    <row r="1393" spans="1:4" x14ac:dyDescent="0.25">
      <c r="A1393" s="14">
        <v>45962</v>
      </c>
      <c r="B1393" s="13" t="s">
        <v>1862</v>
      </c>
      <c r="C1393" s="13" t="s">
        <v>1778</v>
      </c>
      <c r="D1393" s="15">
        <v>9312.15</v>
      </c>
    </row>
    <row r="1394" spans="1:4" x14ac:dyDescent="0.25">
      <c r="A1394" s="11">
        <v>45962</v>
      </c>
      <c r="B1394" s="10" t="s">
        <v>1774</v>
      </c>
      <c r="C1394" s="10" t="s">
        <v>1778</v>
      </c>
      <c r="D1394" s="12">
        <v>21303.5</v>
      </c>
    </row>
    <row r="1395" spans="1:4" x14ac:dyDescent="0.25">
      <c r="A1395" s="14">
        <v>45962</v>
      </c>
      <c r="B1395" s="13" t="s">
        <v>1862</v>
      </c>
      <c r="C1395" s="13" t="s">
        <v>1795</v>
      </c>
      <c r="D1395" s="15">
        <v>2177.5</v>
      </c>
    </row>
    <row r="1396" spans="1:4" x14ac:dyDescent="0.25">
      <c r="A1396" s="11">
        <v>45962</v>
      </c>
      <c r="B1396" s="10" t="s">
        <v>1818</v>
      </c>
      <c r="C1396" s="10" t="s">
        <v>1795</v>
      </c>
      <c r="D1396" s="12">
        <v>2131.37</v>
      </c>
    </row>
    <row r="1397" spans="1:4" x14ac:dyDescent="0.25">
      <c r="A1397" s="14">
        <v>45962</v>
      </c>
      <c r="B1397" s="13" t="s">
        <v>1818</v>
      </c>
      <c r="C1397" s="13" t="s">
        <v>1786</v>
      </c>
      <c r="D1397" s="15">
        <v>6018.43</v>
      </c>
    </row>
    <row r="1398" spans="1:4" x14ac:dyDescent="0.25">
      <c r="A1398" s="11">
        <v>45962</v>
      </c>
      <c r="B1398" s="10" t="s">
        <v>1774</v>
      </c>
      <c r="C1398" s="10" t="s">
        <v>1780</v>
      </c>
      <c r="D1398" s="12">
        <v>10649.51</v>
      </c>
    </row>
    <row r="1399" spans="1:4" x14ac:dyDescent="0.25">
      <c r="A1399" s="14">
        <v>45962</v>
      </c>
      <c r="B1399" s="13" t="s">
        <v>1792</v>
      </c>
      <c r="C1399" s="13" t="s">
        <v>1778</v>
      </c>
      <c r="D1399" s="15">
        <v>20922.349999999999</v>
      </c>
    </row>
    <row r="1400" spans="1:4" x14ac:dyDescent="0.25">
      <c r="A1400" s="11">
        <v>45962</v>
      </c>
      <c r="B1400" s="10" t="s">
        <v>1792</v>
      </c>
      <c r="C1400" s="10" t="s">
        <v>1775</v>
      </c>
      <c r="D1400" s="12">
        <v>83983.48</v>
      </c>
    </row>
    <row r="1401" spans="1:4" x14ac:dyDescent="0.25">
      <c r="A1401" s="14">
        <v>45962</v>
      </c>
      <c r="B1401" s="13" t="s">
        <v>1877</v>
      </c>
      <c r="C1401" s="13" t="s">
        <v>1780</v>
      </c>
      <c r="D1401" s="15">
        <v>6044.74</v>
      </c>
    </row>
    <row r="1402" spans="1:4" x14ac:dyDescent="0.25">
      <c r="A1402" s="11">
        <v>45962</v>
      </c>
      <c r="B1402" s="10" t="s">
        <v>1818</v>
      </c>
      <c r="C1402" s="10" t="s">
        <v>1775</v>
      </c>
      <c r="D1402" s="12">
        <v>31651.81</v>
      </c>
    </row>
    <row r="1403" spans="1:4" x14ac:dyDescent="0.25">
      <c r="A1403" s="14">
        <v>45962</v>
      </c>
      <c r="B1403" s="13" t="s">
        <v>1877</v>
      </c>
      <c r="C1403" s="13" t="s">
        <v>1792</v>
      </c>
      <c r="D1403" s="15">
        <v>9446.07</v>
      </c>
    </row>
    <row r="1404" spans="1:4" x14ac:dyDescent="0.25">
      <c r="A1404" s="11">
        <v>45962</v>
      </c>
      <c r="B1404" s="10" t="s">
        <v>1792</v>
      </c>
      <c r="C1404" s="10" t="s">
        <v>1792</v>
      </c>
      <c r="D1404" s="12">
        <v>12943.64</v>
      </c>
    </row>
    <row r="1405" spans="1:4" x14ac:dyDescent="0.25">
      <c r="A1405" s="14">
        <v>45962</v>
      </c>
      <c r="B1405" s="13" t="s">
        <v>1774</v>
      </c>
      <c r="C1405" s="13" t="s">
        <v>1795</v>
      </c>
      <c r="D1405" s="15">
        <v>6665.47</v>
      </c>
    </row>
    <row r="1406" spans="1:4" x14ac:dyDescent="0.25">
      <c r="A1406" s="11">
        <v>45962</v>
      </c>
      <c r="B1406" s="10" t="s">
        <v>1786</v>
      </c>
      <c r="C1406" s="10" t="s">
        <v>1783</v>
      </c>
      <c r="D1406" s="12">
        <v>13449.17</v>
      </c>
    </row>
    <row r="1407" spans="1:4" x14ac:dyDescent="0.25">
      <c r="A1407" s="14">
        <v>45962</v>
      </c>
      <c r="B1407" s="13" t="s">
        <v>1818</v>
      </c>
      <c r="C1407" s="13" t="s">
        <v>1778</v>
      </c>
      <c r="D1407" s="15">
        <v>7306.39</v>
      </c>
    </row>
    <row r="1408" spans="1:4" x14ac:dyDescent="0.25">
      <c r="A1408" s="11">
        <v>45962</v>
      </c>
      <c r="B1408" s="10" t="s">
        <v>1786</v>
      </c>
      <c r="C1408" s="10" t="s">
        <v>1797</v>
      </c>
      <c r="D1408" s="12">
        <v>4428.6899999999996</v>
      </c>
    </row>
    <row r="1409" spans="1:4" x14ac:dyDescent="0.25">
      <c r="A1409" s="14">
        <v>45962</v>
      </c>
      <c r="B1409" s="13" t="s">
        <v>1818</v>
      </c>
      <c r="C1409" s="13" t="s">
        <v>1797</v>
      </c>
      <c r="D1409" s="15">
        <v>2109.5500000000002</v>
      </c>
    </row>
    <row r="1410" spans="1:4" x14ac:dyDescent="0.25">
      <c r="A1410" s="11">
        <v>45962</v>
      </c>
      <c r="B1410" s="10" t="s">
        <v>1799</v>
      </c>
      <c r="C1410" s="10" t="s">
        <v>1795</v>
      </c>
      <c r="D1410" s="12">
        <v>2348.56</v>
      </c>
    </row>
    <row r="1411" spans="1:4" x14ac:dyDescent="0.25">
      <c r="A1411" s="14">
        <v>45962</v>
      </c>
      <c r="B1411" s="13" t="s">
        <v>1786</v>
      </c>
      <c r="C1411" s="13" t="s">
        <v>1775</v>
      </c>
      <c r="D1411" s="15">
        <v>69843.570000000007</v>
      </c>
    </row>
    <row r="1412" spans="1:4" x14ac:dyDescent="0.25">
      <c r="A1412" s="11">
        <v>45962</v>
      </c>
      <c r="B1412" s="10" t="s">
        <v>1786</v>
      </c>
      <c r="C1412" s="10" t="s">
        <v>1795</v>
      </c>
      <c r="D1412" s="12">
        <v>4473.72</v>
      </c>
    </row>
    <row r="1413" spans="1:4" x14ac:dyDescent="0.25">
      <c r="A1413" s="14">
        <v>45962</v>
      </c>
      <c r="B1413" s="13" t="s">
        <v>1786</v>
      </c>
      <c r="C1413" s="13" t="s">
        <v>1780</v>
      </c>
      <c r="D1413" s="15">
        <v>5972.59</v>
      </c>
    </row>
    <row r="1414" spans="1:4" x14ac:dyDescent="0.25">
      <c r="A1414" s="11">
        <v>45962</v>
      </c>
      <c r="B1414" s="10" t="s">
        <v>1862</v>
      </c>
      <c r="C1414" s="10" t="s">
        <v>1792</v>
      </c>
      <c r="D1414" s="12">
        <v>6858.01</v>
      </c>
    </row>
    <row r="1415" spans="1:4" x14ac:dyDescent="0.25">
      <c r="A1415" s="14">
        <v>45962</v>
      </c>
      <c r="B1415" s="13" t="s">
        <v>1862</v>
      </c>
      <c r="C1415" s="13" t="s">
        <v>1789</v>
      </c>
      <c r="D1415" s="15">
        <v>3971.54</v>
      </c>
    </row>
    <row r="1416" spans="1:4" x14ac:dyDescent="0.25">
      <c r="A1416" s="11">
        <v>45962</v>
      </c>
      <c r="B1416" s="10" t="s">
        <v>1799</v>
      </c>
      <c r="C1416" s="10" t="s">
        <v>1786</v>
      </c>
      <c r="D1416" s="12">
        <v>6010.13</v>
      </c>
    </row>
    <row r="1417" spans="1:4" x14ac:dyDescent="0.25">
      <c r="A1417" s="14">
        <v>45962</v>
      </c>
      <c r="B1417" s="13" t="s">
        <v>1799</v>
      </c>
      <c r="C1417" s="13" t="s">
        <v>1789</v>
      </c>
      <c r="D1417" s="15">
        <v>3970.25</v>
      </c>
    </row>
    <row r="1418" spans="1:4" x14ac:dyDescent="0.25">
      <c r="A1418" s="11">
        <v>45962</v>
      </c>
      <c r="B1418" s="10" t="s">
        <v>1774</v>
      </c>
      <c r="C1418" s="10" t="s">
        <v>1775</v>
      </c>
      <c r="D1418" s="12">
        <v>111007.9</v>
      </c>
    </row>
    <row r="1419" spans="1:4" x14ac:dyDescent="0.25">
      <c r="A1419" s="14">
        <v>45962</v>
      </c>
      <c r="B1419" s="13" t="s">
        <v>1877</v>
      </c>
      <c r="C1419" s="13" t="s">
        <v>1775</v>
      </c>
      <c r="D1419" s="15">
        <v>63857.15</v>
      </c>
    </row>
    <row r="1420" spans="1:4" x14ac:dyDescent="0.25">
      <c r="A1420" s="11">
        <v>45962</v>
      </c>
      <c r="B1420" s="10" t="s">
        <v>1799</v>
      </c>
      <c r="C1420" s="10" t="s">
        <v>1792</v>
      </c>
      <c r="D1420" s="12">
        <v>5474.7</v>
      </c>
    </row>
    <row r="1421" spans="1:4" x14ac:dyDescent="0.25">
      <c r="A1421" s="14">
        <v>45962</v>
      </c>
      <c r="B1421" s="13" t="s">
        <v>1786</v>
      </c>
      <c r="C1421" s="13" t="s">
        <v>1786</v>
      </c>
      <c r="D1421" s="15">
        <v>12059.36</v>
      </c>
    </row>
    <row r="1422" spans="1:4" x14ac:dyDescent="0.25">
      <c r="A1422" s="11">
        <v>45962</v>
      </c>
      <c r="B1422" s="10" t="s">
        <v>1862</v>
      </c>
      <c r="C1422" s="10" t="s">
        <v>1775</v>
      </c>
      <c r="D1422" s="12">
        <v>43097.36</v>
      </c>
    </row>
    <row r="1423" spans="1:4" x14ac:dyDescent="0.25">
      <c r="A1423" s="14">
        <v>45962</v>
      </c>
      <c r="B1423" s="13" t="s">
        <v>1818</v>
      </c>
      <c r="C1423" s="13" t="s">
        <v>1792</v>
      </c>
      <c r="D1423" s="15">
        <v>5304.84</v>
      </c>
    </row>
    <row r="1424" spans="1:4" x14ac:dyDescent="0.25">
      <c r="A1424" s="11">
        <v>45962</v>
      </c>
      <c r="B1424" s="10" t="s">
        <v>1818</v>
      </c>
      <c r="C1424" s="10" t="s">
        <v>1789</v>
      </c>
      <c r="D1424" s="12">
        <v>2991.82</v>
      </c>
    </row>
    <row r="1425" spans="1:4" x14ac:dyDescent="0.25">
      <c r="A1425" s="14">
        <v>45962</v>
      </c>
      <c r="B1425" s="13" t="s">
        <v>1877</v>
      </c>
      <c r="C1425" s="13" t="s">
        <v>1797</v>
      </c>
      <c r="D1425" s="15">
        <v>3070.91</v>
      </c>
    </row>
    <row r="1426" spans="1:4" x14ac:dyDescent="0.25">
      <c r="A1426" s="11">
        <v>45962</v>
      </c>
      <c r="B1426" s="10" t="s">
        <v>1862</v>
      </c>
      <c r="C1426" s="10" t="s">
        <v>1797</v>
      </c>
      <c r="D1426" s="12">
        <v>2167.21</v>
      </c>
    </row>
    <row r="1427" spans="1:4" x14ac:dyDescent="0.25">
      <c r="A1427" s="14">
        <v>45962</v>
      </c>
      <c r="B1427" s="13" t="s">
        <v>1799</v>
      </c>
      <c r="C1427" s="13" t="s">
        <v>1780</v>
      </c>
      <c r="D1427" s="15">
        <v>3716.64</v>
      </c>
    </row>
    <row r="1428" spans="1:4" x14ac:dyDescent="0.25">
      <c r="A1428" s="11">
        <v>45962</v>
      </c>
      <c r="B1428" s="10" t="s">
        <v>1792</v>
      </c>
      <c r="C1428" s="10" t="s">
        <v>1783</v>
      </c>
      <c r="D1428" s="12">
        <v>13310.58</v>
      </c>
    </row>
    <row r="1429" spans="1:4" x14ac:dyDescent="0.25">
      <c r="A1429" s="14">
        <v>45962</v>
      </c>
      <c r="B1429" s="13" t="s">
        <v>1818</v>
      </c>
      <c r="C1429" s="13" t="s">
        <v>1783</v>
      </c>
      <c r="D1429" s="15">
        <v>5565.19</v>
      </c>
    </row>
    <row r="1430" spans="1:4" x14ac:dyDescent="0.25">
      <c r="A1430" s="11">
        <v>45962</v>
      </c>
      <c r="B1430" s="10" t="s">
        <v>1774</v>
      </c>
      <c r="C1430" s="10" t="s">
        <v>1792</v>
      </c>
      <c r="D1430" s="12">
        <v>17219.939999999999</v>
      </c>
    </row>
    <row r="1431" spans="1:4" x14ac:dyDescent="0.25">
      <c r="A1431" s="14">
        <v>45962</v>
      </c>
      <c r="B1431" s="13" t="s">
        <v>1774</v>
      </c>
      <c r="C1431" s="13" t="s">
        <v>1789</v>
      </c>
      <c r="D1431" s="15">
        <v>9405.75</v>
      </c>
    </row>
    <row r="1432" spans="1:4" x14ac:dyDescent="0.25">
      <c r="A1432" s="11">
        <v>45962</v>
      </c>
      <c r="B1432" s="10" t="s">
        <v>1799</v>
      </c>
      <c r="C1432" s="10" t="s">
        <v>1778</v>
      </c>
      <c r="D1432" s="12">
        <v>8465.6200000000008</v>
      </c>
    </row>
    <row r="1433" spans="1:4" x14ac:dyDescent="0.25">
      <c r="A1433" s="14">
        <v>45962</v>
      </c>
      <c r="B1433" s="13" t="s">
        <v>1786</v>
      </c>
      <c r="C1433" s="13" t="s">
        <v>1778</v>
      </c>
      <c r="D1433" s="15">
        <v>13070.93</v>
      </c>
    </row>
    <row r="1434" spans="1:4" x14ac:dyDescent="0.25">
      <c r="A1434" s="11">
        <v>45962</v>
      </c>
      <c r="B1434" s="10" t="s">
        <v>1877</v>
      </c>
      <c r="C1434" s="10" t="s">
        <v>1786</v>
      </c>
      <c r="D1434" s="12">
        <v>10815.72</v>
      </c>
    </row>
    <row r="1435" spans="1:4" x14ac:dyDescent="0.25">
      <c r="A1435" s="14">
        <v>45962</v>
      </c>
      <c r="B1435" s="13" t="s">
        <v>1818</v>
      </c>
      <c r="C1435" s="13" t="s">
        <v>1780</v>
      </c>
      <c r="D1435" s="15">
        <v>3315.88</v>
      </c>
    </row>
    <row r="1436" spans="1:4" x14ac:dyDescent="0.25">
      <c r="A1436" s="11">
        <v>45962</v>
      </c>
      <c r="B1436" s="10" t="s">
        <v>1774</v>
      </c>
      <c r="C1436" s="10" t="s">
        <v>1797</v>
      </c>
      <c r="D1436" s="12">
        <v>5264.82</v>
      </c>
    </row>
    <row r="1437" spans="1:4" x14ac:dyDescent="0.25">
      <c r="A1437" s="14">
        <v>45962</v>
      </c>
      <c r="B1437" s="13" t="s">
        <v>1877</v>
      </c>
      <c r="C1437" s="13" t="s">
        <v>1778</v>
      </c>
      <c r="D1437" s="15">
        <v>12872.86</v>
      </c>
    </row>
    <row r="1438" spans="1:4" x14ac:dyDescent="0.25">
      <c r="A1438" s="11">
        <v>45962</v>
      </c>
      <c r="B1438" s="10" t="s">
        <v>1862</v>
      </c>
      <c r="C1438" s="10" t="s">
        <v>1786</v>
      </c>
      <c r="D1438" s="12">
        <v>6870.98</v>
      </c>
    </row>
    <row r="1439" spans="1:4" x14ac:dyDescent="0.25">
      <c r="A1439" s="14">
        <v>45962</v>
      </c>
      <c r="B1439" s="13" t="s">
        <v>1799</v>
      </c>
      <c r="C1439" s="13" t="s">
        <v>1783</v>
      </c>
      <c r="D1439" s="15">
        <v>7917.04</v>
      </c>
    </row>
    <row r="1440" spans="1:4" x14ac:dyDescent="0.25">
      <c r="A1440" s="11">
        <v>45962</v>
      </c>
      <c r="B1440" s="10" t="s">
        <v>1792</v>
      </c>
      <c r="C1440" s="10" t="s">
        <v>1789</v>
      </c>
      <c r="D1440" s="12">
        <v>7101.44</v>
      </c>
    </row>
    <row r="1441" spans="1:4" x14ac:dyDescent="0.25">
      <c r="A1441" s="14">
        <v>45962</v>
      </c>
      <c r="B1441" s="13" t="s">
        <v>1792</v>
      </c>
      <c r="C1441" s="13" t="s">
        <v>1780</v>
      </c>
      <c r="D1441" s="15">
        <v>7710.98</v>
      </c>
    </row>
    <row r="1442" spans="1:4" x14ac:dyDescent="0.25">
      <c r="A1442" s="11">
        <v>45962</v>
      </c>
      <c r="B1442" s="10" t="s">
        <v>1774</v>
      </c>
      <c r="C1442" s="10" t="s">
        <v>1783</v>
      </c>
      <c r="D1442" s="12">
        <v>14802.39</v>
      </c>
    </row>
    <row r="1443" spans="1:4" x14ac:dyDescent="0.25">
      <c r="A1443" s="14">
        <v>45962</v>
      </c>
      <c r="B1443" s="13" t="s">
        <v>1877</v>
      </c>
      <c r="C1443" s="13" t="s">
        <v>1783</v>
      </c>
      <c r="D1443" s="15">
        <v>10316.85</v>
      </c>
    </row>
    <row r="1444" spans="1:4" x14ac:dyDescent="0.25">
      <c r="A1444" s="11">
        <v>45962</v>
      </c>
      <c r="B1444" s="10" t="s">
        <v>1799</v>
      </c>
      <c r="C1444" s="10" t="s">
        <v>1775</v>
      </c>
      <c r="D1444" s="12">
        <v>42701.65</v>
      </c>
    </row>
    <row r="1445" spans="1:4" x14ac:dyDescent="0.25">
      <c r="A1445" s="14">
        <v>45962</v>
      </c>
      <c r="B1445" s="13" t="s">
        <v>1792</v>
      </c>
      <c r="C1445" s="13" t="s">
        <v>1795</v>
      </c>
      <c r="D1445" s="15">
        <v>5616.73</v>
      </c>
    </row>
    <row r="1446" spans="1:4" x14ac:dyDescent="0.25">
      <c r="A1446" s="11">
        <v>45962</v>
      </c>
      <c r="B1446" s="10" t="s">
        <v>1799</v>
      </c>
      <c r="C1446" s="10" t="s">
        <v>1797</v>
      </c>
      <c r="D1446" s="12">
        <v>2714.84</v>
      </c>
    </row>
    <row r="1447" spans="1:4" x14ac:dyDescent="0.25">
      <c r="A1447" s="14">
        <v>45962</v>
      </c>
      <c r="B1447" s="13" t="s">
        <v>1774</v>
      </c>
      <c r="C1447" s="13" t="s">
        <v>1786</v>
      </c>
      <c r="D1447" s="15">
        <v>17420.91</v>
      </c>
    </row>
    <row r="1448" spans="1:4" x14ac:dyDescent="0.25">
      <c r="A1448" s="11">
        <v>45962</v>
      </c>
      <c r="B1448" s="10" t="s">
        <v>1862</v>
      </c>
      <c r="C1448" s="10" t="s">
        <v>1780</v>
      </c>
      <c r="D1448" s="12">
        <v>4613.2299999999996</v>
      </c>
    </row>
    <row r="1449" spans="1:4" x14ac:dyDescent="0.25">
      <c r="A1449" s="14">
        <v>45962</v>
      </c>
      <c r="B1449" s="13" t="s">
        <v>1792</v>
      </c>
      <c r="C1449" s="13" t="s">
        <v>1786</v>
      </c>
      <c r="D1449" s="15">
        <v>14373.49</v>
      </c>
    </row>
    <row r="1450" spans="1:4" x14ac:dyDescent="0.25">
      <c r="A1450" s="11">
        <v>45962</v>
      </c>
      <c r="B1450" s="10" t="s">
        <v>1792</v>
      </c>
      <c r="C1450" s="10" t="s">
        <v>1797</v>
      </c>
      <c r="D1450" s="12">
        <v>4715.1099999999997</v>
      </c>
    </row>
    <row r="1451" spans="1:4" x14ac:dyDescent="0.25">
      <c r="A1451" s="14">
        <v>45992</v>
      </c>
      <c r="B1451" s="13" t="s">
        <v>1818</v>
      </c>
      <c r="C1451" s="13" t="s">
        <v>1797</v>
      </c>
      <c r="D1451" s="15">
        <v>1724.44</v>
      </c>
    </row>
    <row r="1452" spans="1:4" x14ac:dyDescent="0.25">
      <c r="A1452" s="11">
        <v>45992</v>
      </c>
      <c r="B1452" s="10" t="s">
        <v>1818</v>
      </c>
      <c r="C1452" s="10" t="s">
        <v>1775</v>
      </c>
      <c r="D1452" s="12">
        <v>39115.31</v>
      </c>
    </row>
    <row r="1453" spans="1:4" x14ac:dyDescent="0.25">
      <c r="A1453" s="14">
        <v>45992</v>
      </c>
      <c r="B1453" s="13" t="s">
        <v>1774</v>
      </c>
      <c r="C1453" s="13" t="s">
        <v>1795</v>
      </c>
      <c r="D1453" s="15">
        <v>5967.6</v>
      </c>
    </row>
    <row r="1454" spans="1:4" x14ac:dyDescent="0.25">
      <c r="A1454" s="11">
        <v>45992</v>
      </c>
      <c r="B1454" s="10" t="s">
        <v>1786</v>
      </c>
      <c r="C1454" s="10" t="s">
        <v>1775</v>
      </c>
      <c r="D1454" s="12">
        <v>54080.39</v>
      </c>
    </row>
    <row r="1455" spans="1:4" x14ac:dyDescent="0.25">
      <c r="A1455" s="14">
        <v>45992</v>
      </c>
      <c r="B1455" s="13" t="s">
        <v>1877</v>
      </c>
      <c r="C1455" s="13" t="s">
        <v>1778</v>
      </c>
      <c r="D1455" s="15">
        <v>12011.09</v>
      </c>
    </row>
    <row r="1456" spans="1:4" x14ac:dyDescent="0.25">
      <c r="A1456" s="11">
        <v>45992</v>
      </c>
      <c r="B1456" s="10" t="s">
        <v>1818</v>
      </c>
      <c r="C1456" s="10" t="s">
        <v>1778</v>
      </c>
      <c r="D1456" s="12">
        <v>5666.48</v>
      </c>
    </row>
    <row r="1457" spans="1:4" x14ac:dyDescent="0.25">
      <c r="A1457" s="14">
        <v>45992</v>
      </c>
      <c r="B1457" s="13" t="s">
        <v>1799</v>
      </c>
      <c r="C1457" s="13" t="s">
        <v>1789</v>
      </c>
      <c r="D1457" s="15">
        <v>4637.49</v>
      </c>
    </row>
    <row r="1458" spans="1:4" x14ac:dyDescent="0.25">
      <c r="A1458" s="11">
        <v>45992</v>
      </c>
      <c r="B1458" s="10" t="s">
        <v>1774</v>
      </c>
      <c r="C1458" s="10" t="s">
        <v>1789</v>
      </c>
      <c r="D1458" s="12">
        <v>9351.5</v>
      </c>
    </row>
    <row r="1459" spans="1:4" x14ac:dyDescent="0.25">
      <c r="A1459" s="14">
        <v>45992</v>
      </c>
      <c r="B1459" s="13" t="s">
        <v>1774</v>
      </c>
      <c r="C1459" s="13" t="s">
        <v>1792</v>
      </c>
      <c r="D1459" s="15">
        <v>17688.87</v>
      </c>
    </row>
    <row r="1460" spans="1:4" x14ac:dyDescent="0.25">
      <c r="A1460" s="11">
        <v>45992</v>
      </c>
      <c r="B1460" s="10" t="s">
        <v>1786</v>
      </c>
      <c r="C1460" s="10" t="s">
        <v>1780</v>
      </c>
      <c r="D1460" s="12">
        <v>6291.33</v>
      </c>
    </row>
    <row r="1461" spans="1:4" x14ac:dyDescent="0.25">
      <c r="A1461" s="14">
        <v>45992</v>
      </c>
      <c r="B1461" s="13" t="s">
        <v>1862</v>
      </c>
      <c r="C1461" s="13" t="s">
        <v>1786</v>
      </c>
      <c r="D1461" s="15">
        <v>4988.34</v>
      </c>
    </row>
    <row r="1462" spans="1:4" x14ac:dyDescent="0.25">
      <c r="A1462" s="11">
        <v>45992</v>
      </c>
      <c r="B1462" s="10" t="s">
        <v>1862</v>
      </c>
      <c r="C1462" s="10" t="s">
        <v>1775</v>
      </c>
      <c r="D1462" s="12">
        <v>42366.91</v>
      </c>
    </row>
    <row r="1463" spans="1:4" x14ac:dyDescent="0.25">
      <c r="A1463" s="14">
        <v>45992</v>
      </c>
      <c r="B1463" s="13" t="s">
        <v>1786</v>
      </c>
      <c r="C1463" s="13" t="s">
        <v>1783</v>
      </c>
      <c r="D1463" s="15">
        <v>9945.4</v>
      </c>
    </row>
    <row r="1464" spans="1:4" x14ac:dyDescent="0.25">
      <c r="A1464" s="11">
        <v>45992</v>
      </c>
      <c r="B1464" s="10" t="s">
        <v>1877</v>
      </c>
      <c r="C1464" s="10" t="s">
        <v>1797</v>
      </c>
      <c r="D1464" s="12">
        <v>4367.6899999999996</v>
      </c>
    </row>
    <row r="1465" spans="1:4" x14ac:dyDescent="0.25">
      <c r="A1465" s="14">
        <v>45992</v>
      </c>
      <c r="B1465" s="13" t="s">
        <v>1877</v>
      </c>
      <c r="C1465" s="13" t="s">
        <v>1775</v>
      </c>
      <c r="D1465" s="15">
        <v>63858.42</v>
      </c>
    </row>
    <row r="1466" spans="1:4" x14ac:dyDescent="0.25">
      <c r="A1466" s="11">
        <v>45992</v>
      </c>
      <c r="B1466" s="10" t="s">
        <v>1862</v>
      </c>
      <c r="C1466" s="10" t="s">
        <v>1778</v>
      </c>
      <c r="D1466" s="12">
        <v>10193.959999999999</v>
      </c>
    </row>
    <row r="1467" spans="1:4" x14ac:dyDescent="0.25">
      <c r="A1467" s="14">
        <v>45992</v>
      </c>
      <c r="B1467" s="13" t="s">
        <v>1818</v>
      </c>
      <c r="C1467" s="13" t="s">
        <v>1786</v>
      </c>
      <c r="D1467" s="15">
        <v>6053.24</v>
      </c>
    </row>
    <row r="1468" spans="1:4" x14ac:dyDescent="0.25">
      <c r="A1468" s="11">
        <v>45992</v>
      </c>
      <c r="B1468" s="10" t="s">
        <v>1799</v>
      </c>
      <c r="C1468" s="10" t="s">
        <v>1780</v>
      </c>
      <c r="D1468" s="12">
        <v>4568.13</v>
      </c>
    </row>
    <row r="1469" spans="1:4" x14ac:dyDescent="0.25">
      <c r="A1469" s="14">
        <v>45992</v>
      </c>
      <c r="B1469" s="13" t="s">
        <v>1786</v>
      </c>
      <c r="C1469" s="13" t="s">
        <v>1797</v>
      </c>
      <c r="D1469" s="15">
        <v>3794.74</v>
      </c>
    </row>
    <row r="1470" spans="1:4" x14ac:dyDescent="0.25">
      <c r="A1470" s="11">
        <v>45992</v>
      </c>
      <c r="B1470" s="10" t="s">
        <v>1792</v>
      </c>
      <c r="C1470" s="10" t="s">
        <v>1783</v>
      </c>
      <c r="D1470" s="12">
        <v>13439.95</v>
      </c>
    </row>
    <row r="1471" spans="1:4" x14ac:dyDescent="0.25">
      <c r="A1471" s="14">
        <v>45992</v>
      </c>
      <c r="B1471" s="13" t="s">
        <v>1862</v>
      </c>
      <c r="C1471" s="13" t="s">
        <v>1780</v>
      </c>
      <c r="D1471" s="15">
        <v>4748.8</v>
      </c>
    </row>
    <row r="1472" spans="1:4" x14ac:dyDescent="0.25">
      <c r="A1472" s="11">
        <v>45992</v>
      </c>
      <c r="B1472" s="10" t="s">
        <v>1799</v>
      </c>
      <c r="C1472" s="10" t="s">
        <v>1797</v>
      </c>
      <c r="D1472" s="12">
        <v>2726.23</v>
      </c>
    </row>
    <row r="1473" spans="1:4" x14ac:dyDescent="0.25">
      <c r="A1473" s="14">
        <v>45992</v>
      </c>
      <c r="B1473" s="13" t="s">
        <v>1786</v>
      </c>
      <c r="C1473" s="13" t="s">
        <v>1789</v>
      </c>
      <c r="D1473" s="15">
        <v>7367.84</v>
      </c>
    </row>
    <row r="1474" spans="1:4" x14ac:dyDescent="0.25">
      <c r="A1474" s="11">
        <v>45992</v>
      </c>
      <c r="B1474" s="10" t="s">
        <v>1818</v>
      </c>
      <c r="C1474" s="10" t="s">
        <v>1780</v>
      </c>
      <c r="D1474" s="12">
        <v>3534.39</v>
      </c>
    </row>
    <row r="1475" spans="1:4" x14ac:dyDescent="0.25">
      <c r="A1475" s="14">
        <v>45992</v>
      </c>
      <c r="B1475" s="13" t="s">
        <v>1799</v>
      </c>
      <c r="C1475" s="13" t="s">
        <v>1778</v>
      </c>
      <c r="D1475" s="15">
        <v>9742.85</v>
      </c>
    </row>
    <row r="1476" spans="1:4" x14ac:dyDescent="0.25">
      <c r="A1476" s="11">
        <v>45992</v>
      </c>
      <c r="B1476" s="10" t="s">
        <v>1786</v>
      </c>
      <c r="C1476" s="10" t="s">
        <v>1778</v>
      </c>
      <c r="D1476" s="12">
        <v>12517.96</v>
      </c>
    </row>
    <row r="1477" spans="1:4" x14ac:dyDescent="0.25">
      <c r="A1477" s="14">
        <v>45992</v>
      </c>
      <c r="B1477" s="13" t="s">
        <v>1792</v>
      </c>
      <c r="C1477" s="13" t="s">
        <v>1780</v>
      </c>
      <c r="D1477" s="15">
        <v>9624.2900000000009</v>
      </c>
    </row>
    <row r="1478" spans="1:4" x14ac:dyDescent="0.25">
      <c r="A1478" s="11">
        <v>45992</v>
      </c>
      <c r="B1478" s="10" t="s">
        <v>1774</v>
      </c>
      <c r="C1478" s="10" t="s">
        <v>1797</v>
      </c>
      <c r="D1478" s="12">
        <v>6963.29</v>
      </c>
    </row>
    <row r="1479" spans="1:4" x14ac:dyDescent="0.25">
      <c r="A1479" s="14">
        <v>45992</v>
      </c>
      <c r="B1479" s="13" t="s">
        <v>1877</v>
      </c>
      <c r="C1479" s="13" t="s">
        <v>1789</v>
      </c>
      <c r="D1479" s="15">
        <v>6803.23</v>
      </c>
    </row>
    <row r="1480" spans="1:4" x14ac:dyDescent="0.25">
      <c r="A1480" s="11">
        <v>45992</v>
      </c>
      <c r="B1480" s="10" t="s">
        <v>1786</v>
      </c>
      <c r="C1480" s="10" t="s">
        <v>1795</v>
      </c>
      <c r="D1480" s="12">
        <v>5044.13</v>
      </c>
    </row>
    <row r="1481" spans="1:4" x14ac:dyDescent="0.25">
      <c r="A1481" s="14">
        <v>45992</v>
      </c>
      <c r="B1481" s="13" t="s">
        <v>1774</v>
      </c>
      <c r="C1481" s="13" t="s">
        <v>1775</v>
      </c>
      <c r="D1481" s="15">
        <v>115953.87</v>
      </c>
    </row>
    <row r="1482" spans="1:4" x14ac:dyDescent="0.25">
      <c r="A1482" s="11">
        <v>45992</v>
      </c>
      <c r="B1482" s="10" t="s">
        <v>1862</v>
      </c>
      <c r="C1482" s="10" t="s">
        <v>1783</v>
      </c>
      <c r="D1482" s="12">
        <v>7099.89</v>
      </c>
    </row>
    <row r="1483" spans="1:4" x14ac:dyDescent="0.25">
      <c r="A1483" s="14">
        <v>45992</v>
      </c>
      <c r="B1483" s="13" t="s">
        <v>1818</v>
      </c>
      <c r="C1483" s="13" t="s">
        <v>1789</v>
      </c>
      <c r="D1483" s="15">
        <v>2746.17</v>
      </c>
    </row>
    <row r="1484" spans="1:4" x14ac:dyDescent="0.25">
      <c r="A1484" s="11">
        <v>45992</v>
      </c>
      <c r="B1484" s="10" t="s">
        <v>1792</v>
      </c>
      <c r="C1484" s="10" t="s">
        <v>1778</v>
      </c>
      <c r="D1484" s="12">
        <v>20513.98</v>
      </c>
    </row>
    <row r="1485" spans="1:4" x14ac:dyDescent="0.25">
      <c r="A1485" s="14">
        <v>45992</v>
      </c>
      <c r="B1485" s="13" t="s">
        <v>1877</v>
      </c>
      <c r="C1485" s="13" t="s">
        <v>1780</v>
      </c>
      <c r="D1485" s="15">
        <v>6953.82</v>
      </c>
    </row>
    <row r="1486" spans="1:4" x14ac:dyDescent="0.25">
      <c r="A1486" s="11">
        <v>45992</v>
      </c>
      <c r="B1486" s="10" t="s">
        <v>1818</v>
      </c>
      <c r="C1486" s="10" t="s">
        <v>1783</v>
      </c>
      <c r="D1486" s="12">
        <v>5617.52</v>
      </c>
    </row>
    <row r="1487" spans="1:4" x14ac:dyDescent="0.25">
      <c r="A1487" s="14">
        <v>45992</v>
      </c>
      <c r="B1487" s="13" t="s">
        <v>1799</v>
      </c>
      <c r="C1487" s="13" t="s">
        <v>1786</v>
      </c>
      <c r="D1487" s="15">
        <v>6356.3</v>
      </c>
    </row>
    <row r="1488" spans="1:4" x14ac:dyDescent="0.25">
      <c r="A1488" s="11">
        <v>45992</v>
      </c>
      <c r="B1488" s="10" t="s">
        <v>1799</v>
      </c>
      <c r="C1488" s="10" t="s">
        <v>1795</v>
      </c>
      <c r="D1488" s="12">
        <v>2377.5500000000002</v>
      </c>
    </row>
    <row r="1489" spans="1:4" x14ac:dyDescent="0.25">
      <c r="A1489" s="14">
        <v>45992</v>
      </c>
      <c r="B1489" s="13" t="s">
        <v>1786</v>
      </c>
      <c r="C1489" s="13" t="s">
        <v>1792</v>
      </c>
      <c r="D1489" s="15">
        <v>10659.89</v>
      </c>
    </row>
    <row r="1490" spans="1:4" x14ac:dyDescent="0.25">
      <c r="A1490" s="11">
        <v>45992</v>
      </c>
      <c r="B1490" s="10" t="s">
        <v>1792</v>
      </c>
      <c r="C1490" s="10" t="s">
        <v>1789</v>
      </c>
      <c r="D1490" s="12">
        <v>8813.5300000000007</v>
      </c>
    </row>
    <row r="1491" spans="1:4" x14ac:dyDescent="0.25">
      <c r="A1491" s="14">
        <v>45992</v>
      </c>
      <c r="B1491" s="13" t="s">
        <v>1792</v>
      </c>
      <c r="C1491" s="13" t="s">
        <v>1797</v>
      </c>
      <c r="D1491" s="15">
        <v>4372.3</v>
      </c>
    </row>
    <row r="1492" spans="1:4" x14ac:dyDescent="0.25">
      <c r="A1492" s="11">
        <v>45992</v>
      </c>
      <c r="B1492" s="10" t="s">
        <v>1786</v>
      </c>
      <c r="C1492" s="10" t="s">
        <v>1786</v>
      </c>
      <c r="D1492" s="12">
        <v>8941.51</v>
      </c>
    </row>
    <row r="1493" spans="1:4" x14ac:dyDescent="0.25">
      <c r="A1493" s="14">
        <v>45992</v>
      </c>
      <c r="B1493" s="13" t="s">
        <v>1862</v>
      </c>
      <c r="C1493" s="13" t="s">
        <v>1789</v>
      </c>
      <c r="D1493" s="15">
        <v>3706.22</v>
      </c>
    </row>
    <row r="1494" spans="1:4" x14ac:dyDescent="0.25">
      <c r="A1494" s="11">
        <v>45992</v>
      </c>
      <c r="B1494" s="10" t="s">
        <v>1818</v>
      </c>
      <c r="C1494" s="10" t="s">
        <v>1795</v>
      </c>
      <c r="D1494" s="12">
        <v>2081.34</v>
      </c>
    </row>
    <row r="1495" spans="1:4" x14ac:dyDescent="0.25">
      <c r="A1495" s="14">
        <v>45992</v>
      </c>
      <c r="B1495" s="13" t="s">
        <v>1877</v>
      </c>
      <c r="C1495" s="13" t="s">
        <v>1792</v>
      </c>
      <c r="D1495" s="15">
        <v>11193.03</v>
      </c>
    </row>
    <row r="1496" spans="1:4" x14ac:dyDescent="0.25">
      <c r="A1496" s="11">
        <v>45992</v>
      </c>
      <c r="B1496" s="10" t="s">
        <v>1862</v>
      </c>
      <c r="C1496" s="10" t="s">
        <v>1795</v>
      </c>
      <c r="D1496" s="12">
        <v>2323.9899999999998</v>
      </c>
    </row>
    <row r="1497" spans="1:4" x14ac:dyDescent="0.25">
      <c r="A1497" s="14">
        <v>45992</v>
      </c>
      <c r="B1497" s="13" t="s">
        <v>1877</v>
      </c>
      <c r="C1497" s="13" t="s">
        <v>1786</v>
      </c>
      <c r="D1497" s="15">
        <v>9811.76</v>
      </c>
    </row>
    <row r="1498" spans="1:4" x14ac:dyDescent="0.25">
      <c r="A1498" s="11">
        <v>45992</v>
      </c>
      <c r="B1498" s="10" t="s">
        <v>1792</v>
      </c>
      <c r="C1498" s="10" t="s">
        <v>1792</v>
      </c>
      <c r="D1498" s="12">
        <v>13898.81</v>
      </c>
    </row>
    <row r="1499" spans="1:4" x14ac:dyDescent="0.25">
      <c r="A1499" s="14">
        <v>45992</v>
      </c>
      <c r="B1499" s="13" t="s">
        <v>1877</v>
      </c>
      <c r="C1499" s="13" t="s">
        <v>1783</v>
      </c>
      <c r="D1499" s="15">
        <v>10226.459999999999</v>
      </c>
    </row>
    <row r="1500" spans="1:4" x14ac:dyDescent="0.25">
      <c r="A1500" s="11">
        <v>45992</v>
      </c>
      <c r="B1500" s="10" t="s">
        <v>1792</v>
      </c>
      <c r="C1500" s="10" t="s">
        <v>1786</v>
      </c>
      <c r="D1500" s="12">
        <v>11770.62</v>
      </c>
    </row>
    <row r="1501" spans="1:4" x14ac:dyDescent="0.25">
      <c r="A1501" s="14">
        <v>45992</v>
      </c>
      <c r="B1501" s="13" t="s">
        <v>1877</v>
      </c>
      <c r="C1501" s="13" t="s">
        <v>1795</v>
      </c>
      <c r="D1501" s="15">
        <v>3714.93</v>
      </c>
    </row>
    <row r="1502" spans="1:4" x14ac:dyDescent="0.25">
      <c r="A1502" s="11">
        <v>45992</v>
      </c>
      <c r="B1502" s="10" t="s">
        <v>1799</v>
      </c>
      <c r="C1502" s="10" t="s">
        <v>1775</v>
      </c>
      <c r="D1502" s="12">
        <v>52013.16</v>
      </c>
    </row>
    <row r="1503" spans="1:4" x14ac:dyDescent="0.25">
      <c r="A1503" s="14">
        <v>45992</v>
      </c>
      <c r="B1503" s="13" t="s">
        <v>1774</v>
      </c>
      <c r="C1503" s="13" t="s">
        <v>1783</v>
      </c>
      <c r="D1503" s="15">
        <v>12017.79</v>
      </c>
    </row>
    <row r="1504" spans="1:4" x14ac:dyDescent="0.25">
      <c r="A1504" s="11">
        <v>45992</v>
      </c>
      <c r="B1504" s="10" t="s">
        <v>1774</v>
      </c>
      <c r="C1504" s="10" t="s">
        <v>1780</v>
      </c>
      <c r="D1504" s="12">
        <v>10681.46</v>
      </c>
    </row>
    <row r="1505" spans="1:4" x14ac:dyDescent="0.25">
      <c r="A1505" s="14">
        <v>45992</v>
      </c>
      <c r="B1505" s="13" t="s">
        <v>1862</v>
      </c>
      <c r="C1505" s="13" t="s">
        <v>1797</v>
      </c>
      <c r="D1505" s="15">
        <v>2956.11</v>
      </c>
    </row>
    <row r="1506" spans="1:4" x14ac:dyDescent="0.25">
      <c r="A1506" s="11">
        <v>45992</v>
      </c>
      <c r="B1506" s="10" t="s">
        <v>1799</v>
      </c>
      <c r="C1506" s="10" t="s">
        <v>1783</v>
      </c>
      <c r="D1506" s="12">
        <v>7451.42</v>
      </c>
    </row>
    <row r="1507" spans="1:4" x14ac:dyDescent="0.25">
      <c r="A1507" s="14">
        <v>45992</v>
      </c>
      <c r="B1507" s="13" t="s">
        <v>1862</v>
      </c>
      <c r="C1507" s="13" t="s">
        <v>1792</v>
      </c>
      <c r="D1507" s="15">
        <v>6084.51</v>
      </c>
    </row>
    <row r="1508" spans="1:4" x14ac:dyDescent="0.25">
      <c r="A1508" s="11">
        <v>45992</v>
      </c>
      <c r="B1508" s="10" t="s">
        <v>1799</v>
      </c>
      <c r="C1508" s="10" t="s">
        <v>1792</v>
      </c>
      <c r="D1508" s="12">
        <v>6717.33</v>
      </c>
    </row>
    <row r="1509" spans="1:4" x14ac:dyDescent="0.25">
      <c r="A1509" s="14">
        <v>45992</v>
      </c>
      <c r="B1509" s="13" t="s">
        <v>1774</v>
      </c>
      <c r="C1509" s="13" t="s">
        <v>1778</v>
      </c>
      <c r="D1509" s="15">
        <v>19514.28</v>
      </c>
    </row>
    <row r="1510" spans="1:4" x14ac:dyDescent="0.25">
      <c r="A1510" s="11">
        <v>45992</v>
      </c>
      <c r="B1510" s="10" t="s">
        <v>1774</v>
      </c>
      <c r="C1510" s="10" t="s">
        <v>1786</v>
      </c>
      <c r="D1510" s="12">
        <v>12638.41</v>
      </c>
    </row>
    <row r="1511" spans="1:4" x14ac:dyDescent="0.25">
      <c r="A1511" s="14">
        <v>45992</v>
      </c>
      <c r="B1511" s="13" t="s">
        <v>1818</v>
      </c>
      <c r="C1511" s="13" t="s">
        <v>1792</v>
      </c>
      <c r="D1511" s="15">
        <v>5606.56</v>
      </c>
    </row>
    <row r="1512" spans="1:4" x14ac:dyDescent="0.25">
      <c r="A1512" s="11">
        <v>45992</v>
      </c>
      <c r="B1512" s="10" t="s">
        <v>1792</v>
      </c>
      <c r="C1512" s="10" t="s">
        <v>1775</v>
      </c>
      <c r="D1512" s="12">
        <v>89280.5</v>
      </c>
    </row>
    <row r="1513" spans="1:4" x14ac:dyDescent="0.25">
      <c r="A1513" s="14">
        <v>45992</v>
      </c>
      <c r="B1513" s="13" t="s">
        <v>1792</v>
      </c>
      <c r="C1513" s="13" t="s">
        <v>1795</v>
      </c>
      <c r="D1513" s="15">
        <v>5838.96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79998168889431442"/>
  </sheetPr>
  <dimension ref="A1:D6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5" customWidth="1"/>
    <col min="3" max="3" width="12" customWidth="1"/>
    <col min="4" max="4" width="11" customWidth="1"/>
  </cols>
  <sheetData>
    <row r="1" spans="1:4" ht="30" customHeight="1" x14ac:dyDescent="0.25">
      <c r="A1" s="18" t="s">
        <v>29</v>
      </c>
      <c r="B1" s="18" t="s">
        <v>3379</v>
      </c>
      <c r="C1" s="18" t="s">
        <v>3380</v>
      </c>
      <c r="D1" s="18" t="s">
        <v>3381</v>
      </c>
    </row>
    <row r="2" spans="1:4" x14ac:dyDescent="0.25">
      <c r="A2" s="10" t="s">
        <v>184</v>
      </c>
      <c r="B2" s="10" t="s">
        <v>3382</v>
      </c>
      <c r="C2" s="10" t="s">
        <v>3383</v>
      </c>
      <c r="D2" s="10" t="s">
        <v>3384</v>
      </c>
    </row>
    <row r="3" spans="1:4" x14ac:dyDescent="0.25">
      <c r="A3" s="13" t="s">
        <v>123</v>
      </c>
      <c r="B3" s="13" t="s">
        <v>3385</v>
      </c>
      <c r="C3" s="13" t="s">
        <v>3383</v>
      </c>
      <c r="D3" s="13" t="s">
        <v>3386</v>
      </c>
    </row>
    <row r="4" spans="1:4" x14ac:dyDescent="0.25">
      <c r="A4" s="10" t="s">
        <v>85</v>
      </c>
      <c r="B4" s="10" t="s">
        <v>3387</v>
      </c>
      <c r="C4" s="10" t="s">
        <v>3383</v>
      </c>
      <c r="D4" s="10" t="s">
        <v>3384</v>
      </c>
    </row>
    <row r="5" spans="1:4" x14ac:dyDescent="0.25">
      <c r="A5" s="13" t="s">
        <v>136</v>
      </c>
      <c r="B5" s="13" t="s">
        <v>3388</v>
      </c>
      <c r="C5" s="13" t="s">
        <v>3389</v>
      </c>
      <c r="D5" s="13" t="s">
        <v>3384</v>
      </c>
    </row>
    <row r="6" spans="1:4" x14ac:dyDescent="0.25">
      <c r="A6" s="10" t="s">
        <v>138</v>
      </c>
      <c r="B6" s="10" t="s">
        <v>3390</v>
      </c>
      <c r="C6" s="10" t="s">
        <v>3383</v>
      </c>
      <c r="D6" s="10" t="s">
        <v>3386</v>
      </c>
    </row>
    <row r="7" spans="1:4" x14ac:dyDescent="0.25">
      <c r="A7" s="13" t="s">
        <v>72</v>
      </c>
      <c r="B7" s="13" t="s">
        <v>3391</v>
      </c>
      <c r="C7" s="13" t="s">
        <v>3383</v>
      </c>
      <c r="D7" s="13" t="s">
        <v>3392</v>
      </c>
    </row>
    <row r="8" spans="1:4" x14ac:dyDescent="0.25">
      <c r="A8" s="10" t="s">
        <v>101</v>
      </c>
      <c r="B8" s="10" t="s">
        <v>3393</v>
      </c>
      <c r="C8" s="10" t="s">
        <v>3383</v>
      </c>
      <c r="D8" s="10" t="s">
        <v>3384</v>
      </c>
    </row>
    <row r="9" spans="1:4" x14ac:dyDescent="0.25">
      <c r="A9" s="13" t="s">
        <v>180</v>
      </c>
      <c r="B9" s="13" t="s">
        <v>3394</v>
      </c>
      <c r="C9" s="13" t="s">
        <v>3383</v>
      </c>
      <c r="D9" s="13" t="s">
        <v>3384</v>
      </c>
    </row>
    <row r="10" spans="1:4" x14ac:dyDescent="0.25">
      <c r="A10" s="10" t="s">
        <v>97</v>
      </c>
      <c r="B10" s="10" t="s">
        <v>3395</v>
      </c>
      <c r="C10" s="10" t="s">
        <v>3396</v>
      </c>
      <c r="D10" s="10" t="s">
        <v>3386</v>
      </c>
    </row>
    <row r="11" spans="1:4" x14ac:dyDescent="0.25">
      <c r="A11" s="13" t="s">
        <v>125</v>
      </c>
      <c r="B11" s="13" t="s">
        <v>3397</v>
      </c>
      <c r="C11" s="13" t="s">
        <v>3383</v>
      </c>
      <c r="D11" s="13" t="s">
        <v>3386</v>
      </c>
    </row>
    <row r="12" spans="1:4" x14ac:dyDescent="0.25">
      <c r="A12" s="10" t="s">
        <v>87</v>
      </c>
      <c r="B12" s="10" t="s">
        <v>3398</v>
      </c>
      <c r="C12" s="10" t="s">
        <v>3396</v>
      </c>
      <c r="D12" s="10" t="s">
        <v>3386</v>
      </c>
    </row>
    <row r="13" spans="1:4" x14ac:dyDescent="0.25">
      <c r="A13" s="13" t="s">
        <v>91</v>
      </c>
      <c r="B13" s="13" t="s">
        <v>3399</v>
      </c>
      <c r="C13" s="13" t="s">
        <v>3383</v>
      </c>
      <c r="D13" s="13" t="s">
        <v>3392</v>
      </c>
    </row>
    <row r="14" spans="1:4" x14ac:dyDescent="0.25">
      <c r="A14" s="10" t="s">
        <v>215</v>
      </c>
      <c r="B14" s="10" t="s">
        <v>3400</v>
      </c>
      <c r="C14" s="10" t="s">
        <v>3389</v>
      </c>
      <c r="D14" s="10" t="s">
        <v>3384</v>
      </c>
    </row>
    <row r="15" spans="1:4" x14ac:dyDescent="0.25">
      <c r="A15" s="13" t="s">
        <v>314</v>
      </c>
      <c r="B15" s="13" t="s">
        <v>3401</v>
      </c>
      <c r="C15" s="13" t="s">
        <v>3396</v>
      </c>
      <c r="D15" s="13" t="s">
        <v>3384</v>
      </c>
    </row>
    <row r="16" spans="1:4" x14ac:dyDescent="0.25">
      <c r="A16" s="10" t="s">
        <v>198</v>
      </c>
      <c r="B16" s="10" t="s">
        <v>3402</v>
      </c>
      <c r="C16" s="10" t="s">
        <v>3396</v>
      </c>
      <c r="D16" s="10" t="s">
        <v>3386</v>
      </c>
    </row>
    <row r="17" spans="1:4" x14ac:dyDescent="0.25">
      <c r="A17" s="13" t="s">
        <v>169</v>
      </c>
      <c r="B17" s="13" t="s">
        <v>3403</v>
      </c>
      <c r="C17" s="13" t="s">
        <v>3383</v>
      </c>
      <c r="D17" s="13" t="s">
        <v>3386</v>
      </c>
    </row>
    <row r="18" spans="1:4" x14ac:dyDescent="0.25">
      <c r="A18" s="10" t="s">
        <v>140</v>
      </c>
      <c r="B18" s="10" t="s">
        <v>3404</v>
      </c>
      <c r="C18" s="10" t="s">
        <v>3383</v>
      </c>
      <c r="D18" s="10" t="s">
        <v>3386</v>
      </c>
    </row>
    <row r="19" spans="1:4" x14ac:dyDescent="0.25">
      <c r="A19" s="13" t="s">
        <v>107</v>
      </c>
      <c r="B19" s="13" t="s">
        <v>3405</v>
      </c>
      <c r="C19" s="13" t="s">
        <v>3383</v>
      </c>
      <c r="D19" s="13" t="s">
        <v>3386</v>
      </c>
    </row>
    <row r="20" spans="1:4" x14ac:dyDescent="0.25">
      <c r="A20" s="10" t="s">
        <v>233</v>
      </c>
      <c r="B20" s="10" t="s">
        <v>3406</v>
      </c>
      <c r="C20" s="10" t="s">
        <v>3383</v>
      </c>
      <c r="D20" s="10" t="s">
        <v>3384</v>
      </c>
    </row>
    <row r="21" spans="1:4" x14ac:dyDescent="0.25">
      <c r="A21" s="13" t="s">
        <v>93</v>
      </c>
      <c r="B21" s="13" t="s">
        <v>3407</v>
      </c>
      <c r="C21" s="13" t="s">
        <v>3389</v>
      </c>
      <c r="D21" s="13" t="s">
        <v>3384</v>
      </c>
    </row>
    <row r="22" spans="1:4" x14ac:dyDescent="0.25">
      <c r="A22" s="10" t="s">
        <v>117</v>
      </c>
      <c r="B22" s="10" t="s">
        <v>3408</v>
      </c>
      <c r="C22" s="10" t="s">
        <v>3383</v>
      </c>
      <c r="D22" s="10" t="s">
        <v>3384</v>
      </c>
    </row>
    <row r="23" spans="1:4" x14ac:dyDescent="0.25">
      <c r="A23" s="13" t="s">
        <v>230</v>
      </c>
      <c r="B23" s="13" t="s">
        <v>3409</v>
      </c>
      <c r="C23" s="13" t="s">
        <v>3383</v>
      </c>
      <c r="D23" s="13" t="s">
        <v>3386</v>
      </c>
    </row>
    <row r="24" spans="1:4" x14ac:dyDescent="0.25">
      <c r="A24" s="10" t="s">
        <v>244</v>
      </c>
      <c r="B24" s="10" t="s">
        <v>3410</v>
      </c>
      <c r="C24" s="10" t="s">
        <v>3389</v>
      </c>
      <c r="D24" s="10" t="s">
        <v>3392</v>
      </c>
    </row>
    <row r="25" spans="1:4" x14ac:dyDescent="0.25">
      <c r="A25" s="13" t="s">
        <v>278</v>
      </c>
      <c r="B25" s="13" t="s">
        <v>3411</v>
      </c>
      <c r="C25" s="13" t="s">
        <v>3396</v>
      </c>
      <c r="D25" s="13" t="s">
        <v>3392</v>
      </c>
    </row>
    <row r="26" spans="1:4" x14ac:dyDescent="0.25">
      <c r="A26" s="10" t="s">
        <v>81</v>
      </c>
      <c r="B26" s="10" t="s">
        <v>3412</v>
      </c>
      <c r="C26" s="10" t="s">
        <v>3396</v>
      </c>
      <c r="D26" s="10" t="s">
        <v>3384</v>
      </c>
    </row>
    <row r="27" spans="1:4" x14ac:dyDescent="0.25">
      <c r="A27" s="13" t="s">
        <v>129</v>
      </c>
      <c r="B27" s="13" t="s">
        <v>3413</v>
      </c>
      <c r="C27" s="13" t="s">
        <v>3396</v>
      </c>
      <c r="D27" s="13" t="s">
        <v>3386</v>
      </c>
    </row>
    <row r="28" spans="1:4" x14ac:dyDescent="0.25">
      <c r="A28" s="10" t="s">
        <v>115</v>
      </c>
      <c r="B28" s="10" t="s">
        <v>3414</v>
      </c>
      <c r="C28" s="10" t="s">
        <v>3383</v>
      </c>
      <c r="D28" s="10" t="s">
        <v>3386</v>
      </c>
    </row>
    <row r="29" spans="1:4" x14ac:dyDescent="0.25">
      <c r="A29" s="13" t="s">
        <v>188</v>
      </c>
      <c r="B29" s="13" t="s">
        <v>3415</v>
      </c>
      <c r="C29" s="13" t="s">
        <v>3383</v>
      </c>
      <c r="D29" s="13" t="s">
        <v>3386</v>
      </c>
    </row>
    <row r="30" spans="1:4" x14ac:dyDescent="0.25">
      <c r="A30" s="10" t="s">
        <v>131</v>
      </c>
      <c r="B30" s="10" t="s">
        <v>3416</v>
      </c>
      <c r="C30" s="10" t="s">
        <v>3396</v>
      </c>
      <c r="D30" s="10" t="s">
        <v>3386</v>
      </c>
    </row>
    <row r="31" spans="1:4" x14ac:dyDescent="0.25">
      <c r="A31" s="13" t="s">
        <v>89</v>
      </c>
      <c r="B31" s="13" t="s">
        <v>3417</v>
      </c>
      <c r="C31" s="13" t="s">
        <v>3383</v>
      </c>
      <c r="D31" s="13" t="s">
        <v>3384</v>
      </c>
    </row>
    <row r="32" spans="1:4" x14ac:dyDescent="0.25">
      <c r="A32" s="10" t="s">
        <v>340</v>
      </c>
      <c r="B32" s="10" t="s">
        <v>3418</v>
      </c>
      <c r="C32" s="10" t="s">
        <v>3396</v>
      </c>
      <c r="D32" s="10" t="s">
        <v>3384</v>
      </c>
    </row>
    <row r="33" spans="1:4" x14ac:dyDescent="0.25">
      <c r="A33" s="13" t="s">
        <v>159</v>
      </c>
      <c r="B33" s="13" t="s">
        <v>3419</v>
      </c>
      <c r="C33" s="13" t="s">
        <v>3383</v>
      </c>
      <c r="D33" s="13" t="s">
        <v>3392</v>
      </c>
    </row>
    <row r="34" spans="1:4" x14ac:dyDescent="0.25">
      <c r="A34" s="10" t="s">
        <v>150</v>
      </c>
      <c r="B34" s="10" t="s">
        <v>3420</v>
      </c>
      <c r="C34" s="10" t="s">
        <v>3383</v>
      </c>
      <c r="D34" s="10" t="s">
        <v>3386</v>
      </c>
    </row>
    <row r="35" spans="1:4" x14ac:dyDescent="0.25">
      <c r="A35" s="13" t="s">
        <v>182</v>
      </c>
      <c r="B35" s="13" t="s">
        <v>3421</v>
      </c>
      <c r="C35" s="13" t="s">
        <v>3383</v>
      </c>
      <c r="D35" s="13" t="s">
        <v>3386</v>
      </c>
    </row>
    <row r="36" spans="1:4" x14ac:dyDescent="0.25">
      <c r="A36" s="10" t="s">
        <v>113</v>
      </c>
      <c r="B36" s="10" t="s">
        <v>3422</v>
      </c>
      <c r="C36" s="10" t="s">
        <v>3383</v>
      </c>
      <c r="D36" s="10" t="s">
        <v>3386</v>
      </c>
    </row>
    <row r="37" spans="1:4" x14ac:dyDescent="0.25">
      <c r="A37" s="13" t="s">
        <v>70</v>
      </c>
      <c r="B37" s="13" t="s">
        <v>3423</v>
      </c>
      <c r="C37" s="13" t="s">
        <v>3383</v>
      </c>
      <c r="D37" s="13" t="s">
        <v>3386</v>
      </c>
    </row>
    <row r="38" spans="1:4" x14ac:dyDescent="0.25">
      <c r="A38" s="10" t="s">
        <v>119</v>
      </c>
      <c r="B38" s="10" t="s">
        <v>3424</v>
      </c>
      <c r="C38" s="10" t="s">
        <v>3383</v>
      </c>
      <c r="D38" s="10" t="s">
        <v>3386</v>
      </c>
    </row>
    <row r="39" spans="1:4" x14ac:dyDescent="0.25">
      <c r="A39" s="13" t="s">
        <v>76</v>
      </c>
      <c r="B39" s="13" t="s">
        <v>3425</v>
      </c>
      <c r="C39" s="13" t="s">
        <v>3396</v>
      </c>
      <c r="D39" s="13" t="s">
        <v>3386</v>
      </c>
    </row>
    <row r="40" spans="1:4" x14ac:dyDescent="0.25">
      <c r="A40" s="10" t="s">
        <v>74</v>
      </c>
      <c r="B40" s="10" t="s">
        <v>3426</v>
      </c>
      <c r="C40" s="10" t="s">
        <v>3396</v>
      </c>
      <c r="D40" s="10" t="s">
        <v>3386</v>
      </c>
    </row>
    <row r="41" spans="1:4" x14ac:dyDescent="0.25">
      <c r="A41" s="13" t="s">
        <v>95</v>
      </c>
      <c r="B41" s="13" t="s">
        <v>3427</v>
      </c>
      <c r="C41" s="13" t="s">
        <v>3389</v>
      </c>
      <c r="D41" s="13" t="s">
        <v>3384</v>
      </c>
    </row>
    <row r="42" spans="1:4" x14ac:dyDescent="0.25">
      <c r="A42" s="10" t="s">
        <v>99</v>
      </c>
      <c r="B42" s="10" t="s">
        <v>3428</v>
      </c>
      <c r="C42" s="10" t="s">
        <v>3389</v>
      </c>
      <c r="D42" s="10" t="s">
        <v>3386</v>
      </c>
    </row>
    <row r="43" spans="1:4" x14ac:dyDescent="0.25">
      <c r="A43" s="13" t="s">
        <v>449</v>
      </c>
      <c r="B43" s="13" t="s">
        <v>3429</v>
      </c>
      <c r="C43" s="13" t="s">
        <v>3383</v>
      </c>
      <c r="D43" s="13" t="s">
        <v>3384</v>
      </c>
    </row>
    <row r="44" spans="1:4" x14ac:dyDescent="0.25">
      <c r="A44" s="10" t="s">
        <v>274</v>
      </c>
      <c r="B44" s="10" t="s">
        <v>3430</v>
      </c>
      <c r="C44" s="10" t="s">
        <v>3383</v>
      </c>
      <c r="D44" s="10" t="s">
        <v>3384</v>
      </c>
    </row>
    <row r="45" spans="1:4" x14ac:dyDescent="0.25">
      <c r="A45" s="13" t="s">
        <v>171</v>
      </c>
      <c r="B45" s="13" t="s">
        <v>3431</v>
      </c>
      <c r="C45" s="13" t="s">
        <v>3389</v>
      </c>
      <c r="D45" s="13" t="s">
        <v>3386</v>
      </c>
    </row>
    <row r="46" spans="1:4" x14ac:dyDescent="0.25">
      <c r="A46" s="10" t="s">
        <v>220</v>
      </c>
      <c r="B46" s="10" t="s">
        <v>3432</v>
      </c>
      <c r="C46" s="10" t="s">
        <v>3389</v>
      </c>
      <c r="D46" s="10" t="s">
        <v>3384</v>
      </c>
    </row>
    <row r="47" spans="1:4" x14ac:dyDescent="0.25">
      <c r="A47" s="13" t="s">
        <v>79</v>
      </c>
      <c r="B47" s="13" t="s">
        <v>3433</v>
      </c>
      <c r="C47" s="13" t="s">
        <v>3383</v>
      </c>
      <c r="D47" s="13" t="s">
        <v>3384</v>
      </c>
    </row>
    <row r="48" spans="1:4" x14ac:dyDescent="0.25">
      <c r="A48" s="10" t="s">
        <v>134</v>
      </c>
      <c r="B48" s="10" t="s">
        <v>3434</v>
      </c>
      <c r="C48" s="10" t="s">
        <v>3383</v>
      </c>
      <c r="D48" s="10" t="s">
        <v>3386</v>
      </c>
    </row>
    <row r="49" spans="1:4" x14ac:dyDescent="0.25">
      <c r="A49" s="13" t="s">
        <v>83</v>
      </c>
      <c r="B49" s="13" t="s">
        <v>3435</v>
      </c>
      <c r="C49" s="13" t="s">
        <v>3383</v>
      </c>
      <c r="D49" s="13" t="s">
        <v>3386</v>
      </c>
    </row>
    <row r="50" spans="1:4" x14ac:dyDescent="0.25">
      <c r="A50" s="10" t="s">
        <v>153</v>
      </c>
      <c r="B50" s="10" t="s">
        <v>3436</v>
      </c>
      <c r="C50" s="10" t="s">
        <v>3396</v>
      </c>
      <c r="D50" s="10" t="s">
        <v>3384</v>
      </c>
    </row>
    <row r="51" spans="1:4" x14ac:dyDescent="0.25">
      <c r="A51" s="13" t="s">
        <v>224</v>
      </c>
      <c r="B51" s="13" t="s">
        <v>3437</v>
      </c>
      <c r="C51" s="13" t="s">
        <v>3389</v>
      </c>
      <c r="D51" s="13" t="s">
        <v>3386</v>
      </c>
    </row>
    <row r="52" spans="1:4" x14ac:dyDescent="0.25">
      <c r="A52" s="10" t="s">
        <v>161</v>
      </c>
      <c r="B52" s="10" t="s">
        <v>3438</v>
      </c>
      <c r="C52" s="10" t="s">
        <v>3383</v>
      </c>
      <c r="D52" s="10" t="s">
        <v>3386</v>
      </c>
    </row>
    <row r="53" spans="1:4" x14ac:dyDescent="0.25">
      <c r="A53" s="13" t="s">
        <v>265</v>
      </c>
      <c r="B53" s="13" t="s">
        <v>3439</v>
      </c>
      <c r="C53" s="13" t="s">
        <v>3396</v>
      </c>
      <c r="D53" s="13" t="s">
        <v>3386</v>
      </c>
    </row>
    <row r="54" spans="1:4" x14ac:dyDescent="0.25">
      <c r="A54" s="10" t="s">
        <v>331</v>
      </c>
      <c r="B54" s="10" t="s">
        <v>3440</v>
      </c>
      <c r="C54" s="10" t="s">
        <v>3383</v>
      </c>
      <c r="D54" s="10" t="s">
        <v>3384</v>
      </c>
    </row>
    <row r="55" spans="1:4" x14ac:dyDescent="0.25">
      <c r="A55" s="13" t="s">
        <v>222</v>
      </c>
      <c r="B55" s="13" t="s">
        <v>3441</v>
      </c>
      <c r="C55" s="13" t="s">
        <v>3383</v>
      </c>
      <c r="D55" s="13" t="s">
        <v>3384</v>
      </c>
    </row>
    <row r="56" spans="1:4" x14ac:dyDescent="0.25">
      <c r="A56" s="10" t="s">
        <v>271</v>
      </c>
      <c r="B56" s="10" t="s">
        <v>3442</v>
      </c>
      <c r="C56" s="10" t="s">
        <v>3396</v>
      </c>
      <c r="D56" s="10" t="s">
        <v>3384</v>
      </c>
    </row>
    <row r="57" spans="1:4" x14ac:dyDescent="0.25">
      <c r="A57" s="13" t="s">
        <v>109</v>
      </c>
      <c r="B57" s="13" t="s">
        <v>3443</v>
      </c>
      <c r="C57" s="13" t="s">
        <v>3389</v>
      </c>
      <c r="D57" s="13" t="s">
        <v>3384</v>
      </c>
    </row>
    <row r="58" spans="1:4" x14ac:dyDescent="0.25">
      <c r="A58" s="10" t="s">
        <v>146</v>
      </c>
      <c r="B58" s="10" t="s">
        <v>3444</v>
      </c>
      <c r="C58" s="10" t="s">
        <v>3389</v>
      </c>
      <c r="D58" s="10" t="s">
        <v>3386</v>
      </c>
    </row>
    <row r="59" spans="1:4" x14ac:dyDescent="0.25">
      <c r="A59" s="13" t="s">
        <v>127</v>
      </c>
      <c r="B59" s="13" t="s">
        <v>3445</v>
      </c>
      <c r="C59" s="13" t="s">
        <v>3383</v>
      </c>
      <c r="D59" s="13" t="s">
        <v>3386</v>
      </c>
    </row>
    <row r="60" spans="1:4" x14ac:dyDescent="0.25">
      <c r="A60" s="10" t="s">
        <v>463</v>
      </c>
      <c r="B60" s="10" t="s">
        <v>3446</v>
      </c>
      <c r="C60" s="10" t="s">
        <v>3383</v>
      </c>
      <c r="D60" s="10" t="s">
        <v>3386</v>
      </c>
    </row>
    <row r="61" spans="1:4" x14ac:dyDescent="0.25">
      <c r="A61" s="13" t="s">
        <v>111</v>
      </c>
      <c r="B61" s="13" t="s">
        <v>3447</v>
      </c>
      <c r="C61" s="13" t="s">
        <v>3383</v>
      </c>
      <c r="D61" s="13" t="s">
        <v>3386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79998168889431442"/>
  </sheetPr>
  <dimension ref="A1:F25"/>
  <sheetViews>
    <sheetView showGridLines="0"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21" customWidth="1"/>
    <col min="2" max="3" width="12" customWidth="1"/>
    <col min="4" max="4" width="19" customWidth="1"/>
    <col min="5" max="5" width="25" customWidth="1"/>
    <col min="6" max="6" width="22" customWidth="1"/>
  </cols>
  <sheetData>
    <row r="1" spans="1:6" ht="30" customHeight="1" x14ac:dyDescent="0.25">
      <c r="A1" s="19" t="s">
        <v>67</v>
      </c>
      <c r="B1" s="19" t="s">
        <v>3448</v>
      </c>
      <c r="C1" s="19" t="s">
        <v>3449</v>
      </c>
      <c r="D1" s="19" t="s">
        <v>3450</v>
      </c>
      <c r="E1" s="19" t="s">
        <v>3451</v>
      </c>
      <c r="F1" s="19" t="s">
        <v>3452</v>
      </c>
    </row>
    <row r="2" spans="1:6" x14ac:dyDescent="0.25">
      <c r="A2" s="11">
        <v>45292</v>
      </c>
      <c r="B2" s="12">
        <f>SUMIFS(Clean_AR_Data!$F:$F,Clean_AR_Data!$C:$C,"&gt;="&amp;A2,Clean_AR_Data!$C:$C,"&lt;"&amp;EDATE(A2,1))</f>
        <v>2685331.0100000002</v>
      </c>
      <c r="C2" s="12">
        <f>SUMIFS(Clean_AR_Data!$G:$G,Clean_AR_Data!$E:$E,"&gt;="&amp;A2,Clean_AR_Data!$E:$E,"&lt;"&amp;EDATE(A2,1))</f>
        <v>0</v>
      </c>
      <c r="D2" s="12">
        <f>SUMIFS(Clean_AR_Data!$H:$H,Clean_AR_Data!$C:$C,"&gt;="&amp;A2,Clean_AR_Data!$C:$C,"&lt;"&amp;EDATE(A2,1))</f>
        <v>798551.30999999994</v>
      </c>
      <c r="E2" s="27">
        <f t="shared" ref="E2:E25" si="0">IFERROR(C2/B2,0)</f>
        <v>0</v>
      </c>
      <c r="F2" s="10"/>
    </row>
    <row r="3" spans="1:6" x14ac:dyDescent="0.25">
      <c r="A3" s="14">
        <v>45323</v>
      </c>
      <c r="B3" s="15">
        <f>SUMIFS(Clean_AR_Data!$F:$F,Clean_AR_Data!$C:$C,"&gt;="&amp;A3,Clean_AR_Data!$C:$C,"&lt;"&amp;EDATE(A3,1))</f>
        <v>3604285.4099999992</v>
      </c>
      <c r="C3" s="15">
        <f>SUMIFS(Clean_AR_Data!$G:$G,Clean_AR_Data!$E:$E,"&gt;="&amp;A3,Clean_AR_Data!$E:$E,"&lt;"&amp;EDATE(A3,1))</f>
        <v>1498657.43</v>
      </c>
      <c r="D3" s="15">
        <f>SUMIFS(Clean_AR_Data!$H:$H,Clean_AR_Data!$C:$C,"&gt;="&amp;A3,Clean_AR_Data!$C:$C,"&lt;"&amp;EDATE(A3,1))</f>
        <v>819364.9800000001</v>
      </c>
      <c r="E3" s="28">
        <f t="shared" si="0"/>
        <v>0.41579876716810843</v>
      </c>
      <c r="F3" s="21">
        <v>34.221270918850337</v>
      </c>
    </row>
    <row r="4" spans="1:6" x14ac:dyDescent="0.25">
      <c r="A4" s="11">
        <v>45352</v>
      </c>
      <c r="B4" s="12">
        <f>SUMIFS(Clean_AR_Data!$F:$F,Clean_AR_Data!$C:$C,"&gt;="&amp;A4,Clean_AR_Data!$C:$C,"&lt;"&amp;EDATE(A4,1))</f>
        <v>2936541.4999999991</v>
      </c>
      <c r="C4" s="12">
        <f>SUMIFS(Clean_AR_Data!$G:$G,Clean_AR_Data!$E:$E,"&gt;="&amp;A4,Clean_AR_Data!$E:$E,"&lt;"&amp;EDATE(A4,1))</f>
        <v>2156419.8800000004</v>
      </c>
      <c r="D4" s="12">
        <f>SUMIFS(Clean_AR_Data!$H:$H,Clean_AR_Data!$C:$C,"&gt;="&amp;A4,Clean_AR_Data!$C:$C,"&lt;"&amp;EDATE(A4,1))</f>
        <v>1067326.92</v>
      </c>
      <c r="E4" s="27">
        <f t="shared" si="0"/>
        <v>0.73433999825985807</v>
      </c>
      <c r="F4" s="20">
        <v>-18.526388286215109</v>
      </c>
    </row>
    <row r="5" spans="1:6" x14ac:dyDescent="0.25">
      <c r="A5" s="14">
        <v>45383</v>
      </c>
      <c r="B5" s="15">
        <f>SUMIFS(Clean_AR_Data!$F:$F,Clean_AR_Data!$C:$C,"&gt;="&amp;A5,Clean_AR_Data!$C:$C,"&lt;"&amp;EDATE(A5,1))</f>
        <v>2893620.9499999997</v>
      </c>
      <c r="C5" s="15">
        <f>SUMIFS(Clean_AR_Data!$G:$G,Clean_AR_Data!$E:$E,"&gt;="&amp;A5,Clean_AR_Data!$E:$E,"&lt;"&amp;EDATE(A5,1))</f>
        <v>1818535.0499999998</v>
      </c>
      <c r="D5" s="15">
        <f>SUMIFS(Clean_AR_Data!$H:$H,Clean_AR_Data!$C:$C,"&gt;="&amp;A5,Clean_AR_Data!$C:$C,"&lt;"&amp;EDATE(A5,1))</f>
        <v>832177.6100000001</v>
      </c>
      <c r="E5" s="28">
        <f t="shared" si="0"/>
        <v>0.62846346547221399</v>
      </c>
      <c r="F5" s="21">
        <v>-1.46160202401362</v>
      </c>
    </row>
    <row r="6" spans="1:6" x14ac:dyDescent="0.25">
      <c r="A6" s="11">
        <v>45413</v>
      </c>
      <c r="B6" s="12">
        <f>SUMIFS(Clean_AR_Data!$F:$F,Clean_AR_Data!$C:$C,"&gt;="&amp;A6,Clean_AR_Data!$C:$C,"&lt;"&amp;EDATE(A6,1))</f>
        <v>3452600.6300000013</v>
      </c>
      <c r="C6" s="12">
        <f>SUMIFS(Clean_AR_Data!$G:$G,Clean_AR_Data!$E:$E,"&gt;="&amp;A6,Clean_AR_Data!$E:$E,"&lt;"&amp;EDATE(A6,1))</f>
        <v>2217910.11</v>
      </c>
      <c r="D6" s="12">
        <f>SUMIFS(Clean_AR_Data!$H:$H,Clean_AR_Data!$C:$C,"&gt;="&amp;A6,Clean_AR_Data!$C:$C,"&lt;"&amp;EDATE(A6,1))</f>
        <v>845354.09000000008</v>
      </c>
      <c r="E6" s="27">
        <f t="shared" si="0"/>
        <v>0.64238825965805346</v>
      </c>
      <c r="F6" s="20">
        <v>19.317653889670641</v>
      </c>
    </row>
    <row r="7" spans="1:6" x14ac:dyDescent="0.25">
      <c r="A7" s="14">
        <v>45444</v>
      </c>
      <c r="B7" s="15">
        <f>SUMIFS(Clean_AR_Data!$F:$F,Clean_AR_Data!$C:$C,"&gt;="&amp;A7,Clean_AR_Data!$C:$C,"&lt;"&amp;EDATE(A7,1))</f>
        <v>2919269.0699999994</v>
      </c>
      <c r="C7" s="15">
        <f>SUMIFS(Clean_AR_Data!$G:$G,Clean_AR_Data!$E:$E,"&gt;="&amp;A7,Clean_AR_Data!$E:$E,"&lt;"&amp;EDATE(A7,1))</f>
        <v>1754014.89</v>
      </c>
      <c r="D7" s="15">
        <f>SUMIFS(Clean_AR_Data!$H:$H,Clean_AR_Data!$C:$C,"&gt;="&amp;A7,Clean_AR_Data!$C:$C,"&lt;"&amp;EDATE(A7,1))</f>
        <v>807622.7</v>
      </c>
      <c r="E7" s="28">
        <f t="shared" si="0"/>
        <v>0.60084043229355366</v>
      </c>
      <c r="F7" s="21">
        <v>-15.44724157685159</v>
      </c>
    </row>
    <row r="8" spans="1:6" x14ac:dyDescent="0.25">
      <c r="A8" s="11">
        <v>45474</v>
      </c>
      <c r="B8" s="12">
        <f>SUMIFS(Clean_AR_Data!$F:$F,Clean_AR_Data!$C:$C,"&gt;="&amp;A8,Clean_AR_Data!$C:$C,"&lt;"&amp;EDATE(A8,1))</f>
        <v>2254535.8799999994</v>
      </c>
      <c r="C8" s="12">
        <f>SUMIFS(Clean_AR_Data!$G:$G,Clean_AR_Data!$E:$E,"&gt;="&amp;A8,Clean_AR_Data!$E:$E,"&lt;"&amp;EDATE(A8,1))</f>
        <v>3112048.100000001</v>
      </c>
      <c r="D8" s="12">
        <f>SUMIFS(Clean_AR_Data!$H:$H,Clean_AR_Data!$C:$C,"&gt;="&amp;A8,Clean_AR_Data!$C:$C,"&lt;"&amp;EDATE(A8,1))</f>
        <v>296119.25</v>
      </c>
      <c r="E8" s="27">
        <f t="shared" si="0"/>
        <v>1.380349777356394</v>
      </c>
      <c r="F8" s="20">
        <v>-22.770535160022099</v>
      </c>
    </row>
    <row r="9" spans="1:6" x14ac:dyDescent="0.25">
      <c r="A9" s="14">
        <v>45505</v>
      </c>
      <c r="B9" s="15">
        <f>SUMIFS(Clean_AR_Data!$F:$F,Clean_AR_Data!$C:$C,"&gt;="&amp;A9,Clean_AR_Data!$C:$C,"&lt;"&amp;EDATE(A9,1))</f>
        <v>3024137.9299999992</v>
      </c>
      <c r="C9" s="15">
        <f>SUMIFS(Clean_AR_Data!$G:$G,Clean_AR_Data!$E:$E,"&gt;="&amp;A9,Clean_AR_Data!$E:$E,"&lt;"&amp;EDATE(A9,1))</f>
        <v>1617432.31</v>
      </c>
      <c r="D9" s="15">
        <f>SUMIFS(Clean_AR_Data!$H:$H,Clean_AR_Data!$C:$C,"&gt;="&amp;A9,Clean_AR_Data!$C:$C,"&lt;"&amp;EDATE(A9,1))</f>
        <v>885006.6399999999</v>
      </c>
      <c r="E9" s="28">
        <f t="shared" si="0"/>
        <v>0.53484078684202097</v>
      </c>
      <c r="F9" s="21">
        <v>34.135719765080893</v>
      </c>
    </row>
    <row r="10" spans="1:6" x14ac:dyDescent="0.25">
      <c r="A10" s="11">
        <v>45536</v>
      </c>
      <c r="B10" s="12">
        <f>SUMIFS(Clean_AR_Data!$F:$F,Clean_AR_Data!$C:$C,"&gt;="&amp;A10,Clean_AR_Data!$C:$C,"&lt;"&amp;EDATE(A10,1))</f>
        <v>3423493.2299999995</v>
      </c>
      <c r="C10" s="12">
        <f>SUMIFS(Clean_AR_Data!$G:$G,Clean_AR_Data!$E:$E,"&gt;="&amp;A10,Clean_AR_Data!$E:$E,"&lt;"&amp;EDATE(A10,1))</f>
        <v>2296144.7699999996</v>
      </c>
      <c r="D10" s="12">
        <f>SUMIFS(Clean_AR_Data!$H:$H,Clean_AR_Data!$C:$C,"&gt;="&amp;A10,Clean_AR_Data!$C:$C,"&lt;"&amp;EDATE(A10,1))</f>
        <v>1056246.58</v>
      </c>
      <c r="E10" s="27">
        <f t="shared" si="0"/>
        <v>0.67070229608720444</v>
      </c>
      <c r="F10" s="20">
        <v>13.20559145263589</v>
      </c>
    </row>
    <row r="11" spans="1:6" x14ac:dyDescent="0.25">
      <c r="A11" s="14">
        <v>45566</v>
      </c>
      <c r="B11" s="15">
        <f>SUMIFS(Clean_AR_Data!$F:$F,Clean_AR_Data!$C:$C,"&gt;="&amp;A11,Clean_AR_Data!$C:$C,"&lt;"&amp;EDATE(A11,1))</f>
        <v>3273949.7000000007</v>
      </c>
      <c r="C11" s="15">
        <f>SUMIFS(Clean_AR_Data!$G:$G,Clean_AR_Data!$E:$E,"&gt;="&amp;A11,Clean_AR_Data!$E:$E,"&lt;"&amp;EDATE(A11,1))</f>
        <v>1893766.35</v>
      </c>
      <c r="D11" s="15">
        <f>SUMIFS(Clean_AR_Data!$H:$H,Clean_AR_Data!$C:$C,"&gt;="&amp;A11,Clean_AR_Data!$C:$C,"&lt;"&amp;EDATE(A11,1))</f>
        <v>899438.7</v>
      </c>
      <c r="E11" s="28">
        <f t="shared" si="0"/>
        <v>0.57843477253178321</v>
      </c>
      <c r="F11" s="21">
        <v>-4.3681561479237967</v>
      </c>
    </row>
    <row r="12" spans="1:6" x14ac:dyDescent="0.25">
      <c r="A12" s="11">
        <v>45597</v>
      </c>
      <c r="B12" s="12">
        <f>SUMIFS(Clean_AR_Data!$F:$F,Clean_AR_Data!$C:$C,"&gt;="&amp;A12,Clean_AR_Data!$C:$C,"&lt;"&amp;EDATE(A12,1))</f>
        <v>2784229.9400000013</v>
      </c>
      <c r="C12" s="12">
        <f>SUMIFS(Clean_AR_Data!$G:$G,Clean_AR_Data!$E:$E,"&gt;="&amp;A12,Clean_AR_Data!$E:$E,"&lt;"&amp;EDATE(A12,1))</f>
        <v>2599084.3399999994</v>
      </c>
      <c r="D12" s="12">
        <f>SUMIFS(Clean_AR_Data!$H:$H,Clean_AR_Data!$C:$C,"&gt;="&amp;A12,Clean_AR_Data!$C:$C,"&lt;"&amp;EDATE(A12,1))</f>
        <v>525078.5</v>
      </c>
      <c r="E12" s="27">
        <f t="shared" si="0"/>
        <v>0.93350204401580361</v>
      </c>
      <c r="F12" s="20">
        <v>-14.958072202514289</v>
      </c>
    </row>
    <row r="13" spans="1:6" x14ac:dyDescent="0.25">
      <c r="A13" s="14">
        <v>45627</v>
      </c>
      <c r="B13" s="15">
        <f>SUMIFS(Clean_AR_Data!$F:$F,Clean_AR_Data!$C:$C,"&gt;="&amp;A13,Clean_AR_Data!$C:$C,"&lt;"&amp;EDATE(A13,1))</f>
        <v>2513728.5300000007</v>
      </c>
      <c r="C13" s="15">
        <f>SUMIFS(Clean_AR_Data!$G:$G,Clean_AR_Data!$E:$E,"&gt;="&amp;A13,Clean_AR_Data!$E:$E,"&lt;"&amp;EDATE(A13,1))</f>
        <v>2048794.3999999994</v>
      </c>
      <c r="D13" s="15">
        <f>SUMIFS(Clean_AR_Data!$H:$H,Clean_AR_Data!$C:$C,"&gt;="&amp;A13,Clean_AR_Data!$C:$C,"&lt;"&amp;EDATE(A13,1))</f>
        <v>547106.34</v>
      </c>
      <c r="E13" s="28">
        <f t="shared" si="0"/>
        <v>0.81504202842460438</v>
      </c>
      <c r="F13" s="21">
        <v>-9.7154838439816533</v>
      </c>
    </row>
    <row r="14" spans="1:6" x14ac:dyDescent="0.25">
      <c r="A14" s="11">
        <v>45658</v>
      </c>
      <c r="B14" s="12">
        <f>SUMIFS(Clean_AR_Data!$F:$F,Clean_AR_Data!$C:$C,"&gt;="&amp;A14,Clean_AR_Data!$C:$C,"&lt;"&amp;EDATE(A14,1))</f>
        <v>2724300.5999999996</v>
      </c>
      <c r="C14" s="12">
        <f>SUMIFS(Clean_AR_Data!$G:$G,Clean_AR_Data!$E:$E,"&gt;="&amp;A14,Clean_AR_Data!$E:$E,"&lt;"&amp;EDATE(A14,1))</f>
        <v>2105588.4699999997</v>
      </c>
      <c r="D14" s="12">
        <f>SUMIFS(Clean_AR_Data!$H:$H,Clean_AR_Data!$C:$C,"&gt;="&amp;A14,Clean_AR_Data!$C:$C,"&lt;"&amp;EDATE(A14,1))</f>
        <v>871710.84999999986</v>
      </c>
      <c r="E14" s="27">
        <f t="shared" si="0"/>
        <v>0.77289138724265594</v>
      </c>
      <c r="F14" s="20">
        <v>8.3768818902652207</v>
      </c>
    </row>
    <row r="15" spans="1:6" x14ac:dyDescent="0.25">
      <c r="A15" s="14">
        <v>45689</v>
      </c>
      <c r="B15" s="15">
        <f>SUMIFS(Clean_AR_Data!$F:$F,Clean_AR_Data!$C:$C,"&gt;="&amp;A15,Clean_AR_Data!$C:$C,"&lt;"&amp;EDATE(A15,1))</f>
        <v>3173799.58</v>
      </c>
      <c r="C15" s="15">
        <f>SUMIFS(Clean_AR_Data!$G:$G,Clean_AR_Data!$E:$E,"&gt;="&amp;A15,Clean_AR_Data!$E:$E,"&lt;"&amp;EDATE(A15,1))</f>
        <v>1952752.6400000001</v>
      </c>
      <c r="D15" s="15">
        <f>SUMIFS(Clean_AR_Data!$H:$H,Clean_AR_Data!$C:$C,"&gt;="&amp;A15,Clean_AR_Data!$C:$C,"&lt;"&amp;EDATE(A15,1))</f>
        <v>531897.02000000014</v>
      </c>
      <c r="E15" s="28">
        <f t="shared" si="0"/>
        <v>0.61527282702583252</v>
      </c>
      <c r="F15" s="21">
        <v>16.499610211883379</v>
      </c>
    </row>
    <row r="16" spans="1:6" x14ac:dyDescent="0.25">
      <c r="A16" s="11">
        <v>45717</v>
      </c>
      <c r="B16" s="12">
        <f>SUMIFS(Clean_AR_Data!$F:$F,Clean_AR_Data!$C:$C,"&gt;="&amp;A16,Clean_AR_Data!$C:$C,"&lt;"&amp;EDATE(A16,1))</f>
        <v>3577583.25</v>
      </c>
      <c r="C16" s="12">
        <f>SUMIFS(Clean_AR_Data!$G:$G,Clean_AR_Data!$E:$E,"&gt;="&amp;A16,Clean_AR_Data!$E:$E,"&lt;"&amp;EDATE(A16,1))</f>
        <v>2675481.7400000002</v>
      </c>
      <c r="D16" s="12">
        <f>SUMIFS(Clean_AR_Data!$H:$H,Clean_AR_Data!$C:$C,"&gt;="&amp;A16,Clean_AR_Data!$C:$C,"&lt;"&amp;EDATE(A16,1))</f>
        <v>767725.61999999976</v>
      </c>
      <c r="E16" s="27">
        <f t="shared" si="0"/>
        <v>0.74784611650895905</v>
      </c>
      <c r="F16" s="20">
        <v>12.72240605690671</v>
      </c>
    </row>
    <row r="17" spans="1:6" x14ac:dyDescent="0.25">
      <c r="A17" s="14">
        <v>45748</v>
      </c>
      <c r="B17" s="15">
        <f>SUMIFS(Clean_AR_Data!$F:$F,Clean_AR_Data!$C:$C,"&gt;="&amp;A17,Clean_AR_Data!$C:$C,"&lt;"&amp;EDATE(A17,1))</f>
        <v>3254900.28</v>
      </c>
      <c r="C17" s="15">
        <f>SUMIFS(Clean_AR_Data!$G:$G,Clean_AR_Data!$E:$E,"&gt;="&amp;A17,Clean_AR_Data!$E:$E,"&lt;"&amp;EDATE(A17,1))</f>
        <v>2270941.16</v>
      </c>
      <c r="D17" s="15">
        <f>SUMIFS(Clean_AR_Data!$H:$H,Clean_AR_Data!$C:$C,"&gt;="&amp;A17,Clean_AR_Data!$C:$C,"&lt;"&amp;EDATE(A17,1))</f>
        <v>713500.07999999984</v>
      </c>
      <c r="E17" s="28">
        <f t="shared" si="0"/>
        <v>0.69769915040223607</v>
      </c>
      <c r="F17" s="21">
        <v>-9.0195796282308791</v>
      </c>
    </row>
    <row r="18" spans="1:6" x14ac:dyDescent="0.25">
      <c r="A18" s="11">
        <v>45778</v>
      </c>
      <c r="B18" s="12">
        <f>SUMIFS(Clean_AR_Data!$F:$F,Clean_AR_Data!$C:$C,"&gt;="&amp;A18,Clean_AR_Data!$C:$C,"&lt;"&amp;EDATE(A18,1))</f>
        <v>3411710.1999999997</v>
      </c>
      <c r="C18" s="12">
        <f>SUMIFS(Clean_AR_Data!$G:$G,Clean_AR_Data!$E:$E,"&gt;="&amp;A18,Clean_AR_Data!$E:$E,"&lt;"&amp;EDATE(A18,1))</f>
        <v>2877488.5999999992</v>
      </c>
      <c r="D18" s="12">
        <f>SUMIFS(Clean_AR_Data!$H:$H,Clean_AR_Data!$C:$C,"&gt;="&amp;A18,Clean_AR_Data!$C:$C,"&lt;"&amp;EDATE(A18,1))</f>
        <v>942778.83</v>
      </c>
      <c r="E18" s="27">
        <f t="shared" si="0"/>
        <v>0.84341530532106723</v>
      </c>
      <c r="F18" s="20">
        <v>4.817656656442959</v>
      </c>
    </row>
    <row r="19" spans="1:6" x14ac:dyDescent="0.25">
      <c r="A19" s="14">
        <v>45809</v>
      </c>
      <c r="B19" s="15">
        <f>SUMIFS(Clean_AR_Data!$F:$F,Clean_AR_Data!$C:$C,"&gt;="&amp;A19,Clean_AR_Data!$C:$C,"&lt;"&amp;EDATE(A19,1))</f>
        <v>3009772.8900000006</v>
      </c>
      <c r="C19" s="15">
        <f>SUMIFS(Clean_AR_Data!$G:$G,Clean_AR_Data!$E:$E,"&gt;="&amp;A19,Clean_AR_Data!$E:$E,"&lt;"&amp;EDATE(A19,1))</f>
        <v>2842242.9600000004</v>
      </c>
      <c r="D19" s="15">
        <f>SUMIFS(Clean_AR_Data!$H:$H,Clean_AR_Data!$C:$C,"&gt;="&amp;A19,Clean_AR_Data!$C:$C,"&lt;"&amp;EDATE(A19,1))</f>
        <v>946887.58999999985</v>
      </c>
      <c r="E19" s="28">
        <f t="shared" si="0"/>
        <v>0.94433801614845425</v>
      </c>
      <c r="F19" s="21">
        <v>-11.7811093685507</v>
      </c>
    </row>
    <row r="20" spans="1:6" x14ac:dyDescent="0.25">
      <c r="A20" s="11">
        <v>45839</v>
      </c>
      <c r="B20" s="12">
        <f>SUMIFS(Clean_AR_Data!$F:$F,Clean_AR_Data!$C:$C,"&gt;="&amp;A20,Clean_AR_Data!$C:$C,"&lt;"&amp;EDATE(A20,1))</f>
        <v>2300742.2800000003</v>
      </c>
      <c r="C20" s="12">
        <f>SUMIFS(Clean_AR_Data!$G:$G,Clean_AR_Data!$E:$E,"&gt;="&amp;A20,Clean_AR_Data!$E:$E,"&lt;"&amp;EDATE(A20,1))</f>
        <v>2390342.2699999996</v>
      </c>
      <c r="D20" s="12">
        <f>SUMIFS(Clean_AR_Data!$H:$H,Clean_AR_Data!$C:$C,"&gt;="&amp;A20,Clean_AR_Data!$C:$C,"&lt;"&amp;EDATE(A20,1))</f>
        <v>451758.11000000004</v>
      </c>
      <c r="E20" s="27">
        <f t="shared" si="0"/>
        <v>1.0389439489937131</v>
      </c>
      <c r="F20" s="20">
        <v>-23.557611684116129</v>
      </c>
    </row>
    <row r="21" spans="1:6" x14ac:dyDescent="0.25">
      <c r="A21" s="14">
        <v>45870</v>
      </c>
      <c r="B21" s="15">
        <f>SUMIFS(Clean_AR_Data!$F:$F,Clean_AR_Data!$C:$C,"&gt;="&amp;A21,Clean_AR_Data!$C:$C,"&lt;"&amp;EDATE(A21,1))</f>
        <v>2261547.69</v>
      </c>
      <c r="C21" s="15">
        <f>SUMIFS(Clean_AR_Data!$G:$G,Clean_AR_Data!$E:$E,"&gt;="&amp;A21,Clean_AR_Data!$E:$E,"&lt;"&amp;EDATE(A21,1))</f>
        <v>1583687.0700000005</v>
      </c>
      <c r="D21" s="15">
        <f>SUMIFS(Clean_AR_Data!$H:$H,Clean_AR_Data!$C:$C,"&gt;="&amp;A21,Clean_AR_Data!$C:$C,"&lt;"&amp;EDATE(A21,1))</f>
        <v>736468.9</v>
      </c>
      <c r="E21" s="28">
        <f t="shared" si="0"/>
        <v>0.70026693533931206</v>
      </c>
      <c r="F21" s="21">
        <v>-1.703562817127013</v>
      </c>
    </row>
    <row r="22" spans="1:6" x14ac:dyDescent="0.25">
      <c r="A22" s="11">
        <v>45901</v>
      </c>
      <c r="B22" s="12">
        <f>SUMIFS(Clean_AR_Data!$F:$F,Clean_AR_Data!$C:$C,"&gt;="&amp;A22,Clean_AR_Data!$C:$C,"&lt;"&amp;EDATE(A22,1))</f>
        <v>2669061.7799999993</v>
      </c>
      <c r="C22" s="12">
        <f>SUMIFS(Clean_AR_Data!$G:$G,Clean_AR_Data!$E:$E,"&gt;="&amp;A22,Clean_AR_Data!$E:$E,"&lt;"&amp;EDATE(A22,1))</f>
        <v>1564026.3800000001</v>
      </c>
      <c r="D22" s="12">
        <f>SUMIFS(Clean_AR_Data!$H:$H,Clean_AR_Data!$C:$C,"&gt;="&amp;A22,Clean_AR_Data!$C:$C,"&lt;"&amp;EDATE(A22,1))</f>
        <v>465228.75</v>
      </c>
      <c r="E22" s="27">
        <f t="shared" si="0"/>
        <v>0.58598358109192983</v>
      </c>
      <c r="F22" s="20">
        <v>18.019256980603409</v>
      </c>
    </row>
    <row r="23" spans="1:6" x14ac:dyDescent="0.25">
      <c r="A23" s="14">
        <v>45931</v>
      </c>
      <c r="B23" s="15">
        <f>SUMIFS(Clean_AR_Data!$F:$F,Clean_AR_Data!$C:$C,"&gt;="&amp;A23,Clean_AR_Data!$C:$C,"&lt;"&amp;EDATE(A23,1))</f>
        <v>2880575.9199999995</v>
      </c>
      <c r="C23" s="15">
        <f>SUMIFS(Clean_AR_Data!$G:$G,Clean_AR_Data!$E:$E,"&gt;="&amp;A23,Clean_AR_Data!$E:$E,"&lt;"&amp;EDATE(A23,1))</f>
        <v>1830590.9600000004</v>
      </c>
      <c r="D23" s="15">
        <f>SUMIFS(Clean_AR_Data!$H:$H,Clean_AR_Data!$C:$C,"&gt;="&amp;A23,Clean_AR_Data!$C:$C,"&lt;"&amp;EDATE(A23,1))</f>
        <v>563544.89</v>
      </c>
      <c r="E23" s="28">
        <f t="shared" si="0"/>
        <v>0.63549477980778257</v>
      </c>
      <c r="F23" s="21">
        <v>7.924662575626118</v>
      </c>
    </row>
    <row r="24" spans="1:6" x14ac:dyDescent="0.25">
      <c r="A24" s="11">
        <v>45962</v>
      </c>
      <c r="B24" s="12">
        <f>SUMIFS(Clean_AR_Data!$F:$F,Clean_AR_Data!$C:$C,"&gt;="&amp;A24,Clean_AR_Data!$C:$C,"&lt;"&amp;EDATE(A24,1))</f>
        <v>3906014.0300000003</v>
      </c>
      <c r="C24" s="12">
        <f>SUMIFS(Clean_AR_Data!$G:$G,Clean_AR_Data!$E:$E,"&gt;="&amp;A24,Clean_AR_Data!$E:$E,"&lt;"&amp;EDATE(A24,1))</f>
        <v>2298243.2399999998</v>
      </c>
      <c r="D24" s="12">
        <f>SUMIFS(Clean_AR_Data!$H:$H,Clean_AR_Data!$C:$C,"&gt;="&amp;A24,Clean_AR_Data!$C:$C,"&lt;"&amp;EDATE(A24,1))</f>
        <v>932857.89</v>
      </c>
      <c r="E24" s="27">
        <f t="shared" si="0"/>
        <v>0.58838581283846525</v>
      </c>
      <c r="F24" s="20">
        <v>35.598371245150183</v>
      </c>
    </row>
    <row r="25" spans="1:6" x14ac:dyDescent="0.25">
      <c r="A25" s="14">
        <v>45992</v>
      </c>
      <c r="B25" s="15">
        <f>SUMIFS(Clean_AR_Data!$F:$F,Clean_AR_Data!$C:$C,"&gt;="&amp;A25,Clean_AR_Data!$C:$C,"&lt;"&amp;EDATE(A25,1))</f>
        <v>3242803.1900000018</v>
      </c>
      <c r="C25" s="15">
        <f>SUMIFS(Clean_AR_Data!$G:$G,Clean_AR_Data!$E:$E,"&gt;="&amp;A25,Clean_AR_Data!$E:$E,"&lt;"&amp;EDATE(A25,1))</f>
        <v>2263449.6900000004</v>
      </c>
      <c r="D25" s="15">
        <f>SUMIFS(Clean_AR_Data!$H:$H,Clean_AR_Data!$C:$C,"&gt;="&amp;A25,Clean_AR_Data!$C:$C,"&lt;"&amp;EDATE(A25,1))</f>
        <v>822794.63000000012</v>
      </c>
      <c r="E25" s="28">
        <f t="shared" si="0"/>
        <v>0.69799169341510336</v>
      </c>
      <c r="F25" s="21">
        <v>-16.979223190347842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 tint="0.79998168889431442"/>
  </sheetPr>
  <dimension ref="A1:D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3" customWidth="1"/>
    <col min="3" max="3" width="15" customWidth="1"/>
    <col min="4" max="4" width="19" customWidth="1"/>
  </cols>
  <sheetData>
    <row r="1" spans="1:4" ht="30" customHeight="1" x14ac:dyDescent="0.25">
      <c r="A1" s="22" t="s">
        <v>66</v>
      </c>
      <c r="B1" s="22" t="s">
        <v>3450</v>
      </c>
      <c r="C1" s="22" t="s">
        <v>3453</v>
      </c>
      <c r="D1" s="22" t="s">
        <v>3454</v>
      </c>
    </row>
    <row r="2" spans="1:4" x14ac:dyDescent="0.25">
      <c r="A2" s="10" t="s">
        <v>3455</v>
      </c>
      <c r="B2" s="12">
        <f ca="1">SUMIFS(Clean_AR_Data!$H:$H,Clean_AR_Data!$L:$L,A2)</f>
        <v>0</v>
      </c>
      <c r="C2" s="10">
        <f ca="1">COUNTIFS(Clean_AR_Data!$L:$L,A2)</f>
        <v>0</v>
      </c>
      <c r="D2" s="27">
        <f ca="1">IFERROR(B2/SUM($B$2:$B$6),0)</f>
        <v>0</v>
      </c>
    </row>
    <row r="3" spans="1:4" x14ac:dyDescent="0.25">
      <c r="A3" s="13" t="s">
        <v>3456</v>
      </c>
      <c r="B3" s="15">
        <f ca="1">SUMIFS(Clean_AR_Data!$H:$H,Clean_AR_Data!$L:$L,A3)</f>
        <v>0</v>
      </c>
      <c r="C3" s="13">
        <f ca="1">COUNTIFS(Clean_AR_Data!$L:$L,A3)</f>
        <v>0</v>
      </c>
      <c r="D3" s="28">
        <f ca="1">IFERROR(B3/SUM($B$2:$B$6),0)</f>
        <v>0</v>
      </c>
    </row>
    <row r="4" spans="1:4" x14ac:dyDescent="0.25">
      <c r="A4" s="10" t="s">
        <v>3457</v>
      </c>
      <c r="B4" s="12">
        <f ca="1">SUMIFS(Clean_AR_Data!$H:$H,Clean_AR_Data!$L:$L,A4)</f>
        <v>0</v>
      </c>
      <c r="C4" s="10">
        <f ca="1">COUNTIFS(Clean_AR_Data!$L:$L,A4)</f>
        <v>0</v>
      </c>
      <c r="D4" s="27">
        <f ca="1">IFERROR(B4/SUM($B$2:$B$6),0)</f>
        <v>0</v>
      </c>
    </row>
    <row r="5" spans="1:4" x14ac:dyDescent="0.25">
      <c r="A5" s="13" t="s">
        <v>3458</v>
      </c>
      <c r="B5" s="15">
        <f ca="1">SUMIFS(Clean_AR_Data!$H:$H,Clean_AR_Data!$L:$L,A5)</f>
        <v>0</v>
      </c>
      <c r="C5" s="13">
        <f ca="1">COUNTIFS(Clean_AR_Data!$L:$L,A5)</f>
        <v>0</v>
      </c>
      <c r="D5" s="28">
        <f ca="1">IFERROR(B5/SUM($B$2:$B$6),0)</f>
        <v>0</v>
      </c>
    </row>
    <row r="6" spans="1:4" x14ac:dyDescent="0.25">
      <c r="A6" s="10" t="s">
        <v>3459</v>
      </c>
      <c r="B6" s="12">
        <f ca="1">SUMIFS(Clean_AR_Data!$H:$H,Clean_AR_Data!$L:$L,A6)</f>
        <v>0</v>
      </c>
      <c r="C6" s="10">
        <f ca="1">COUNTIFS(Clean_AR_Data!$L:$L,A6)</f>
        <v>0</v>
      </c>
      <c r="D6" s="27">
        <f ca="1">IFERROR(B6/SUM($B$2:$B$6),0)</f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 tint="0.79998168889431442"/>
  </sheetPr>
  <dimension ref="A1:L6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5" width="19" customWidth="1"/>
    <col min="6" max="6" width="18" customWidth="1"/>
    <col min="7" max="7" width="15" customWidth="1"/>
    <col min="8" max="8" width="25" customWidth="1"/>
    <col min="9" max="9" width="19" customWidth="1"/>
    <col min="10" max="10" width="12" customWidth="1"/>
    <col min="11" max="11" width="15" customWidth="1"/>
    <col min="12" max="12" width="12" customWidth="1"/>
  </cols>
  <sheetData>
    <row r="1" spans="1:12" ht="30" customHeight="1" x14ac:dyDescent="0.25">
      <c r="A1" s="23" t="s">
        <v>29</v>
      </c>
      <c r="B1" s="23" t="s">
        <v>3460</v>
      </c>
      <c r="C1" s="23" t="s">
        <v>3461</v>
      </c>
      <c r="D1" s="23" t="s">
        <v>3450</v>
      </c>
      <c r="E1" s="23" t="s">
        <v>3462</v>
      </c>
      <c r="F1" s="23" t="s">
        <v>3463</v>
      </c>
      <c r="G1" s="23" t="s">
        <v>3453</v>
      </c>
      <c r="H1" s="23" t="s">
        <v>3451</v>
      </c>
      <c r="I1" s="23" t="s">
        <v>3464</v>
      </c>
      <c r="J1" s="23" t="s">
        <v>3465</v>
      </c>
      <c r="K1" s="23" t="s">
        <v>3379</v>
      </c>
      <c r="L1" s="23" t="s">
        <v>3380</v>
      </c>
    </row>
    <row r="2" spans="1:12" x14ac:dyDescent="0.25">
      <c r="A2" s="10" t="s">
        <v>72</v>
      </c>
      <c r="B2" s="12">
        <v>1254372.55</v>
      </c>
      <c r="C2" s="12">
        <v>307435.02</v>
      </c>
      <c r="D2" s="12">
        <v>946937.53</v>
      </c>
      <c r="E2" s="10">
        <v>336.93103448275861</v>
      </c>
      <c r="F2" s="10">
        <v>20</v>
      </c>
      <c r="G2" s="10">
        <v>29</v>
      </c>
      <c r="H2" s="20">
        <v>24.509067900122659</v>
      </c>
      <c r="I2" s="10">
        <v>95.098186419975463</v>
      </c>
      <c r="J2" s="10" t="s">
        <v>3392</v>
      </c>
      <c r="K2" s="10" t="s">
        <v>3391</v>
      </c>
      <c r="L2" s="10" t="s">
        <v>3383</v>
      </c>
    </row>
    <row r="3" spans="1:12" x14ac:dyDescent="0.25">
      <c r="A3" s="13" t="s">
        <v>91</v>
      </c>
      <c r="B3" s="15">
        <v>1071011.43</v>
      </c>
      <c r="C3" s="15">
        <v>460539.27</v>
      </c>
      <c r="D3" s="15">
        <v>610472.16</v>
      </c>
      <c r="E3" s="13">
        <v>200.96153846153851</v>
      </c>
      <c r="F3" s="13">
        <v>13</v>
      </c>
      <c r="G3" s="13">
        <v>26</v>
      </c>
      <c r="H3" s="21">
        <v>43.000406634315759</v>
      </c>
      <c r="I3" s="13">
        <v>91.399918673136852</v>
      </c>
      <c r="J3" s="13" t="s">
        <v>3392</v>
      </c>
      <c r="K3" s="13" t="s">
        <v>3399</v>
      </c>
      <c r="L3" s="13" t="s">
        <v>3383</v>
      </c>
    </row>
    <row r="4" spans="1:12" x14ac:dyDescent="0.25">
      <c r="A4" s="10" t="s">
        <v>89</v>
      </c>
      <c r="B4" s="12">
        <v>1314474.1399999999</v>
      </c>
      <c r="C4" s="12">
        <v>742712.65</v>
      </c>
      <c r="D4" s="12">
        <v>571761.49</v>
      </c>
      <c r="E4" s="10">
        <v>197.88888888888891</v>
      </c>
      <c r="F4" s="10">
        <v>14</v>
      </c>
      <c r="G4" s="10">
        <v>27</v>
      </c>
      <c r="H4" s="20">
        <v>56.502644471955918</v>
      </c>
      <c r="I4" s="10">
        <v>88.699471105608808</v>
      </c>
      <c r="J4" s="10" t="s">
        <v>3392</v>
      </c>
      <c r="K4" s="10" t="s">
        <v>3417</v>
      </c>
      <c r="L4" s="10" t="s">
        <v>3383</v>
      </c>
    </row>
    <row r="5" spans="1:12" x14ac:dyDescent="0.25">
      <c r="A5" s="13" t="s">
        <v>244</v>
      </c>
      <c r="B5" s="15">
        <v>846642.46</v>
      </c>
      <c r="C5" s="15">
        <v>330349.46000000002</v>
      </c>
      <c r="D5" s="15">
        <v>516293</v>
      </c>
      <c r="E5" s="13">
        <v>199.41666666666671</v>
      </c>
      <c r="F5" s="13">
        <v>14</v>
      </c>
      <c r="G5" s="13">
        <v>24</v>
      </c>
      <c r="H5" s="21">
        <v>39.018768323998302</v>
      </c>
      <c r="I5" s="13">
        <v>87.974180481655083</v>
      </c>
      <c r="J5" s="13" t="s">
        <v>3392</v>
      </c>
      <c r="K5" s="13" t="s">
        <v>3410</v>
      </c>
      <c r="L5" s="13" t="s">
        <v>3389</v>
      </c>
    </row>
    <row r="6" spans="1:12" x14ac:dyDescent="0.25">
      <c r="A6" s="10" t="s">
        <v>159</v>
      </c>
      <c r="B6" s="12">
        <v>1507836.73</v>
      </c>
      <c r="C6" s="12">
        <v>833119.16</v>
      </c>
      <c r="D6" s="12">
        <v>674717.57</v>
      </c>
      <c r="E6" s="10">
        <v>178.75</v>
      </c>
      <c r="F6" s="10">
        <v>18</v>
      </c>
      <c r="G6" s="10">
        <v>36</v>
      </c>
      <c r="H6" s="20">
        <v>55.252610804884696</v>
      </c>
      <c r="I6" s="10">
        <v>87.110158162036186</v>
      </c>
      <c r="J6" s="10" t="s">
        <v>3392</v>
      </c>
      <c r="K6" s="10" t="s">
        <v>3419</v>
      </c>
      <c r="L6" s="10" t="s">
        <v>3383</v>
      </c>
    </row>
    <row r="7" spans="1:12" x14ac:dyDescent="0.25">
      <c r="A7" s="13" t="s">
        <v>180</v>
      </c>
      <c r="B7" s="15">
        <v>1321370.51</v>
      </c>
      <c r="C7" s="15">
        <v>670444.06000000006</v>
      </c>
      <c r="D7" s="15">
        <v>650926.44999999995</v>
      </c>
      <c r="E7" s="13">
        <v>173.85714285714289</v>
      </c>
      <c r="F7" s="13">
        <v>14</v>
      </c>
      <c r="G7" s="13">
        <v>28</v>
      </c>
      <c r="H7" s="21">
        <v>50.738536612263289</v>
      </c>
      <c r="I7" s="13">
        <v>87.105278054655813</v>
      </c>
      <c r="J7" s="13" t="s">
        <v>3392</v>
      </c>
      <c r="K7" s="13" t="s">
        <v>3394</v>
      </c>
      <c r="L7" s="13" t="s">
        <v>3383</v>
      </c>
    </row>
    <row r="8" spans="1:12" x14ac:dyDescent="0.25">
      <c r="A8" s="10" t="s">
        <v>109</v>
      </c>
      <c r="B8" s="12">
        <v>1142424.42</v>
      </c>
      <c r="C8" s="12">
        <v>586020.61</v>
      </c>
      <c r="D8" s="12">
        <v>556403.80999999994</v>
      </c>
      <c r="E8" s="10">
        <v>165.15384615384619</v>
      </c>
      <c r="F8" s="10">
        <v>12</v>
      </c>
      <c r="G8" s="10">
        <v>26</v>
      </c>
      <c r="H8" s="20">
        <v>51.296225793212649</v>
      </c>
      <c r="I8" s="10">
        <v>84.325126651651033</v>
      </c>
      <c r="J8" s="10" t="s">
        <v>3392</v>
      </c>
      <c r="K8" s="10" t="s">
        <v>3443</v>
      </c>
      <c r="L8" s="10" t="s">
        <v>3389</v>
      </c>
    </row>
    <row r="9" spans="1:12" x14ac:dyDescent="0.25">
      <c r="A9" s="13" t="s">
        <v>117</v>
      </c>
      <c r="B9" s="15">
        <v>1750160.7</v>
      </c>
      <c r="C9" s="15">
        <v>1163035.2</v>
      </c>
      <c r="D9" s="15">
        <v>587125.5</v>
      </c>
      <c r="E9" s="13">
        <v>143.37837837837839</v>
      </c>
      <c r="F9" s="13">
        <v>15</v>
      </c>
      <c r="G9" s="13">
        <v>37</v>
      </c>
      <c r="H9" s="21">
        <v>66.453051996882337</v>
      </c>
      <c r="I9" s="13">
        <v>78.308128457336394</v>
      </c>
      <c r="J9" s="13" t="s">
        <v>3392</v>
      </c>
      <c r="K9" s="13" t="s">
        <v>3408</v>
      </c>
      <c r="L9" s="13" t="s">
        <v>3383</v>
      </c>
    </row>
    <row r="10" spans="1:12" x14ac:dyDescent="0.25">
      <c r="A10" s="10" t="s">
        <v>222</v>
      </c>
      <c r="B10" s="12">
        <v>749996.54</v>
      </c>
      <c r="C10" s="12">
        <v>383467.27</v>
      </c>
      <c r="D10" s="12">
        <v>366529.27</v>
      </c>
      <c r="E10" s="10">
        <v>199.68181818181819</v>
      </c>
      <c r="F10" s="10">
        <v>11</v>
      </c>
      <c r="G10" s="10">
        <v>22</v>
      </c>
      <c r="H10" s="20">
        <v>51.129205209400027</v>
      </c>
      <c r="I10" s="10">
        <v>73.723430853745413</v>
      </c>
      <c r="J10" s="10" t="s">
        <v>3392</v>
      </c>
      <c r="K10" s="10" t="s">
        <v>3441</v>
      </c>
      <c r="L10" s="10" t="s">
        <v>3383</v>
      </c>
    </row>
    <row r="11" spans="1:12" x14ac:dyDescent="0.25">
      <c r="A11" s="13" t="s">
        <v>101</v>
      </c>
      <c r="B11" s="15">
        <v>1196416.8500000001</v>
      </c>
      <c r="C11" s="15">
        <v>665216.03</v>
      </c>
      <c r="D11" s="15">
        <v>531200.81999999995</v>
      </c>
      <c r="E11" s="13">
        <v>122.8888888888889</v>
      </c>
      <c r="F11" s="13">
        <v>11</v>
      </c>
      <c r="G11" s="13">
        <v>27</v>
      </c>
      <c r="H11" s="21">
        <v>55.600690511839581</v>
      </c>
      <c r="I11" s="13">
        <v>73.632893454087395</v>
      </c>
      <c r="J11" s="13" t="s">
        <v>3392</v>
      </c>
      <c r="K11" s="13" t="s">
        <v>3393</v>
      </c>
      <c r="L11" s="13" t="s">
        <v>3383</v>
      </c>
    </row>
    <row r="12" spans="1:12" x14ac:dyDescent="0.25">
      <c r="A12" s="10" t="s">
        <v>271</v>
      </c>
      <c r="B12" s="12">
        <v>646060.39</v>
      </c>
      <c r="C12" s="12">
        <v>298330.28999999998</v>
      </c>
      <c r="D12" s="12">
        <v>347730.1</v>
      </c>
      <c r="E12" s="10">
        <v>187.64705882352939</v>
      </c>
      <c r="F12" s="10">
        <v>10</v>
      </c>
      <c r="G12" s="10">
        <v>17</v>
      </c>
      <c r="H12" s="20">
        <v>46.176842694225527</v>
      </c>
      <c r="I12" s="10">
        <v>73.040316306385947</v>
      </c>
      <c r="J12" s="10" t="s">
        <v>3392</v>
      </c>
      <c r="K12" s="10" t="s">
        <v>3442</v>
      </c>
      <c r="L12" s="10" t="s">
        <v>3396</v>
      </c>
    </row>
    <row r="13" spans="1:12" x14ac:dyDescent="0.25">
      <c r="A13" s="13" t="s">
        <v>79</v>
      </c>
      <c r="B13" s="15">
        <v>1582213.04</v>
      </c>
      <c r="C13" s="15">
        <v>1020573.09</v>
      </c>
      <c r="D13" s="15">
        <v>561639.94999999995</v>
      </c>
      <c r="E13" s="13">
        <v>114.1428571428571</v>
      </c>
      <c r="F13" s="13">
        <v>9</v>
      </c>
      <c r="G13" s="13">
        <v>35</v>
      </c>
      <c r="H13" s="21">
        <v>64.502887044844471</v>
      </c>
      <c r="I13" s="13">
        <v>72.634088336599405</v>
      </c>
      <c r="J13" s="13" t="s">
        <v>3392</v>
      </c>
      <c r="K13" s="13" t="s">
        <v>3433</v>
      </c>
      <c r="L13" s="13" t="s">
        <v>3383</v>
      </c>
    </row>
    <row r="14" spans="1:12" x14ac:dyDescent="0.25">
      <c r="A14" s="10" t="s">
        <v>340</v>
      </c>
      <c r="B14" s="12">
        <v>1487448.3</v>
      </c>
      <c r="C14" s="12">
        <v>917922.97</v>
      </c>
      <c r="D14" s="12">
        <v>569525.32999999996</v>
      </c>
      <c r="E14" s="10">
        <v>104.43333333333329</v>
      </c>
      <c r="F14" s="10">
        <v>12</v>
      </c>
      <c r="G14" s="10">
        <v>30</v>
      </c>
      <c r="H14" s="20">
        <v>61.711252081837053</v>
      </c>
      <c r="I14" s="10">
        <v>72.013964171334251</v>
      </c>
      <c r="J14" s="10" t="s">
        <v>3392</v>
      </c>
      <c r="K14" s="10" t="s">
        <v>3418</v>
      </c>
      <c r="L14" s="10" t="s">
        <v>3396</v>
      </c>
    </row>
    <row r="15" spans="1:12" x14ac:dyDescent="0.25">
      <c r="A15" s="13" t="s">
        <v>278</v>
      </c>
      <c r="B15" s="15">
        <v>1174413.04</v>
      </c>
      <c r="C15" s="15">
        <v>775671.85</v>
      </c>
      <c r="D15" s="15">
        <v>398741.19</v>
      </c>
      <c r="E15" s="13">
        <v>173.81481481481481</v>
      </c>
      <c r="F15" s="13">
        <v>11</v>
      </c>
      <c r="G15" s="13">
        <v>27</v>
      </c>
      <c r="H15" s="21">
        <v>66.047618987609326</v>
      </c>
      <c r="I15" s="13">
        <v>70.529047901193508</v>
      </c>
      <c r="J15" s="13" t="s">
        <v>3392</v>
      </c>
      <c r="K15" s="13" t="s">
        <v>3411</v>
      </c>
      <c r="L15" s="13" t="s">
        <v>3396</v>
      </c>
    </row>
    <row r="16" spans="1:12" x14ac:dyDescent="0.25">
      <c r="A16" s="10" t="s">
        <v>85</v>
      </c>
      <c r="B16" s="12">
        <v>661198.01</v>
      </c>
      <c r="C16" s="12">
        <v>344824.56</v>
      </c>
      <c r="D16" s="12">
        <v>316373.45</v>
      </c>
      <c r="E16" s="10">
        <v>197.8235294117647</v>
      </c>
      <c r="F16" s="10">
        <v>8</v>
      </c>
      <c r="G16" s="10">
        <v>17</v>
      </c>
      <c r="H16" s="20">
        <v>52.15148182312285</v>
      </c>
      <c r="I16" s="10">
        <v>69.557560743232202</v>
      </c>
      <c r="J16" s="10" t="s">
        <v>3392</v>
      </c>
      <c r="K16" s="10" t="s">
        <v>3387</v>
      </c>
      <c r="L16" s="10" t="s">
        <v>3383</v>
      </c>
    </row>
    <row r="17" spans="1:12" x14ac:dyDescent="0.25">
      <c r="A17" s="13" t="s">
        <v>314</v>
      </c>
      <c r="B17" s="15">
        <v>1244032.97</v>
      </c>
      <c r="C17" s="15">
        <v>740151.11</v>
      </c>
      <c r="D17" s="15">
        <v>503881.86</v>
      </c>
      <c r="E17" s="13">
        <v>109.1785714285714</v>
      </c>
      <c r="F17" s="13">
        <v>11</v>
      </c>
      <c r="G17" s="13">
        <v>28</v>
      </c>
      <c r="H17" s="21">
        <v>59.496100814755742</v>
      </c>
      <c r="I17" s="13">
        <v>68.152641154527046</v>
      </c>
      <c r="J17" s="13" t="s">
        <v>3392</v>
      </c>
      <c r="K17" s="13" t="s">
        <v>3401</v>
      </c>
      <c r="L17" s="13" t="s">
        <v>3396</v>
      </c>
    </row>
    <row r="18" spans="1:12" x14ac:dyDescent="0.25">
      <c r="A18" s="10" t="s">
        <v>331</v>
      </c>
      <c r="B18" s="12">
        <v>925969.82000000007</v>
      </c>
      <c r="C18" s="12">
        <v>577409.31000000006</v>
      </c>
      <c r="D18" s="12">
        <v>348560.51</v>
      </c>
      <c r="E18" s="10">
        <v>171.3478260869565</v>
      </c>
      <c r="F18" s="10">
        <v>8</v>
      </c>
      <c r="G18" s="10">
        <v>23</v>
      </c>
      <c r="H18" s="20">
        <v>62.357249397177981</v>
      </c>
      <c r="I18" s="10">
        <v>66.846081859230765</v>
      </c>
      <c r="J18" s="10" t="s">
        <v>3392</v>
      </c>
      <c r="K18" s="10" t="s">
        <v>3440</v>
      </c>
      <c r="L18" s="10" t="s">
        <v>3383</v>
      </c>
    </row>
    <row r="19" spans="1:12" x14ac:dyDescent="0.25">
      <c r="A19" s="13" t="s">
        <v>233</v>
      </c>
      <c r="B19" s="15">
        <v>1150220.75</v>
      </c>
      <c r="C19" s="15">
        <v>764635.44</v>
      </c>
      <c r="D19" s="15">
        <v>385585.31</v>
      </c>
      <c r="E19" s="13">
        <v>137.21428571428569</v>
      </c>
      <c r="F19" s="13">
        <v>9</v>
      </c>
      <c r="G19" s="13">
        <v>28</v>
      </c>
      <c r="H19" s="21">
        <v>66.477277513903317</v>
      </c>
      <c r="I19" s="13">
        <v>62.614115061046242</v>
      </c>
      <c r="J19" s="13" t="s">
        <v>3392</v>
      </c>
      <c r="K19" s="13" t="s">
        <v>3406</v>
      </c>
      <c r="L19" s="13" t="s">
        <v>3383</v>
      </c>
    </row>
    <row r="20" spans="1:12" x14ac:dyDescent="0.25">
      <c r="A20" s="10" t="s">
        <v>274</v>
      </c>
      <c r="B20" s="12">
        <v>1183979.46</v>
      </c>
      <c r="C20" s="12">
        <v>750394.97</v>
      </c>
      <c r="D20" s="12">
        <v>433584.49</v>
      </c>
      <c r="E20" s="10">
        <v>109.5185185185185</v>
      </c>
      <c r="F20" s="10">
        <v>7</v>
      </c>
      <c r="G20" s="10">
        <v>27</v>
      </c>
      <c r="H20" s="20">
        <v>63.379053045396581</v>
      </c>
      <c r="I20" s="10">
        <v>61.886877926082093</v>
      </c>
      <c r="J20" s="10" t="s">
        <v>3392</v>
      </c>
      <c r="K20" s="10" t="s">
        <v>3430</v>
      </c>
      <c r="L20" s="10" t="s">
        <v>3383</v>
      </c>
    </row>
    <row r="21" spans="1:12" x14ac:dyDescent="0.25">
      <c r="A21" s="13" t="s">
        <v>215</v>
      </c>
      <c r="B21" s="15">
        <v>967365.97</v>
      </c>
      <c r="C21" s="15">
        <v>639844.74</v>
      </c>
      <c r="D21" s="15">
        <v>327521.23</v>
      </c>
      <c r="E21" s="13">
        <v>149.3478260869565</v>
      </c>
      <c r="F21" s="13">
        <v>9</v>
      </c>
      <c r="G21" s="13">
        <v>23</v>
      </c>
      <c r="H21" s="21">
        <v>66.142986195803431</v>
      </c>
      <c r="I21" s="13">
        <v>60.345892308065231</v>
      </c>
      <c r="J21" s="13" t="s">
        <v>3392</v>
      </c>
      <c r="K21" s="13" t="s">
        <v>3400</v>
      </c>
      <c r="L21" s="13" t="s">
        <v>3389</v>
      </c>
    </row>
    <row r="22" spans="1:12" x14ac:dyDescent="0.25">
      <c r="A22" s="10" t="s">
        <v>138</v>
      </c>
      <c r="B22" s="12">
        <v>1049229.1499999999</v>
      </c>
      <c r="C22" s="12">
        <v>651045.99</v>
      </c>
      <c r="D22" s="12">
        <v>398183.16</v>
      </c>
      <c r="E22" s="10">
        <v>105.6666666666667</v>
      </c>
      <c r="F22" s="10">
        <v>7</v>
      </c>
      <c r="G22" s="10">
        <v>24</v>
      </c>
      <c r="H22" s="20">
        <v>62.049933515476582</v>
      </c>
      <c r="I22" s="10">
        <v>58.642054888994629</v>
      </c>
      <c r="J22" s="10" t="s">
        <v>3384</v>
      </c>
      <c r="K22" s="10" t="s">
        <v>3390</v>
      </c>
      <c r="L22" s="10" t="s">
        <v>3383</v>
      </c>
    </row>
    <row r="23" spans="1:12" x14ac:dyDescent="0.25">
      <c r="A23" s="13" t="s">
        <v>81</v>
      </c>
      <c r="B23" s="15">
        <v>1278157.44</v>
      </c>
      <c r="C23" s="15">
        <v>871648.19000000006</v>
      </c>
      <c r="D23" s="15">
        <v>406509.25</v>
      </c>
      <c r="E23" s="13">
        <v>105.9285714285714</v>
      </c>
      <c r="F23" s="13">
        <v>8</v>
      </c>
      <c r="G23" s="13">
        <v>28</v>
      </c>
      <c r="H23" s="21">
        <v>68.19568252875014</v>
      </c>
      <c r="I23" s="13">
        <v>58.119104701030899</v>
      </c>
      <c r="J23" s="13" t="s">
        <v>3384</v>
      </c>
      <c r="K23" s="13" t="s">
        <v>3412</v>
      </c>
      <c r="L23" s="13" t="s">
        <v>3396</v>
      </c>
    </row>
    <row r="24" spans="1:12" x14ac:dyDescent="0.25">
      <c r="A24" s="10" t="s">
        <v>153</v>
      </c>
      <c r="B24" s="12">
        <v>1116105.3799999999</v>
      </c>
      <c r="C24" s="12">
        <v>695782.59</v>
      </c>
      <c r="D24" s="12">
        <v>420322.79</v>
      </c>
      <c r="E24" s="10">
        <v>88.347826086956516</v>
      </c>
      <c r="F24" s="10">
        <v>7</v>
      </c>
      <c r="G24" s="10">
        <v>23</v>
      </c>
      <c r="H24" s="20">
        <v>62.340223644473433</v>
      </c>
      <c r="I24" s="10">
        <v>57.119740059184828</v>
      </c>
      <c r="J24" s="10" t="s">
        <v>3384</v>
      </c>
      <c r="K24" s="10" t="s">
        <v>3436</v>
      </c>
      <c r="L24" s="10" t="s">
        <v>3396</v>
      </c>
    </row>
    <row r="25" spans="1:12" x14ac:dyDescent="0.25">
      <c r="A25" s="13" t="s">
        <v>115</v>
      </c>
      <c r="B25" s="15">
        <v>1584036.81</v>
      </c>
      <c r="C25" s="15">
        <v>1191595.76</v>
      </c>
      <c r="D25" s="15">
        <v>392441.05</v>
      </c>
      <c r="E25" s="13">
        <v>105.9722222222222</v>
      </c>
      <c r="F25" s="13">
        <v>10</v>
      </c>
      <c r="G25" s="13">
        <v>36</v>
      </c>
      <c r="H25" s="21">
        <v>75.225256918114169</v>
      </c>
      <c r="I25" s="13">
        <v>55.610150905655587</v>
      </c>
      <c r="J25" s="13" t="s">
        <v>3384</v>
      </c>
      <c r="K25" s="13" t="s">
        <v>3414</v>
      </c>
      <c r="L25" s="13" t="s">
        <v>3383</v>
      </c>
    </row>
    <row r="26" spans="1:12" x14ac:dyDescent="0.25">
      <c r="A26" s="10" t="s">
        <v>220</v>
      </c>
      <c r="B26" s="12">
        <v>1124985.43</v>
      </c>
      <c r="C26" s="12">
        <v>789508.2</v>
      </c>
      <c r="D26" s="12">
        <v>335477.23</v>
      </c>
      <c r="E26" s="10">
        <v>123.6551724137931</v>
      </c>
      <c r="F26" s="10">
        <v>10</v>
      </c>
      <c r="G26" s="10">
        <v>29</v>
      </c>
      <c r="H26" s="20">
        <v>70.179415568075399</v>
      </c>
      <c r="I26" s="10">
        <v>55.400633918832689</v>
      </c>
      <c r="J26" s="10" t="s">
        <v>3384</v>
      </c>
      <c r="K26" s="10" t="s">
        <v>3432</v>
      </c>
      <c r="L26" s="10" t="s">
        <v>3389</v>
      </c>
    </row>
    <row r="27" spans="1:12" x14ac:dyDescent="0.25">
      <c r="A27" s="13" t="s">
        <v>93</v>
      </c>
      <c r="B27" s="15">
        <v>1348780.44</v>
      </c>
      <c r="C27" s="15">
        <v>988344.75</v>
      </c>
      <c r="D27" s="15">
        <v>360435.69</v>
      </c>
      <c r="E27" s="13">
        <v>105.93103448275861</v>
      </c>
      <c r="F27" s="13">
        <v>8</v>
      </c>
      <c r="G27" s="13">
        <v>29</v>
      </c>
      <c r="H27" s="21">
        <v>73.276918962436909</v>
      </c>
      <c r="I27" s="13">
        <v>53.464325253481057</v>
      </c>
      <c r="J27" s="13" t="s">
        <v>3384</v>
      </c>
      <c r="K27" s="13" t="s">
        <v>3407</v>
      </c>
      <c r="L27" s="13" t="s">
        <v>3389</v>
      </c>
    </row>
    <row r="28" spans="1:12" x14ac:dyDescent="0.25">
      <c r="A28" s="10" t="s">
        <v>95</v>
      </c>
      <c r="B28" s="12">
        <v>1272254.83</v>
      </c>
      <c r="C28" s="12">
        <v>960330.95</v>
      </c>
      <c r="D28" s="12">
        <v>311923.88</v>
      </c>
      <c r="E28" s="10">
        <v>111.2068965517241</v>
      </c>
      <c r="F28" s="10">
        <v>8</v>
      </c>
      <c r="G28" s="10">
        <v>29</v>
      </c>
      <c r="H28" s="20">
        <v>75.482594159222003</v>
      </c>
      <c r="I28" s="10">
        <v>50.170370715204669</v>
      </c>
      <c r="J28" s="10" t="s">
        <v>3384</v>
      </c>
      <c r="K28" s="10" t="s">
        <v>3427</v>
      </c>
      <c r="L28" s="10" t="s">
        <v>3389</v>
      </c>
    </row>
    <row r="29" spans="1:12" x14ac:dyDescent="0.25">
      <c r="A29" s="13" t="s">
        <v>230</v>
      </c>
      <c r="B29" s="15">
        <v>1407711.81</v>
      </c>
      <c r="C29" s="15">
        <v>963380.12</v>
      </c>
      <c r="D29" s="15">
        <v>444331.68999999989</v>
      </c>
      <c r="E29" s="13">
        <v>42.07692307692308</v>
      </c>
      <c r="F29" s="13">
        <v>7</v>
      </c>
      <c r="G29" s="13">
        <v>26</v>
      </c>
      <c r="H29" s="21">
        <v>68.435891008117636</v>
      </c>
      <c r="I29" s="13">
        <v>49.212967291332461</v>
      </c>
      <c r="J29" s="13" t="s">
        <v>3384</v>
      </c>
      <c r="K29" s="13" t="s">
        <v>3409</v>
      </c>
      <c r="L29" s="13" t="s">
        <v>3383</v>
      </c>
    </row>
    <row r="30" spans="1:12" x14ac:dyDescent="0.25">
      <c r="A30" s="10" t="s">
        <v>140</v>
      </c>
      <c r="B30" s="12">
        <v>1444766.63</v>
      </c>
      <c r="C30" s="12">
        <v>1070234.1599999999</v>
      </c>
      <c r="D30" s="12">
        <v>374532.47</v>
      </c>
      <c r="E30" s="10">
        <v>64.84375</v>
      </c>
      <c r="F30" s="10">
        <v>4</v>
      </c>
      <c r="G30" s="10">
        <v>32</v>
      </c>
      <c r="H30" s="20">
        <v>74.076611251742435</v>
      </c>
      <c r="I30" s="10">
        <v>46.795502233990987</v>
      </c>
      <c r="J30" s="10" t="s">
        <v>3384</v>
      </c>
      <c r="K30" s="10" t="s">
        <v>3404</v>
      </c>
      <c r="L30" s="10" t="s">
        <v>3383</v>
      </c>
    </row>
    <row r="31" spans="1:12" x14ac:dyDescent="0.25">
      <c r="A31" s="13" t="s">
        <v>449</v>
      </c>
      <c r="B31" s="15">
        <v>988576.62</v>
      </c>
      <c r="C31" s="15">
        <v>743788.2</v>
      </c>
      <c r="D31" s="15">
        <v>244788.42</v>
      </c>
      <c r="E31" s="13">
        <v>106.375</v>
      </c>
      <c r="F31" s="13">
        <v>8</v>
      </c>
      <c r="G31" s="13">
        <v>24</v>
      </c>
      <c r="H31" s="21">
        <v>75.238295641667108</v>
      </c>
      <c r="I31" s="13">
        <v>44.020341174844347</v>
      </c>
      <c r="J31" s="13" t="s">
        <v>3384</v>
      </c>
      <c r="K31" s="13" t="s">
        <v>3429</v>
      </c>
      <c r="L31" s="13" t="s">
        <v>3383</v>
      </c>
    </row>
    <row r="32" spans="1:12" x14ac:dyDescent="0.25">
      <c r="A32" s="10" t="s">
        <v>119</v>
      </c>
      <c r="B32" s="12">
        <v>1414767.02</v>
      </c>
      <c r="C32" s="12">
        <v>1117501.06</v>
      </c>
      <c r="D32" s="12">
        <v>297265.96000000002</v>
      </c>
      <c r="E32" s="10">
        <v>81.888888888888886</v>
      </c>
      <c r="F32" s="10">
        <v>7</v>
      </c>
      <c r="G32" s="10">
        <v>36</v>
      </c>
      <c r="H32" s="20">
        <v>78.988345374350047</v>
      </c>
      <c r="I32" s="10">
        <v>42.872596814119817</v>
      </c>
      <c r="J32" s="10" t="s">
        <v>3384</v>
      </c>
      <c r="K32" s="10" t="s">
        <v>3424</v>
      </c>
      <c r="L32" s="10" t="s">
        <v>3383</v>
      </c>
    </row>
    <row r="33" spans="1:12" x14ac:dyDescent="0.25">
      <c r="A33" s="13" t="s">
        <v>136</v>
      </c>
      <c r="B33" s="15">
        <v>1016174.87</v>
      </c>
      <c r="C33" s="15">
        <v>776786.4</v>
      </c>
      <c r="D33" s="15">
        <v>239388.47</v>
      </c>
      <c r="E33" s="13">
        <v>93.16</v>
      </c>
      <c r="F33" s="13">
        <v>5</v>
      </c>
      <c r="G33" s="13">
        <v>25</v>
      </c>
      <c r="H33" s="21">
        <v>76.44219739462757</v>
      </c>
      <c r="I33" s="13">
        <v>40.901489717019203</v>
      </c>
      <c r="J33" s="13" t="s">
        <v>3384</v>
      </c>
      <c r="K33" s="13" t="s">
        <v>3388</v>
      </c>
      <c r="L33" s="13" t="s">
        <v>3389</v>
      </c>
    </row>
    <row r="34" spans="1:12" x14ac:dyDescent="0.25">
      <c r="A34" s="10" t="s">
        <v>265</v>
      </c>
      <c r="B34" s="12">
        <v>1330996.83</v>
      </c>
      <c r="C34" s="12">
        <v>1046691.13</v>
      </c>
      <c r="D34" s="12">
        <v>284305.7</v>
      </c>
      <c r="E34" s="10">
        <v>64.034482758620683</v>
      </c>
      <c r="F34" s="10">
        <v>7</v>
      </c>
      <c r="G34" s="10">
        <v>29</v>
      </c>
      <c r="H34" s="20">
        <v>78.639641087650062</v>
      </c>
      <c r="I34" s="10">
        <v>38.606460822316897</v>
      </c>
      <c r="J34" s="10" t="s">
        <v>3384</v>
      </c>
      <c r="K34" s="10" t="s">
        <v>3439</v>
      </c>
      <c r="L34" s="10" t="s">
        <v>3396</v>
      </c>
    </row>
    <row r="35" spans="1:12" x14ac:dyDescent="0.25">
      <c r="A35" s="13" t="s">
        <v>184</v>
      </c>
      <c r="B35" s="15">
        <v>765593.25</v>
      </c>
      <c r="C35" s="15">
        <v>595055.39</v>
      </c>
      <c r="D35" s="15">
        <v>170537.86</v>
      </c>
      <c r="E35" s="13">
        <v>106.3888888888889</v>
      </c>
      <c r="F35" s="13">
        <v>5</v>
      </c>
      <c r="G35" s="13">
        <v>18</v>
      </c>
      <c r="H35" s="21">
        <v>77.724743524057985</v>
      </c>
      <c r="I35" s="13">
        <v>37.66115889023451</v>
      </c>
      <c r="J35" s="13" t="s">
        <v>3384</v>
      </c>
      <c r="K35" s="13" t="s">
        <v>3382</v>
      </c>
      <c r="L35" s="13" t="s">
        <v>3383</v>
      </c>
    </row>
    <row r="36" spans="1:12" x14ac:dyDescent="0.25">
      <c r="A36" s="10" t="s">
        <v>188</v>
      </c>
      <c r="B36" s="12">
        <v>1529294.87</v>
      </c>
      <c r="C36" s="12">
        <v>1269238.8700000001</v>
      </c>
      <c r="D36" s="12">
        <v>260056</v>
      </c>
      <c r="E36" s="10">
        <v>62.766666666666673</v>
      </c>
      <c r="F36" s="10">
        <v>8</v>
      </c>
      <c r="G36" s="10">
        <v>30</v>
      </c>
      <c r="H36" s="20">
        <v>82.995038752729215</v>
      </c>
      <c r="I36" s="10">
        <v>35.584889697503641</v>
      </c>
      <c r="J36" s="10" t="s">
        <v>3384</v>
      </c>
      <c r="K36" s="10" t="s">
        <v>3415</v>
      </c>
      <c r="L36" s="10" t="s">
        <v>3383</v>
      </c>
    </row>
    <row r="37" spans="1:12" x14ac:dyDescent="0.25">
      <c r="A37" s="13" t="s">
        <v>129</v>
      </c>
      <c r="B37" s="15">
        <v>952763.28</v>
      </c>
      <c r="C37" s="15">
        <v>746152.03</v>
      </c>
      <c r="D37" s="15">
        <v>206611.25</v>
      </c>
      <c r="E37" s="13">
        <v>65.80952380952381</v>
      </c>
      <c r="F37" s="13">
        <v>6</v>
      </c>
      <c r="G37" s="13">
        <v>21</v>
      </c>
      <c r="H37" s="21">
        <v>78.314524254125331</v>
      </c>
      <c r="I37" s="13">
        <v>32.864304527100053</v>
      </c>
      <c r="J37" s="13" t="s">
        <v>3384</v>
      </c>
      <c r="K37" s="13" t="s">
        <v>3413</v>
      </c>
      <c r="L37" s="13" t="s">
        <v>3396</v>
      </c>
    </row>
    <row r="38" spans="1:12" x14ac:dyDescent="0.25">
      <c r="A38" s="10" t="s">
        <v>107</v>
      </c>
      <c r="B38" s="12">
        <v>1809422.84</v>
      </c>
      <c r="C38" s="12">
        <v>1553521.79</v>
      </c>
      <c r="D38" s="12">
        <v>255901.05</v>
      </c>
      <c r="E38" s="10">
        <v>52.837837837837839</v>
      </c>
      <c r="F38" s="10">
        <v>4</v>
      </c>
      <c r="G38" s="10">
        <v>37</v>
      </c>
      <c r="H38" s="20">
        <v>85.857310721246336</v>
      </c>
      <c r="I38" s="10">
        <v>32.842328710250897</v>
      </c>
      <c r="J38" s="10" t="s">
        <v>3384</v>
      </c>
      <c r="K38" s="10" t="s">
        <v>3405</v>
      </c>
      <c r="L38" s="10" t="s">
        <v>3383</v>
      </c>
    </row>
    <row r="39" spans="1:12" x14ac:dyDescent="0.25">
      <c r="A39" s="13" t="s">
        <v>131</v>
      </c>
      <c r="B39" s="15">
        <v>1579319.28</v>
      </c>
      <c r="C39" s="15">
        <v>1355922.85</v>
      </c>
      <c r="D39" s="15">
        <v>223396.43</v>
      </c>
      <c r="E39" s="13">
        <v>51.707317073170742</v>
      </c>
      <c r="F39" s="13">
        <v>6</v>
      </c>
      <c r="G39" s="13">
        <v>41</v>
      </c>
      <c r="H39" s="21">
        <v>85.854891228833736</v>
      </c>
      <c r="I39" s="13">
        <v>30.065799885586092</v>
      </c>
      <c r="J39" s="13" t="s">
        <v>3384</v>
      </c>
      <c r="K39" s="13" t="s">
        <v>3416</v>
      </c>
      <c r="L39" s="13" t="s">
        <v>3396</v>
      </c>
    </row>
    <row r="40" spans="1:12" x14ac:dyDescent="0.25">
      <c r="A40" s="10" t="s">
        <v>198</v>
      </c>
      <c r="B40" s="12">
        <v>1206287.7</v>
      </c>
      <c r="C40" s="12">
        <v>1022669.68</v>
      </c>
      <c r="D40" s="12">
        <v>183618.02</v>
      </c>
      <c r="E40" s="10">
        <v>47.41935483870968</v>
      </c>
      <c r="F40" s="10">
        <v>7</v>
      </c>
      <c r="G40" s="10">
        <v>31</v>
      </c>
      <c r="H40" s="20">
        <v>84.778256464025944</v>
      </c>
      <c r="I40" s="10">
        <v>26.343863970723859</v>
      </c>
      <c r="J40" s="10" t="s">
        <v>3386</v>
      </c>
      <c r="K40" s="10" t="s">
        <v>3402</v>
      </c>
      <c r="L40" s="10" t="s">
        <v>3396</v>
      </c>
    </row>
    <row r="41" spans="1:12" x14ac:dyDescent="0.25">
      <c r="A41" s="13" t="s">
        <v>125</v>
      </c>
      <c r="B41" s="15">
        <v>1142791.31</v>
      </c>
      <c r="C41" s="15">
        <v>950928.74</v>
      </c>
      <c r="D41" s="15">
        <v>191862.57</v>
      </c>
      <c r="E41" s="13">
        <v>36.370370370370367</v>
      </c>
      <c r="F41" s="13">
        <v>5</v>
      </c>
      <c r="G41" s="13">
        <v>27</v>
      </c>
      <c r="H41" s="21">
        <v>83.211058018983351</v>
      </c>
      <c r="I41" s="13">
        <v>25.258731422263889</v>
      </c>
      <c r="J41" s="13" t="s">
        <v>3386</v>
      </c>
      <c r="K41" s="13" t="s">
        <v>3397</v>
      </c>
      <c r="L41" s="13" t="s">
        <v>3383</v>
      </c>
    </row>
    <row r="42" spans="1:12" x14ac:dyDescent="0.25">
      <c r="A42" s="10" t="s">
        <v>134</v>
      </c>
      <c r="B42" s="12">
        <v>1368237.6</v>
      </c>
      <c r="C42" s="12">
        <v>1160638.1100000001</v>
      </c>
      <c r="D42" s="12">
        <v>207599.49</v>
      </c>
      <c r="E42" s="10">
        <v>29.666666666666671</v>
      </c>
      <c r="F42" s="10">
        <v>5</v>
      </c>
      <c r="G42" s="10">
        <v>27</v>
      </c>
      <c r="H42" s="20">
        <v>84.827233954102709</v>
      </c>
      <c r="I42" s="10">
        <v>24.934799232020769</v>
      </c>
      <c r="J42" s="10" t="s">
        <v>3386</v>
      </c>
      <c r="K42" s="10" t="s">
        <v>3434</v>
      </c>
      <c r="L42" s="10" t="s">
        <v>3383</v>
      </c>
    </row>
    <row r="43" spans="1:12" x14ac:dyDescent="0.25">
      <c r="A43" s="13" t="s">
        <v>161</v>
      </c>
      <c r="B43" s="15">
        <v>1501248.9</v>
      </c>
      <c r="C43" s="15">
        <v>1317740.21</v>
      </c>
      <c r="D43" s="15">
        <v>183508.69</v>
      </c>
      <c r="E43" s="13">
        <v>37.692307692307693</v>
      </c>
      <c r="F43" s="13">
        <v>4</v>
      </c>
      <c r="G43" s="13">
        <v>26</v>
      </c>
      <c r="H43" s="21">
        <v>87.776264815248169</v>
      </c>
      <c r="I43" s="13">
        <v>23.9311208825996</v>
      </c>
      <c r="J43" s="13" t="s">
        <v>3386</v>
      </c>
      <c r="K43" s="13" t="s">
        <v>3438</v>
      </c>
      <c r="L43" s="13" t="s">
        <v>3383</v>
      </c>
    </row>
    <row r="44" spans="1:12" x14ac:dyDescent="0.25">
      <c r="A44" s="10" t="s">
        <v>150</v>
      </c>
      <c r="B44" s="12">
        <v>1472148.2</v>
      </c>
      <c r="C44" s="12">
        <v>1301999.2</v>
      </c>
      <c r="D44" s="12">
        <v>170149</v>
      </c>
      <c r="E44" s="10">
        <v>41.413793103448278</v>
      </c>
      <c r="F44" s="10">
        <v>3</v>
      </c>
      <c r="G44" s="10">
        <v>29</v>
      </c>
      <c r="H44" s="20">
        <v>88.442128312896756</v>
      </c>
      <c r="I44" s="10">
        <v>23.433159810826801</v>
      </c>
      <c r="J44" s="10" t="s">
        <v>3386</v>
      </c>
      <c r="K44" s="10" t="s">
        <v>3420</v>
      </c>
      <c r="L44" s="10" t="s">
        <v>3383</v>
      </c>
    </row>
    <row r="45" spans="1:12" x14ac:dyDescent="0.25">
      <c r="A45" s="13" t="s">
        <v>113</v>
      </c>
      <c r="B45" s="15">
        <v>1028961.76</v>
      </c>
      <c r="C45" s="15">
        <v>867565.62</v>
      </c>
      <c r="D45" s="15">
        <v>161396.14000000001</v>
      </c>
      <c r="E45" s="13">
        <v>24.333333333333329</v>
      </c>
      <c r="F45" s="13">
        <v>3</v>
      </c>
      <c r="G45" s="13">
        <v>24</v>
      </c>
      <c r="H45" s="21">
        <v>84.31466102297135</v>
      </c>
      <c r="I45" s="13">
        <v>20.398664055604211</v>
      </c>
      <c r="J45" s="13" t="s">
        <v>3386</v>
      </c>
      <c r="K45" s="13" t="s">
        <v>3422</v>
      </c>
      <c r="L45" s="13" t="s">
        <v>3383</v>
      </c>
    </row>
    <row r="46" spans="1:12" x14ac:dyDescent="0.25">
      <c r="A46" s="10" t="s">
        <v>171</v>
      </c>
      <c r="B46" s="12">
        <v>1378431.1</v>
      </c>
      <c r="C46" s="12">
        <v>1272651.27</v>
      </c>
      <c r="D46" s="12">
        <v>105779.83</v>
      </c>
      <c r="E46" s="10">
        <v>54.666666666666657</v>
      </c>
      <c r="F46" s="10">
        <v>4</v>
      </c>
      <c r="G46" s="10">
        <v>36</v>
      </c>
      <c r="H46" s="20">
        <v>92.326070559493317</v>
      </c>
      <c r="I46" s="10">
        <v>20.030953052702401</v>
      </c>
      <c r="J46" s="10" t="s">
        <v>3386</v>
      </c>
      <c r="K46" s="10" t="s">
        <v>3431</v>
      </c>
      <c r="L46" s="10" t="s">
        <v>3389</v>
      </c>
    </row>
    <row r="47" spans="1:12" x14ac:dyDescent="0.25">
      <c r="A47" s="13" t="s">
        <v>463</v>
      </c>
      <c r="B47" s="15">
        <v>941433.25</v>
      </c>
      <c r="C47" s="15">
        <v>853871.52</v>
      </c>
      <c r="D47" s="15">
        <v>87561.73</v>
      </c>
      <c r="E47" s="13">
        <v>50.111111111111107</v>
      </c>
      <c r="F47" s="13">
        <v>3</v>
      </c>
      <c r="G47" s="13">
        <v>18</v>
      </c>
      <c r="H47" s="21">
        <v>90.699103733589183</v>
      </c>
      <c r="I47" s="13">
        <v>18.072320926377351</v>
      </c>
      <c r="J47" s="13" t="s">
        <v>3386</v>
      </c>
      <c r="K47" s="13" t="s">
        <v>3446</v>
      </c>
      <c r="L47" s="13" t="s">
        <v>3383</v>
      </c>
    </row>
    <row r="48" spans="1:12" x14ac:dyDescent="0.25">
      <c r="A48" s="10" t="s">
        <v>111</v>
      </c>
      <c r="B48" s="12">
        <v>787359.17</v>
      </c>
      <c r="C48" s="12">
        <v>689797.46</v>
      </c>
      <c r="D48" s="12">
        <v>97561.709999999992</v>
      </c>
      <c r="E48" s="10">
        <v>40.769230769230766</v>
      </c>
      <c r="F48" s="10">
        <v>5</v>
      </c>
      <c r="G48" s="10">
        <v>26</v>
      </c>
      <c r="H48" s="20">
        <v>87.608995523605813</v>
      </c>
      <c r="I48" s="10">
        <v>17.747110195988331</v>
      </c>
      <c r="J48" s="10" t="s">
        <v>3386</v>
      </c>
      <c r="K48" s="10" t="s">
        <v>3447</v>
      </c>
      <c r="L48" s="10" t="s">
        <v>3383</v>
      </c>
    </row>
    <row r="49" spans="1:12" x14ac:dyDescent="0.25">
      <c r="A49" s="13" t="s">
        <v>76</v>
      </c>
      <c r="B49" s="15">
        <v>967199.76</v>
      </c>
      <c r="C49" s="15">
        <v>876129.27</v>
      </c>
      <c r="D49" s="15">
        <v>91070.489999999991</v>
      </c>
      <c r="E49" s="13">
        <v>44.28</v>
      </c>
      <c r="F49" s="13">
        <v>2</v>
      </c>
      <c r="G49" s="13">
        <v>25</v>
      </c>
      <c r="H49" s="21">
        <v>90.584107465039082</v>
      </c>
      <c r="I49" s="13">
        <v>17.290695139111978</v>
      </c>
      <c r="J49" s="13" t="s">
        <v>3386</v>
      </c>
      <c r="K49" s="13" t="s">
        <v>3425</v>
      </c>
      <c r="L49" s="13" t="s">
        <v>3396</v>
      </c>
    </row>
    <row r="50" spans="1:12" x14ac:dyDescent="0.25">
      <c r="A50" s="10" t="s">
        <v>182</v>
      </c>
      <c r="B50" s="12">
        <v>1476727.53</v>
      </c>
      <c r="C50" s="12">
        <v>1324800.96</v>
      </c>
      <c r="D50" s="12">
        <v>151926.57</v>
      </c>
      <c r="E50" s="10">
        <v>15.642857142857141</v>
      </c>
      <c r="F50" s="10">
        <v>3</v>
      </c>
      <c r="G50" s="10">
        <v>28</v>
      </c>
      <c r="H50" s="20">
        <v>89.711943001428295</v>
      </c>
      <c r="I50" s="10">
        <v>16.959073038992042</v>
      </c>
      <c r="J50" s="10" t="s">
        <v>3386</v>
      </c>
      <c r="K50" s="10" t="s">
        <v>3421</v>
      </c>
      <c r="L50" s="10" t="s">
        <v>3383</v>
      </c>
    </row>
    <row r="51" spans="1:12" x14ac:dyDescent="0.25">
      <c r="A51" s="13" t="s">
        <v>70</v>
      </c>
      <c r="B51" s="15">
        <v>1401961.46</v>
      </c>
      <c r="C51" s="15">
        <v>1244888.6599999999</v>
      </c>
      <c r="D51" s="15">
        <v>157072.79999999999</v>
      </c>
      <c r="E51" s="13">
        <v>10.838709677419351</v>
      </c>
      <c r="F51" s="13">
        <v>6</v>
      </c>
      <c r="G51" s="13">
        <v>31</v>
      </c>
      <c r="H51" s="21">
        <v>88.796211273881937</v>
      </c>
      <c r="I51" s="13">
        <v>16.657441691371599</v>
      </c>
      <c r="J51" s="13" t="s">
        <v>3386</v>
      </c>
      <c r="K51" s="13" t="s">
        <v>3423</v>
      </c>
      <c r="L51" s="13" t="s">
        <v>3383</v>
      </c>
    </row>
    <row r="52" spans="1:12" x14ac:dyDescent="0.25">
      <c r="A52" s="10" t="s">
        <v>83</v>
      </c>
      <c r="B52" s="12">
        <v>1080078.25</v>
      </c>
      <c r="C52" s="12">
        <v>953045</v>
      </c>
      <c r="D52" s="12">
        <v>127033.25</v>
      </c>
      <c r="E52" s="10">
        <v>23</v>
      </c>
      <c r="F52" s="10">
        <v>5</v>
      </c>
      <c r="G52" s="10">
        <v>24</v>
      </c>
      <c r="H52" s="20">
        <v>88.238514200244282</v>
      </c>
      <c r="I52" s="10">
        <v>16.652485895611211</v>
      </c>
      <c r="J52" s="10" t="s">
        <v>3386</v>
      </c>
      <c r="K52" s="10" t="s">
        <v>3435</v>
      </c>
      <c r="L52" s="10" t="s">
        <v>3383</v>
      </c>
    </row>
    <row r="53" spans="1:12" x14ac:dyDescent="0.25">
      <c r="A53" s="13" t="s">
        <v>97</v>
      </c>
      <c r="B53" s="15">
        <v>951324.64</v>
      </c>
      <c r="C53" s="15">
        <v>879879.59</v>
      </c>
      <c r="D53" s="15">
        <v>71445.05</v>
      </c>
      <c r="E53" s="13">
        <v>39.695652173913047</v>
      </c>
      <c r="F53" s="13">
        <v>3</v>
      </c>
      <c r="G53" s="13">
        <v>23</v>
      </c>
      <c r="H53" s="21">
        <v>92.489940132319077</v>
      </c>
      <c r="I53" s="13">
        <v>14.50900698927172</v>
      </c>
      <c r="J53" s="13" t="s">
        <v>3386</v>
      </c>
      <c r="K53" s="13" t="s">
        <v>3395</v>
      </c>
      <c r="L53" s="13" t="s">
        <v>3396</v>
      </c>
    </row>
    <row r="54" spans="1:12" x14ac:dyDescent="0.25">
      <c r="A54" s="10" t="s">
        <v>127</v>
      </c>
      <c r="B54" s="12">
        <v>1542278.85</v>
      </c>
      <c r="C54" s="12">
        <v>1470749.8</v>
      </c>
      <c r="D54" s="12">
        <v>71529.05</v>
      </c>
      <c r="E54" s="10">
        <v>33.275862068965523</v>
      </c>
      <c r="F54" s="10">
        <v>3</v>
      </c>
      <c r="G54" s="10">
        <v>29</v>
      </c>
      <c r="H54" s="20">
        <v>95.362119502578921</v>
      </c>
      <c r="I54" s="10">
        <v>12.75024277764104</v>
      </c>
      <c r="J54" s="10" t="s">
        <v>3386</v>
      </c>
      <c r="K54" s="10" t="s">
        <v>3445</v>
      </c>
      <c r="L54" s="10" t="s">
        <v>3383</v>
      </c>
    </row>
    <row r="55" spans="1:12" x14ac:dyDescent="0.25">
      <c r="A55" s="13" t="s">
        <v>123</v>
      </c>
      <c r="B55" s="15">
        <v>652163.67000000004</v>
      </c>
      <c r="C55" s="15">
        <v>577846.18999999994</v>
      </c>
      <c r="D55" s="15">
        <v>74317.48</v>
      </c>
      <c r="E55" s="13">
        <v>24.235294117647062</v>
      </c>
      <c r="F55" s="13">
        <v>2</v>
      </c>
      <c r="G55" s="13">
        <v>17</v>
      </c>
      <c r="H55" s="21">
        <v>88.604474088536691</v>
      </c>
      <c r="I55" s="13">
        <v>12.64485347852019</v>
      </c>
      <c r="J55" s="13" t="s">
        <v>3386</v>
      </c>
      <c r="K55" s="13" t="s">
        <v>3385</v>
      </c>
      <c r="L55" s="13" t="s">
        <v>3383</v>
      </c>
    </row>
    <row r="56" spans="1:12" x14ac:dyDescent="0.25">
      <c r="A56" s="10" t="s">
        <v>169</v>
      </c>
      <c r="B56" s="12">
        <v>812772.76</v>
      </c>
      <c r="C56" s="12">
        <v>765986.80999999994</v>
      </c>
      <c r="D56" s="12">
        <v>46785.95</v>
      </c>
      <c r="E56" s="10">
        <v>28.666666666666671</v>
      </c>
      <c r="F56" s="10">
        <v>1</v>
      </c>
      <c r="G56" s="10">
        <v>21</v>
      </c>
      <c r="H56" s="20">
        <v>94.243661660117638</v>
      </c>
      <c r="I56" s="10">
        <v>10.16459932987981</v>
      </c>
      <c r="J56" s="10" t="s">
        <v>3386</v>
      </c>
      <c r="K56" s="10" t="s">
        <v>3403</v>
      </c>
      <c r="L56" s="10" t="s">
        <v>3383</v>
      </c>
    </row>
    <row r="57" spans="1:12" x14ac:dyDescent="0.25">
      <c r="A57" s="13" t="s">
        <v>224</v>
      </c>
      <c r="B57" s="15">
        <v>907037.53</v>
      </c>
      <c r="C57" s="15">
        <v>866153.1</v>
      </c>
      <c r="D57" s="15">
        <v>40884.43</v>
      </c>
      <c r="E57" s="13">
        <v>30.94736842105263</v>
      </c>
      <c r="F57" s="13">
        <v>2</v>
      </c>
      <c r="G57" s="13">
        <v>19</v>
      </c>
      <c r="H57" s="21">
        <v>95.49253160450813</v>
      </c>
      <c r="I57" s="13">
        <v>9.8718133483515853</v>
      </c>
      <c r="J57" s="13" t="s">
        <v>3386</v>
      </c>
      <c r="K57" s="13" t="s">
        <v>3437</v>
      </c>
      <c r="L57" s="13" t="s">
        <v>3389</v>
      </c>
    </row>
    <row r="58" spans="1:12" x14ac:dyDescent="0.25">
      <c r="A58" s="10" t="s">
        <v>87</v>
      </c>
      <c r="B58" s="12">
        <v>1698687.25</v>
      </c>
      <c r="C58" s="12">
        <v>1670051.51</v>
      </c>
      <c r="D58" s="12">
        <v>28635.74</v>
      </c>
      <c r="E58" s="10">
        <v>25</v>
      </c>
      <c r="F58" s="10">
        <v>3</v>
      </c>
      <c r="G58" s="10">
        <v>39</v>
      </c>
      <c r="H58" s="20">
        <v>98.314242954375501</v>
      </c>
      <c r="I58" s="10">
        <v>7.2367212740891373</v>
      </c>
      <c r="J58" s="10" t="s">
        <v>3386</v>
      </c>
      <c r="K58" s="10" t="s">
        <v>3398</v>
      </c>
      <c r="L58" s="10" t="s">
        <v>3396</v>
      </c>
    </row>
    <row r="59" spans="1:12" x14ac:dyDescent="0.25">
      <c r="A59" s="13" t="s">
        <v>74</v>
      </c>
      <c r="B59" s="15">
        <v>1282599.48</v>
      </c>
      <c r="C59" s="15">
        <v>1259624.1200000001</v>
      </c>
      <c r="D59" s="15">
        <v>22975.360000000001</v>
      </c>
      <c r="E59" s="13">
        <v>11.68965517241379</v>
      </c>
      <c r="F59" s="13">
        <v>2</v>
      </c>
      <c r="G59" s="13">
        <v>29</v>
      </c>
      <c r="H59" s="21">
        <v>98.208687875033291</v>
      </c>
      <c r="I59" s="13">
        <v>4.3415040313781077</v>
      </c>
      <c r="J59" s="13" t="s">
        <v>3386</v>
      </c>
      <c r="K59" s="13" t="s">
        <v>3426</v>
      </c>
      <c r="L59" s="13" t="s">
        <v>3396</v>
      </c>
    </row>
    <row r="60" spans="1:12" x14ac:dyDescent="0.25">
      <c r="A60" s="10" t="s">
        <v>146</v>
      </c>
      <c r="B60" s="12">
        <v>1550731.58</v>
      </c>
      <c r="C60" s="12">
        <v>1528817.52</v>
      </c>
      <c r="D60" s="12">
        <v>21914.06</v>
      </c>
      <c r="E60" s="10">
        <v>10.68571428571429</v>
      </c>
      <c r="F60" s="10">
        <v>1</v>
      </c>
      <c r="G60" s="10">
        <v>35</v>
      </c>
      <c r="H60" s="20">
        <v>98.58685666284039</v>
      </c>
      <c r="I60" s="10">
        <v>3.9958011255700212</v>
      </c>
      <c r="J60" s="10" t="s">
        <v>3386</v>
      </c>
      <c r="K60" s="10" t="s">
        <v>3444</v>
      </c>
      <c r="L60" s="10" t="s">
        <v>3389</v>
      </c>
    </row>
    <row r="61" spans="1:12" x14ac:dyDescent="0.25">
      <c r="A61" s="13" t="s">
        <v>99</v>
      </c>
      <c r="B61" s="15">
        <v>837528.86</v>
      </c>
      <c r="C61" s="15">
        <v>837528.86</v>
      </c>
      <c r="D61" s="15">
        <v>0</v>
      </c>
      <c r="E61" s="13">
        <v>10.65217391304348</v>
      </c>
      <c r="F61" s="13">
        <v>0</v>
      </c>
      <c r="G61" s="13">
        <v>23</v>
      </c>
      <c r="H61" s="21">
        <v>100</v>
      </c>
      <c r="I61" s="13">
        <v>1.976130539164054</v>
      </c>
      <c r="J61" s="13" t="s">
        <v>3386</v>
      </c>
      <c r="K61" s="13" t="s">
        <v>3428</v>
      </c>
      <c r="L61" s="13" t="s">
        <v>3389</v>
      </c>
    </row>
  </sheetData>
  <conditionalFormatting sqref="I2:I6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 tint="0.79998168889431442"/>
  </sheetPr>
  <dimension ref="A1:H15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2" width="16" customWidth="1"/>
    <col min="3" max="3" width="12" customWidth="1"/>
    <col min="4" max="4" width="11" customWidth="1"/>
    <col min="5" max="5" width="16" customWidth="1"/>
    <col min="6" max="6" width="20" customWidth="1"/>
    <col min="7" max="7" width="22" customWidth="1"/>
    <col min="8" max="8" width="15" customWidth="1"/>
  </cols>
  <sheetData>
    <row r="1" spans="1:8" ht="30" customHeight="1" x14ac:dyDescent="0.25">
      <c r="A1" s="17" t="s">
        <v>3</v>
      </c>
      <c r="B1" s="17" t="s">
        <v>4</v>
      </c>
      <c r="C1" s="17" t="s">
        <v>6</v>
      </c>
      <c r="D1" s="17" t="s">
        <v>52</v>
      </c>
      <c r="E1" s="17" t="s">
        <v>54</v>
      </c>
      <c r="F1" s="17" t="s">
        <v>56</v>
      </c>
      <c r="G1" s="17" t="s">
        <v>59</v>
      </c>
      <c r="H1" s="17" t="s">
        <v>3466</v>
      </c>
    </row>
    <row r="2" spans="1:8" x14ac:dyDescent="0.25">
      <c r="A2" s="11">
        <v>45292</v>
      </c>
      <c r="B2" s="10" t="s">
        <v>1862</v>
      </c>
      <c r="C2" s="10" t="s">
        <v>1792</v>
      </c>
      <c r="D2" s="12">
        <v>7172.8</v>
      </c>
      <c r="E2" s="12">
        <v>6539.45</v>
      </c>
      <c r="F2" s="12">
        <f t="shared" ref="F2:F65" si="0">E2-D2</f>
        <v>-633.35000000000036</v>
      </c>
      <c r="G2" s="27">
        <f t="shared" ref="G2:G65" si="1">IFERROR(F2/D2,0)</f>
        <v>-8.8298851215703814E-2</v>
      </c>
      <c r="H2" s="10" t="str">
        <f t="shared" ref="H2:H65" si="2">IF(G2&lt;=0,"Under Budget",IF(G2&lt;=5%,"Within Budget",IF(G2&lt;=15%,"Slightly Over","Significantly Over")))</f>
        <v>Under Budget</v>
      </c>
    </row>
    <row r="3" spans="1:8" x14ac:dyDescent="0.25">
      <c r="A3" s="14">
        <v>45292</v>
      </c>
      <c r="B3" s="13" t="s">
        <v>1862</v>
      </c>
      <c r="C3" s="13" t="s">
        <v>1797</v>
      </c>
      <c r="D3" s="15">
        <v>2287.23</v>
      </c>
      <c r="E3" s="15">
        <v>2480.19</v>
      </c>
      <c r="F3" s="15">
        <f t="shared" si="0"/>
        <v>192.96000000000004</v>
      </c>
      <c r="G3" s="28">
        <f t="shared" si="1"/>
        <v>8.4364056085308448E-2</v>
      </c>
      <c r="H3" s="13" t="str">
        <f t="shared" si="2"/>
        <v>Slightly Over</v>
      </c>
    </row>
    <row r="4" spans="1:8" x14ac:dyDescent="0.25">
      <c r="A4" s="11">
        <v>45292</v>
      </c>
      <c r="B4" s="10" t="s">
        <v>1774</v>
      </c>
      <c r="C4" s="10" t="s">
        <v>1775</v>
      </c>
      <c r="D4" s="12">
        <v>103935.79</v>
      </c>
      <c r="E4" s="12">
        <v>95356.73</v>
      </c>
      <c r="F4" s="12">
        <f t="shared" si="0"/>
        <v>-8579.0599999999977</v>
      </c>
      <c r="G4" s="27">
        <f t="shared" si="1"/>
        <v>-8.2541923239338427E-2</v>
      </c>
      <c r="H4" s="10" t="str">
        <f t="shared" si="2"/>
        <v>Under Budget</v>
      </c>
    </row>
    <row r="5" spans="1:8" x14ac:dyDescent="0.25">
      <c r="A5" s="14">
        <v>45292</v>
      </c>
      <c r="B5" s="13" t="s">
        <v>1774</v>
      </c>
      <c r="C5" s="13" t="s">
        <v>1780</v>
      </c>
      <c r="D5" s="15">
        <v>8702.9</v>
      </c>
      <c r="E5" s="15">
        <v>8620.85</v>
      </c>
      <c r="F5" s="15">
        <f t="shared" si="0"/>
        <v>-82.049999999999272</v>
      </c>
      <c r="G5" s="28">
        <f t="shared" si="1"/>
        <v>-9.427891852141157E-3</v>
      </c>
      <c r="H5" s="13" t="str">
        <f t="shared" si="2"/>
        <v>Under Budget</v>
      </c>
    </row>
    <row r="6" spans="1:8" x14ac:dyDescent="0.25">
      <c r="A6" s="11">
        <v>45292</v>
      </c>
      <c r="B6" s="10" t="s">
        <v>1792</v>
      </c>
      <c r="C6" s="10" t="s">
        <v>1780</v>
      </c>
      <c r="D6" s="12">
        <v>8807.7800000000007</v>
      </c>
      <c r="E6" s="12">
        <v>8858.25</v>
      </c>
      <c r="F6" s="12">
        <f t="shared" si="0"/>
        <v>50.469999999999345</v>
      </c>
      <c r="G6" s="27">
        <f t="shared" si="1"/>
        <v>5.7301612892237709E-3</v>
      </c>
      <c r="H6" s="10" t="str">
        <f t="shared" si="2"/>
        <v>Within Budget</v>
      </c>
    </row>
    <row r="7" spans="1:8" x14ac:dyDescent="0.25">
      <c r="A7" s="14">
        <v>45292</v>
      </c>
      <c r="B7" s="13" t="s">
        <v>1862</v>
      </c>
      <c r="C7" s="13" t="s">
        <v>1795</v>
      </c>
      <c r="D7" s="15">
        <v>2500.19</v>
      </c>
      <c r="E7" s="15">
        <v>2475.08</v>
      </c>
      <c r="F7" s="15">
        <f t="shared" si="0"/>
        <v>-25.110000000000127</v>
      </c>
      <c r="G7" s="28">
        <f t="shared" si="1"/>
        <v>-1.0043236714009786E-2</v>
      </c>
      <c r="H7" s="13" t="str">
        <f t="shared" si="2"/>
        <v>Under Budget</v>
      </c>
    </row>
    <row r="8" spans="1:8" x14ac:dyDescent="0.25">
      <c r="A8" s="11">
        <v>45292</v>
      </c>
      <c r="B8" s="10" t="s">
        <v>1799</v>
      </c>
      <c r="C8" s="10" t="s">
        <v>1778</v>
      </c>
      <c r="D8" s="12">
        <v>9395.31</v>
      </c>
      <c r="E8" s="12">
        <v>9952.18</v>
      </c>
      <c r="F8" s="12">
        <f t="shared" si="0"/>
        <v>556.8700000000008</v>
      </c>
      <c r="G8" s="27">
        <f t="shared" si="1"/>
        <v>5.9271061838300262E-2</v>
      </c>
      <c r="H8" s="10" t="str">
        <f t="shared" si="2"/>
        <v>Slightly Over</v>
      </c>
    </row>
    <row r="9" spans="1:8" x14ac:dyDescent="0.25">
      <c r="A9" s="14">
        <v>45292</v>
      </c>
      <c r="B9" s="13" t="s">
        <v>1786</v>
      </c>
      <c r="C9" s="13" t="s">
        <v>1778</v>
      </c>
      <c r="D9" s="15">
        <v>15466.21</v>
      </c>
      <c r="E9" s="15">
        <v>15455.53</v>
      </c>
      <c r="F9" s="15">
        <f t="shared" si="0"/>
        <v>-10.679999999998472</v>
      </c>
      <c r="G9" s="28">
        <f t="shared" si="1"/>
        <v>-6.9053763009803133E-4</v>
      </c>
      <c r="H9" s="13" t="str">
        <f t="shared" si="2"/>
        <v>Under Budget</v>
      </c>
    </row>
    <row r="10" spans="1:8" x14ac:dyDescent="0.25">
      <c r="A10" s="11">
        <v>45292</v>
      </c>
      <c r="B10" s="10" t="s">
        <v>1786</v>
      </c>
      <c r="C10" s="10" t="s">
        <v>1789</v>
      </c>
      <c r="D10" s="12">
        <v>8146.36</v>
      </c>
      <c r="E10" s="12">
        <v>7494.78</v>
      </c>
      <c r="F10" s="12">
        <f t="shared" si="0"/>
        <v>-651.57999999999993</v>
      </c>
      <c r="G10" s="27">
        <f t="shared" si="1"/>
        <v>-7.9984189257533422E-2</v>
      </c>
      <c r="H10" s="10" t="str">
        <f t="shared" si="2"/>
        <v>Under Budget</v>
      </c>
    </row>
    <row r="11" spans="1:8" x14ac:dyDescent="0.25">
      <c r="A11" s="14">
        <v>45292</v>
      </c>
      <c r="B11" s="13" t="s">
        <v>1792</v>
      </c>
      <c r="C11" s="13" t="s">
        <v>1792</v>
      </c>
      <c r="D11" s="15">
        <v>18171.09</v>
      </c>
      <c r="E11" s="15">
        <v>16884.330000000002</v>
      </c>
      <c r="F11" s="15">
        <f t="shared" si="0"/>
        <v>-1286.7599999999984</v>
      </c>
      <c r="G11" s="28">
        <f t="shared" si="1"/>
        <v>-7.0813583554976522E-2</v>
      </c>
      <c r="H11" s="13" t="str">
        <f t="shared" si="2"/>
        <v>Under Budget</v>
      </c>
    </row>
    <row r="12" spans="1:8" x14ac:dyDescent="0.25">
      <c r="A12" s="11">
        <v>45292</v>
      </c>
      <c r="B12" s="10" t="s">
        <v>1877</v>
      </c>
      <c r="C12" s="10" t="s">
        <v>1778</v>
      </c>
      <c r="D12" s="12">
        <v>13269.64</v>
      </c>
      <c r="E12" s="12">
        <v>14178.92</v>
      </c>
      <c r="F12" s="12">
        <f t="shared" si="0"/>
        <v>909.28000000000065</v>
      </c>
      <c r="G12" s="27">
        <f t="shared" si="1"/>
        <v>6.8523335975957195E-2</v>
      </c>
      <c r="H12" s="10" t="str">
        <f t="shared" si="2"/>
        <v>Slightly Over</v>
      </c>
    </row>
    <row r="13" spans="1:8" x14ac:dyDescent="0.25">
      <c r="A13" s="14">
        <v>45292</v>
      </c>
      <c r="B13" s="13" t="s">
        <v>1862</v>
      </c>
      <c r="C13" s="13" t="s">
        <v>1780</v>
      </c>
      <c r="D13" s="15">
        <v>4152.17</v>
      </c>
      <c r="E13" s="15">
        <v>3961.42</v>
      </c>
      <c r="F13" s="15">
        <f t="shared" si="0"/>
        <v>-190.75</v>
      </c>
      <c r="G13" s="28">
        <f t="shared" si="1"/>
        <v>-4.5939833870000502E-2</v>
      </c>
      <c r="H13" s="13" t="str">
        <f t="shared" si="2"/>
        <v>Under Budget</v>
      </c>
    </row>
    <row r="14" spans="1:8" x14ac:dyDescent="0.25">
      <c r="A14" s="11">
        <v>45292</v>
      </c>
      <c r="B14" s="10" t="s">
        <v>1799</v>
      </c>
      <c r="C14" s="10" t="s">
        <v>1786</v>
      </c>
      <c r="D14" s="12">
        <v>8199.02</v>
      </c>
      <c r="E14" s="12">
        <v>7532.37</v>
      </c>
      <c r="F14" s="12">
        <f t="shared" si="0"/>
        <v>-666.65000000000055</v>
      </c>
      <c r="G14" s="27">
        <f t="shared" si="1"/>
        <v>-8.130849784486445E-2</v>
      </c>
      <c r="H14" s="10" t="str">
        <f t="shared" si="2"/>
        <v>Under Budget</v>
      </c>
    </row>
    <row r="15" spans="1:8" x14ac:dyDescent="0.25">
      <c r="A15" s="14">
        <v>45292</v>
      </c>
      <c r="B15" s="13" t="s">
        <v>1786</v>
      </c>
      <c r="C15" s="13" t="s">
        <v>1783</v>
      </c>
      <c r="D15" s="15">
        <v>10438.98</v>
      </c>
      <c r="E15" s="15">
        <v>9662.6</v>
      </c>
      <c r="F15" s="15">
        <f t="shared" si="0"/>
        <v>-776.3799999999992</v>
      </c>
      <c r="G15" s="28">
        <f t="shared" si="1"/>
        <v>-7.4373166727017312E-2</v>
      </c>
      <c r="H15" s="13" t="str">
        <f t="shared" si="2"/>
        <v>Under Budget</v>
      </c>
    </row>
    <row r="16" spans="1:8" x14ac:dyDescent="0.25">
      <c r="A16" s="11">
        <v>45292</v>
      </c>
      <c r="B16" s="10" t="s">
        <v>1786</v>
      </c>
      <c r="C16" s="10" t="s">
        <v>1786</v>
      </c>
      <c r="D16" s="12">
        <v>12192.33</v>
      </c>
      <c r="E16" s="12">
        <v>12270.38</v>
      </c>
      <c r="F16" s="12">
        <f t="shared" si="0"/>
        <v>78.049999999999272</v>
      </c>
      <c r="G16" s="27">
        <f t="shared" si="1"/>
        <v>6.4015655744225483E-3</v>
      </c>
      <c r="H16" s="10" t="str">
        <f t="shared" si="2"/>
        <v>Within Budget</v>
      </c>
    </row>
    <row r="17" spans="1:8" x14ac:dyDescent="0.25">
      <c r="A17" s="14">
        <v>45292</v>
      </c>
      <c r="B17" s="13" t="s">
        <v>1877</v>
      </c>
      <c r="C17" s="13" t="s">
        <v>1795</v>
      </c>
      <c r="D17" s="15">
        <v>3677.28</v>
      </c>
      <c r="E17" s="15">
        <v>4038.39</v>
      </c>
      <c r="F17" s="15">
        <f t="shared" si="0"/>
        <v>361.10999999999967</v>
      </c>
      <c r="G17" s="28">
        <f t="shared" si="1"/>
        <v>9.8200300221903056E-2</v>
      </c>
      <c r="H17" s="13" t="str">
        <f t="shared" si="2"/>
        <v>Slightly Over</v>
      </c>
    </row>
    <row r="18" spans="1:8" x14ac:dyDescent="0.25">
      <c r="A18" s="11">
        <v>45292</v>
      </c>
      <c r="B18" s="10" t="s">
        <v>1799</v>
      </c>
      <c r="C18" s="10" t="s">
        <v>1792</v>
      </c>
      <c r="D18" s="12">
        <v>9148.14</v>
      </c>
      <c r="E18" s="12">
        <v>8279.93</v>
      </c>
      <c r="F18" s="12">
        <f t="shared" si="0"/>
        <v>-868.20999999999913</v>
      </c>
      <c r="G18" s="27">
        <f t="shared" si="1"/>
        <v>-9.4905631090035705E-2</v>
      </c>
      <c r="H18" s="10" t="str">
        <f t="shared" si="2"/>
        <v>Under Budget</v>
      </c>
    </row>
    <row r="19" spans="1:8" x14ac:dyDescent="0.25">
      <c r="A19" s="14">
        <v>45292</v>
      </c>
      <c r="B19" s="13" t="s">
        <v>1774</v>
      </c>
      <c r="C19" s="13" t="s">
        <v>1783</v>
      </c>
      <c r="D19" s="15">
        <v>13673.05</v>
      </c>
      <c r="E19" s="15">
        <v>13851.81</v>
      </c>
      <c r="F19" s="15">
        <f t="shared" si="0"/>
        <v>178.76000000000022</v>
      </c>
      <c r="G19" s="28">
        <f t="shared" si="1"/>
        <v>1.3073893535092772E-2</v>
      </c>
      <c r="H19" s="13" t="str">
        <f t="shared" si="2"/>
        <v>Within Budget</v>
      </c>
    </row>
    <row r="20" spans="1:8" x14ac:dyDescent="0.25">
      <c r="A20" s="11">
        <v>45292</v>
      </c>
      <c r="B20" s="10" t="s">
        <v>1877</v>
      </c>
      <c r="C20" s="10" t="s">
        <v>1783</v>
      </c>
      <c r="D20" s="12">
        <v>11484.32</v>
      </c>
      <c r="E20" s="12">
        <v>11725.69</v>
      </c>
      <c r="F20" s="12">
        <f t="shared" si="0"/>
        <v>241.3700000000008</v>
      </c>
      <c r="G20" s="27">
        <f t="shared" si="1"/>
        <v>2.1017352355211349E-2</v>
      </c>
      <c r="H20" s="10" t="str">
        <f t="shared" si="2"/>
        <v>Within Budget</v>
      </c>
    </row>
    <row r="21" spans="1:8" x14ac:dyDescent="0.25">
      <c r="A21" s="14">
        <v>45292</v>
      </c>
      <c r="B21" s="13" t="s">
        <v>1818</v>
      </c>
      <c r="C21" s="13" t="s">
        <v>1797</v>
      </c>
      <c r="D21" s="15">
        <v>2286.44</v>
      </c>
      <c r="E21" s="15">
        <v>2142.6799999999998</v>
      </c>
      <c r="F21" s="15">
        <f t="shared" si="0"/>
        <v>-143.76000000000022</v>
      </c>
      <c r="G21" s="28">
        <f t="shared" si="1"/>
        <v>-6.2875037175696813E-2</v>
      </c>
      <c r="H21" s="13" t="str">
        <f t="shared" si="2"/>
        <v>Under Budget</v>
      </c>
    </row>
    <row r="22" spans="1:8" x14ac:dyDescent="0.25">
      <c r="A22" s="11">
        <v>45292</v>
      </c>
      <c r="B22" s="10" t="s">
        <v>1818</v>
      </c>
      <c r="C22" s="10" t="s">
        <v>1780</v>
      </c>
      <c r="D22" s="12">
        <v>3965.33</v>
      </c>
      <c r="E22" s="12">
        <v>4138.8599999999997</v>
      </c>
      <c r="F22" s="12">
        <f t="shared" si="0"/>
        <v>173.52999999999975</v>
      </c>
      <c r="G22" s="27">
        <f t="shared" si="1"/>
        <v>4.3761805448726779E-2</v>
      </c>
      <c r="H22" s="10" t="str">
        <f t="shared" si="2"/>
        <v>Within Budget</v>
      </c>
    </row>
    <row r="23" spans="1:8" x14ac:dyDescent="0.25">
      <c r="A23" s="14">
        <v>45292</v>
      </c>
      <c r="B23" s="13" t="s">
        <v>1877</v>
      </c>
      <c r="C23" s="13" t="s">
        <v>1775</v>
      </c>
      <c r="D23" s="15">
        <v>58634.9</v>
      </c>
      <c r="E23" s="15">
        <v>54108.98</v>
      </c>
      <c r="F23" s="15">
        <f t="shared" si="0"/>
        <v>-4525.9199999999983</v>
      </c>
      <c r="G23" s="28">
        <f t="shared" si="1"/>
        <v>-7.7188159270332138E-2</v>
      </c>
      <c r="H23" s="13" t="str">
        <f t="shared" si="2"/>
        <v>Under Budget</v>
      </c>
    </row>
    <row r="24" spans="1:8" x14ac:dyDescent="0.25">
      <c r="A24" s="11">
        <v>45292</v>
      </c>
      <c r="B24" s="10" t="s">
        <v>1799</v>
      </c>
      <c r="C24" s="10" t="s">
        <v>1789</v>
      </c>
      <c r="D24" s="12">
        <v>3489.66</v>
      </c>
      <c r="E24" s="12">
        <v>3806.63</v>
      </c>
      <c r="F24" s="12">
        <f t="shared" si="0"/>
        <v>316.97000000000025</v>
      </c>
      <c r="G24" s="27">
        <f t="shared" si="1"/>
        <v>9.0831198454863871E-2</v>
      </c>
      <c r="H24" s="10" t="str">
        <f t="shared" si="2"/>
        <v>Slightly Over</v>
      </c>
    </row>
    <row r="25" spans="1:8" x14ac:dyDescent="0.25">
      <c r="A25" s="14">
        <v>45292</v>
      </c>
      <c r="B25" s="13" t="s">
        <v>1786</v>
      </c>
      <c r="C25" s="13" t="s">
        <v>1792</v>
      </c>
      <c r="D25" s="15">
        <v>11099.35</v>
      </c>
      <c r="E25" s="15">
        <v>10441.959999999999</v>
      </c>
      <c r="F25" s="15">
        <f t="shared" si="0"/>
        <v>-657.39000000000124</v>
      </c>
      <c r="G25" s="28">
        <f t="shared" si="1"/>
        <v>-5.9227792618486777E-2</v>
      </c>
      <c r="H25" s="13" t="str">
        <f t="shared" si="2"/>
        <v>Under Budget</v>
      </c>
    </row>
    <row r="26" spans="1:8" x14ac:dyDescent="0.25">
      <c r="A26" s="11">
        <v>45292</v>
      </c>
      <c r="B26" s="10" t="s">
        <v>1792</v>
      </c>
      <c r="C26" s="10" t="s">
        <v>1789</v>
      </c>
      <c r="D26" s="12">
        <v>9053.8700000000008</v>
      </c>
      <c r="E26" s="12">
        <v>8138.5</v>
      </c>
      <c r="F26" s="12">
        <f t="shared" si="0"/>
        <v>-915.3700000000008</v>
      </c>
      <c r="G26" s="27">
        <f t="shared" si="1"/>
        <v>-0.10110262241450349</v>
      </c>
      <c r="H26" s="10" t="str">
        <f t="shared" si="2"/>
        <v>Under Budget</v>
      </c>
    </row>
    <row r="27" spans="1:8" x14ac:dyDescent="0.25">
      <c r="A27" s="14">
        <v>45292</v>
      </c>
      <c r="B27" s="13" t="s">
        <v>1862</v>
      </c>
      <c r="C27" s="13" t="s">
        <v>1789</v>
      </c>
      <c r="D27" s="15">
        <v>4970.4399999999996</v>
      </c>
      <c r="E27" s="15">
        <v>4441.58</v>
      </c>
      <c r="F27" s="15">
        <f t="shared" si="0"/>
        <v>-528.85999999999967</v>
      </c>
      <c r="G27" s="28">
        <f t="shared" si="1"/>
        <v>-0.10640104296601502</v>
      </c>
      <c r="H27" s="13" t="str">
        <f t="shared" si="2"/>
        <v>Under Budget</v>
      </c>
    </row>
    <row r="28" spans="1:8" x14ac:dyDescent="0.25">
      <c r="A28" s="11">
        <v>45292</v>
      </c>
      <c r="B28" s="10" t="s">
        <v>1774</v>
      </c>
      <c r="C28" s="10" t="s">
        <v>1778</v>
      </c>
      <c r="D28" s="12">
        <v>25741.01</v>
      </c>
      <c r="E28" s="12">
        <v>23332.26</v>
      </c>
      <c r="F28" s="12">
        <f t="shared" si="0"/>
        <v>-2408.75</v>
      </c>
      <c r="G28" s="27">
        <f t="shared" si="1"/>
        <v>-9.3576359280385657E-2</v>
      </c>
      <c r="H28" s="10" t="str">
        <f t="shared" si="2"/>
        <v>Under Budget</v>
      </c>
    </row>
    <row r="29" spans="1:8" x14ac:dyDescent="0.25">
      <c r="A29" s="14">
        <v>45292</v>
      </c>
      <c r="B29" s="13" t="s">
        <v>1862</v>
      </c>
      <c r="C29" s="13" t="s">
        <v>1786</v>
      </c>
      <c r="D29" s="15">
        <v>8063.69</v>
      </c>
      <c r="E29" s="15">
        <v>7387.26</v>
      </c>
      <c r="F29" s="15">
        <f t="shared" si="0"/>
        <v>-676.42999999999938</v>
      </c>
      <c r="G29" s="28">
        <f t="shared" si="1"/>
        <v>-8.3885913272955609E-2</v>
      </c>
      <c r="H29" s="13" t="str">
        <f t="shared" si="2"/>
        <v>Under Budget</v>
      </c>
    </row>
    <row r="30" spans="1:8" x14ac:dyDescent="0.25">
      <c r="A30" s="11">
        <v>45292</v>
      </c>
      <c r="B30" s="10" t="s">
        <v>1862</v>
      </c>
      <c r="C30" s="10" t="s">
        <v>1783</v>
      </c>
      <c r="D30" s="12">
        <v>6835.55</v>
      </c>
      <c r="E30" s="12">
        <v>7110.34</v>
      </c>
      <c r="F30" s="12">
        <f t="shared" si="0"/>
        <v>274.78999999999996</v>
      </c>
      <c r="G30" s="27">
        <f t="shared" si="1"/>
        <v>4.0200130201666281E-2</v>
      </c>
      <c r="H30" s="10" t="str">
        <f t="shared" si="2"/>
        <v>Within Budget</v>
      </c>
    </row>
    <row r="31" spans="1:8" x14ac:dyDescent="0.25">
      <c r="A31" s="14">
        <v>45292</v>
      </c>
      <c r="B31" s="13" t="s">
        <v>1774</v>
      </c>
      <c r="C31" s="13" t="s">
        <v>1789</v>
      </c>
      <c r="D31" s="15">
        <v>10427.89</v>
      </c>
      <c r="E31" s="15">
        <v>9372.01</v>
      </c>
      <c r="F31" s="15">
        <f t="shared" si="0"/>
        <v>-1055.8799999999992</v>
      </c>
      <c r="G31" s="28">
        <f t="shared" si="1"/>
        <v>-0.10125538339970974</v>
      </c>
      <c r="H31" s="13" t="str">
        <f t="shared" si="2"/>
        <v>Under Budget</v>
      </c>
    </row>
    <row r="32" spans="1:8" x14ac:dyDescent="0.25">
      <c r="A32" s="11">
        <v>45292</v>
      </c>
      <c r="B32" s="10" t="s">
        <v>1877</v>
      </c>
      <c r="C32" s="10" t="s">
        <v>1792</v>
      </c>
      <c r="D32" s="12">
        <v>12692.23</v>
      </c>
      <c r="E32" s="12">
        <v>11495.16</v>
      </c>
      <c r="F32" s="12">
        <f t="shared" si="0"/>
        <v>-1197.0699999999997</v>
      </c>
      <c r="G32" s="27">
        <f t="shared" si="1"/>
        <v>-9.4315183383849782E-2</v>
      </c>
      <c r="H32" s="10" t="str">
        <f t="shared" si="2"/>
        <v>Under Budget</v>
      </c>
    </row>
    <row r="33" spans="1:8" x14ac:dyDescent="0.25">
      <c r="A33" s="14">
        <v>45292</v>
      </c>
      <c r="B33" s="13" t="s">
        <v>1862</v>
      </c>
      <c r="C33" s="13" t="s">
        <v>1775</v>
      </c>
      <c r="D33" s="15">
        <v>44896.31</v>
      </c>
      <c r="E33" s="15">
        <v>44121.45</v>
      </c>
      <c r="F33" s="15">
        <f t="shared" si="0"/>
        <v>-774.86000000000058</v>
      </c>
      <c r="G33" s="28">
        <f t="shared" si="1"/>
        <v>-1.7258879404565778E-2</v>
      </c>
      <c r="H33" s="13" t="str">
        <f t="shared" si="2"/>
        <v>Under Budget</v>
      </c>
    </row>
    <row r="34" spans="1:8" x14ac:dyDescent="0.25">
      <c r="A34" s="11">
        <v>45292</v>
      </c>
      <c r="B34" s="10" t="s">
        <v>1792</v>
      </c>
      <c r="C34" s="10" t="s">
        <v>1797</v>
      </c>
      <c r="D34" s="12">
        <v>4697.3999999999996</v>
      </c>
      <c r="E34" s="12">
        <v>4752.25</v>
      </c>
      <c r="F34" s="12">
        <f t="shared" si="0"/>
        <v>54.850000000000364</v>
      </c>
      <c r="G34" s="27">
        <f t="shared" si="1"/>
        <v>1.1676672201643541E-2</v>
      </c>
      <c r="H34" s="10" t="str">
        <f t="shared" si="2"/>
        <v>Within Budget</v>
      </c>
    </row>
    <row r="35" spans="1:8" x14ac:dyDescent="0.25">
      <c r="A35" s="14">
        <v>45292</v>
      </c>
      <c r="B35" s="13" t="s">
        <v>1774</v>
      </c>
      <c r="C35" s="13" t="s">
        <v>1797</v>
      </c>
      <c r="D35" s="15">
        <v>6434.37</v>
      </c>
      <c r="E35" s="15">
        <v>6963.31</v>
      </c>
      <c r="F35" s="15">
        <f t="shared" si="0"/>
        <v>528.94000000000051</v>
      </c>
      <c r="G35" s="28">
        <f t="shared" si="1"/>
        <v>8.2205406279091897E-2</v>
      </c>
      <c r="H35" s="13" t="str">
        <f t="shared" si="2"/>
        <v>Slightly Over</v>
      </c>
    </row>
    <row r="36" spans="1:8" x14ac:dyDescent="0.25">
      <c r="A36" s="11">
        <v>45292</v>
      </c>
      <c r="B36" s="10" t="s">
        <v>1786</v>
      </c>
      <c r="C36" s="10" t="s">
        <v>1797</v>
      </c>
      <c r="D36" s="12">
        <v>4573.7</v>
      </c>
      <c r="E36" s="12">
        <v>4440.75</v>
      </c>
      <c r="F36" s="12">
        <f t="shared" si="0"/>
        <v>-132.94999999999982</v>
      </c>
      <c r="G36" s="27">
        <f t="shared" si="1"/>
        <v>-2.9068369154076529E-2</v>
      </c>
      <c r="H36" s="10" t="str">
        <f t="shared" si="2"/>
        <v>Under Budget</v>
      </c>
    </row>
    <row r="37" spans="1:8" x14ac:dyDescent="0.25">
      <c r="A37" s="14">
        <v>45292</v>
      </c>
      <c r="B37" s="13" t="s">
        <v>1786</v>
      </c>
      <c r="C37" s="13" t="s">
        <v>1775</v>
      </c>
      <c r="D37" s="15">
        <v>76699.28</v>
      </c>
      <c r="E37" s="15">
        <v>72761.42</v>
      </c>
      <c r="F37" s="15">
        <f t="shared" si="0"/>
        <v>-3937.8600000000006</v>
      </c>
      <c r="G37" s="28">
        <f t="shared" si="1"/>
        <v>-5.134155105497732E-2</v>
      </c>
      <c r="H37" s="13" t="str">
        <f t="shared" si="2"/>
        <v>Under Budget</v>
      </c>
    </row>
    <row r="38" spans="1:8" x14ac:dyDescent="0.25">
      <c r="A38" s="11">
        <v>45292</v>
      </c>
      <c r="B38" s="10" t="s">
        <v>1792</v>
      </c>
      <c r="C38" s="10" t="s">
        <v>1783</v>
      </c>
      <c r="D38" s="12">
        <v>13434.62</v>
      </c>
      <c r="E38" s="12">
        <v>13585.7</v>
      </c>
      <c r="F38" s="12">
        <f t="shared" si="0"/>
        <v>151.07999999999993</v>
      </c>
      <c r="G38" s="27">
        <f t="shared" si="1"/>
        <v>1.1245573004670018E-2</v>
      </c>
      <c r="H38" s="10" t="str">
        <f t="shared" si="2"/>
        <v>Within Budget</v>
      </c>
    </row>
    <row r="39" spans="1:8" x14ac:dyDescent="0.25">
      <c r="A39" s="14">
        <v>45292</v>
      </c>
      <c r="B39" s="13" t="s">
        <v>1799</v>
      </c>
      <c r="C39" s="13" t="s">
        <v>1797</v>
      </c>
      <c r="D39" s="15">
        <v>2834.13</v>
      </c>
      <c r="E39" s="15">
        <v>2864.71</v>
      </c>
      <c r="F39" s="15">
        <f t="shared" si="0"/>
        <v>30.579999999999927</v>
      </c>
      <c r="G39" s="28">
        <f t="shared" si="1"/>
        <v>1.0789907308415607E-2</v>
      </c>
      <c r="H39" s="13" t="str">
        <f t="shared" si="2"/>
        <v>Within Budget</v>
      </c>
    </row>
    <row r="40" spans="1:8" x14ac:dyDescent="0.25">
      <c r="A40" s="11">
        <v>45292</v>
      </c>
      <c r="B40" s="10" t="s">
        <v>1774</v>
      </c>
      <c r="C40" s="10" t="s">
        <v>1786</v>
      </c>
      <c r="D40" s="12">
        <v>18119.060000000001</v>
      </c>
      <c r="E40" s="12">
        <v>17657.689999999999</v>
      </c>
      <c r="F40" s="12">
        <f t="shared" si="0"/>
        <v>-461.37000000000262</v>
      </c>
      <c r="G40" s="27">
        <f t="shared" si="1"/>
        <v>-2.5463241470584156E-2</v>
      </c>
      <c r="H40" s="10" t="str">
        <f t="shared" si="2"/>
        <v>Under Budget</v>
      </c>
    </row>
    <row r="41" spans="1:8" x14ac:dyDescent="0.25">
      <c r="A41" s="14">
        <v>45292</v>
      </c>
      <c r="B41" s="13" t="s">
        <v>1877</v>
      </c>
      <c r="C41" s="13" t="s">
        <v>1780</v>
      </c>
      <c r="D41" s="15">
        <v>6538.9</v>
      </c>
      <c r="E41" s="15">
        <v>7216.43</v>
      </c>
      <c r="F41" s="15">
        <f t="shared" si="0"/>
        <v>677.53000000000065</v>
      </c>
      <c r="G41" s="28">
        <f t="shared" si="1"/>
        <v>0.10361528697487356</v>
      </c>
      <c r="H41" s="13" t="str">
        <f t="shared" si="2"/>
        <v>Slightly Over</v>
      </c>
    </row>
    <row r="42" spans="1:8" x14ac:dyDescent="0.25">
      <c r="A42" s="11">
        <v>45292</v>
      </c>
      <c r="B42" s="10" t="s">
        <v>1799</v>
      </c>
      <c r="C42" s="10" t="s">
        <v>1795</v>
      </c>
      <c r="D42" s="12">
        <v>3172.42</v>
      </c>
      <c r="E42" s="12">
        <v>2856.16</v>
      </c>
      <c r="F42" s="12">
        <f t="shared" si="0"/>
        <v>-316.26000000000022</v>
      </c>
      <c r="G42" s="27">
        <f t="shared" si="1"/>
        <v>-9.9690457127366558E-2</v>
      </c>
      <c r="H42" s="10" t="str">
        <f t="shared" si="2"/>
        <v>Under Budget</v>
      </c>
    </row>
    <row r="43" spans="1:8" x14ac:dyDescent="0.25">
      <c r="A43" s="14">
        <v>45292</v>
      </c>
      <c r="B43" s="13" t="s">
        <v>1792</v>
      </c>
      <c r="C43" s="13" t="s">
        <v>1786</v>
      </c>
      <c r="D43" s="15">
        <v>14986.54</v>
      </c>
      <c r="E43" s="15">
        <v>15549.76</v>
      </c>
      <c r="F43" s="15">
        <f t="shared" si="0"/>
        <v>563.21999999999935</v>
      </c>
      <c r="G43" s="28">
        <f t="shared" si="1"/>
        <v>3.7581723333070832E-2</v>
      </c>
      <c r="H43" s="13" t="str">
        <f t="shared" si="2"/>
        <v>Within Budget</v>
      </c>
    </row>
    <row r="44" spans="1:8" x14ac:dyDescent="0.25">
      <c r="A44" s="11">
        <v>45292</v>
      </c>
      <c r="B44" s="10" t="s">
        <v>1862</v>
      </c>
      <c r="C44" s="10" t="s">
        <v>1778</v>
      </c>
      <c r="D44" s="12">
        <v>6929.83</v>
      </c>
      <c r="E44" s="12">
        <v>7443.46</v>
      </c>
      <c r="F44" s="12">
        <f t="shared" si="0"/>
        <v>513.63000000000011</v>
      </c>
      <c r="G44" s="27">
        <f t="shared" si="1"/>
        <v>7.4118701324563538E-2</v>
      </c>
      <c r="H44" s="10" t="str">
        <f t="shared" si="2"/>
        <v>Slightly Over</v>
      </c>
    </row>
    <row r="45" spans="1:8" x14ac:dyDescent="0.25">
      <c r="A45" s="14">
        <v>45292</v>
      </c>
      <c r="B45" s="13" t="s">
        <v>1774</v>
      </c>
      <c r="C45" s="13" t="s">
        <v>1792</v>
      </c>
      <c r="D45" s="15">
        <v>16106.42</v>
      </c>
      <c r="E45" s="15">
        <v>17872.04</v>
      </c>
      <c r="F45" s="15">
        <f t="shared" si="0"/>
        <v>1765.6200000000008</v>
      </c>
      <c r="G45" s="28">
        <f t="shared" si="1"/>
        <v>0.10962212583553643</v>
      </c>
      <c r="H45" s="13" t="str">
        <f t="shared" si="2"/>
        <v>Slightly Over</v>
      </c>
    </row>
    <row r="46" spans="1:8" x14ac:dyDescent="0.25">
      <c r="A46" s="11">
        <v>45292</v>
      </c>
      <c r="B46" s="10" t="s">
        <v>1877</v>
      </c>
      <c r="C46" s="10" t="s">
        <v>1786</v>
      </c>
      <c r="D46" s="12">
        <v>9683.42</v>
      </c>
      <c r="E46" s="12">
        <v>8895.98</v>
      </c>
      <c r="F46" s="12">
        <f t="shared" si="0"/>
        <v>-787.44000000000051</v>
      </c>
      <c r="G46" s="27">
        <f t="shared" si="1"/>
        <v>-8.1318377184920257E-2</v>
      </c>
      <c r="H46" s="10" t="str">
        <f t="shared" si="2"/>
        <v>Under Budget</v>
      </c>
    </row>
    <row r="47" spans="1:8" x14ac:dyDescent="0.25">
      <c r="A47" s="14">
        <v>45292</v>
      </c>
      <c r="B47" s="13" t="s">
        <v>1774</v>
      </c>
      <c r="C47" s="13" t="s">
        <v>1795</v>
      </c>
      <c r="D47" s="15">
        <v>7807.82</v>
      </c>
      <c r="E47" s="15">
        <v>7163.76</v>
      </c>
      <c r="F47" s="15">
        <f t="shared" si="0"/>
        <v>-644.05999999999949</v>
      </c>
      <c r="G47" s="28">
        <f t="shared" si="1"/>
        <v>-8.2489094267029661E-2</v>
      </c>
      <c r="H47" s="13" t="str">
        <f t="shared" si="2"/>
        <v>Under Budget</v>
      </c>
    </row>
    <row r="48" spans="1:8" x14ac:dyDescent="0.25">
      <c r="A48" s="11">
        <v>45292</v>
      </c>
      <c r="B48" s="10" t="s">
        <v>1818</v>
      </c>
      <c r="C48" s="10" t="s">
        <v>1783</v>
      </c>
      <c r="D48" s="12">
        <v>5192.49</v>
      </c>
      <c r="E48" s="12">
        <v>5638.08</v>
      </c>
      <c r="F48" s="12">
        <f t="shared" si="0"/>
        <v>445.59000000000015</v>
      </c>
      <c r="G48" s="27">
        <f t="shared" si="1"/>
        <v>8.5814320297198488E-2</v>
      </c>
      <c r="H48" s="10" t="str">
        <f t="shared" si="2"/>
        <v>Slightly Over</v>
      </c>
    </row>
    <row r="49" spans="1:8" x14ac:dyDescent="0.25">
      <c r="A49" s="14">
        <v>45292</v>
      </c>
      <c r="B49" s="13" t="s">
        <v>1818</v>
      </c>
      <c r="C49" s="13" t="s">
        <v>1789</v>
      </c>
      <c r="D49" s="15">
        <v>3191.94</v>
      </c>
      <c r="E49" s="15">
        <v>3419.35</v>
      </c>
      <c r="F49" s="15">
        <f t="shared" si="0"/>
        <v>227.40999999999985</v>
      </c>
      <c r="G49" s="28">
        <f t="shared" si="1"/>
        <v>7.1245073528951E-2</v>
      </c>
      <c r="H49" s="13" t="str">
        <f t="shared" si="2"/>
        <v>Slightly Over</v>
      </c>
    </row>
    <row r="50" spans="1:8" x14ac:dyDescent="0.25">
      <c r="A50" s="11">
        <v>45292</v>
      </c>
      <c r="B50" s="10" t="s">
        <v>1799</v>
      </c>
      <c r="C50" s="10" t="s">
        <v>1780</v>
      </c>
      <c r="D50" s="12">
        <v>3722.93</v>
      </c>
      <c r="E50" s="12">
        <v>3728.38</v>
      </c>
      <c r="F50" s="12">
        <f t="shared" si="0"/>
        <v>5.4500000000002728</v>
      </c>
      <c r="G50" s="27">
        <f t="shared" si="1"/>
        <v>1.4639007448435165E-3</v>
      </c>
      <c r="H50" s="10" t="str">
        <f t="shared" si="2"/>
        <v>Within Budget</v>
      </c>
    </row>
    <row r="51" spans="1:8" x14ac:dyDescent="0.25">
      <c r="A51" s="14">
        <v>45292</v>
      </c>
      <c r="B51" s="13" t="s">
        <v>1799</v>
      </c>
      <c r="C51" s="13" t="s">
        <v>1783</v>
      </c>
      <c r="D51" s="15">
        <v>6057.41</v>
      </c>
      <c r="E51" s="15">
        <v>6438.2</v>
      </c>
      <c r="F51" s="15">
        <f t="shared" si="0"/>
        <v>380.78999999999996</v>
      </c>
      <c r="G51" s="28">
        <f t="shared" si="1"/>
        <v>6.286350106728783E-2</v>
      </c>
      <c r="H51" s="13" t="str">
        <f t="shared" si="2"/>
        <v>Slightly Over</v>
      </c>
    </row>
    <row r="52" spans="1:8" x14ac:dyDescent="0.25">
      <c r="A52" s="11">
        <v>45292</v>
      </c>
      <c r="B52" s="10" t="s">
        <v>1792</v>
      </c>
      <c r="C52" s="10" t="s">
        <v>1775</v>
      </c>
      <c r="D52" s="12">
        <v>93885.73</v>
      </c>
      <c r="E52" s="12">
        <v>88414.58</v>
      </c>
      <c r="F52" s="12">
        <f t="shared" si="0"/>
        <v>-5471.1499999999942</v>
      </c>
      <c r="G52" s="27">
        <f t="shared" si="1"/>
        <v>-5.827456419628408E-2</v>
      </c>
      <c r="H52" s="10" t="str">
        <f t="shared" si="2"/>
        <v>Under Budget</v>
      </c>
    </row>
    <row r="53" spans="1:8" x14ac:dyDescent="0.25">
      <c r="A53" s="14">
        <v>45292</v>
      </c>
      <c r="B53" s="13" t="s">
        <v>1877</v>
      </c>
      <c r="C53" s="13" t="s">
        <v>1797</v>
      </c>
      <c r="D53" s="15">
        <v>2996.71</v>
      </c>
      <c r="E53" s="15">
        <v>3283.1</v>
      </c>
      <c r="F53" s="15">
        <f t="shared" si="0"/>
        <v>286.38999999999987</v>
      </c>
      <c r="G53" s="28">
        <f t="shared" si="1"/>
        <v>9.5568139726566761E-2</v>
      </c>
      <c r="H53" s="13" t="str">
        <f t="shared" si="2"/>
        <v>Slightly Over</v>
      </c>
    </row>
    <row r="54" spans="1:8" x14ac:dyDescent="0.25">
      <c r="A54" s="11">
        <v>45292</v>
      </c>
      <c r="B54" s="10" t="s">
        <v>1818</v>
      </c>
      <c r="C54" s="10" t="s">
        <v>1778</v>
      </c>
      <c r="D54" s="12">
        <v>7932.07</v>
      </c>
      <c r="E54" s="12">
        <v>7769.41</v>
      </c>
      <c r="F54" s="12">
        <f t="shared" si="0"/>
        <v>-162.65999999999985</v>
      </c>
      <c r="G54" s="27">
        <f t="shared" si="1"/>
        <v>-2.0506626895627478E-2</v>
      </c>
      <c r="H54" s="10" t="str">
        <f t="shared" si="2"/>
        <v>Under Budget</v>
      </c>
    </row>
    <row r="55" spans="1:8" x14ac:dyDescent="0.25">
      <c r="A55" s="14">
        <v>45292</v>
      </c>
      <c r="B55" s="13" t="s">
        <v>1786</v>
      </c>
      <c r="C55" s="13" t="s">
        <v>1795</v>
      </c>
      <c r="D55" s="15">
        <v>4962.78</v>
      </c>
      <c r="E55" s="15">
        <v>5042.38</v>
      </c>
      <c r="F55" s="15">
        <f t="shared" si="0"/>
        <v>79.600000000000364</v>
      </c>
      <c r="G55" s="28">
        <f t="shared" si="1"/>
        <v>1.6039397273302537E-2</v>
      </c>
      <c r="H55" s="13" t="str">
        <f t="shared" si="2"/>
        <v>Within Budget</v>
      </c>
    </row>
    <row r="56" spans="1:8" x14ac:dyDescent="0.25">
      <c r="A56" s="11">
        <v>45292</v>
      </c>
      <c r="B56" s="10" t="s">
        <v>1818</v>
      </c>
      <c r="C56" s="10" t="s">
        <v>1786</v>
      </c>
      <c r="D56" s="12">
        <v>5225.2299999999996</v>
      </c>
      <c r="E56" s="12">
        <v>5213.3</v>
      </c>
      <c r="F56" s="12">
        <f t="shared" si="0"/>
        <v>-11.929999999999382</v>
      </c>
      <c r="G56" s="27">
        <f t="shared" si="1"/>
        <v>-2.2831530860841307E-3</v>
      </c>
      <c r="H56" s="10" t="str">
        <f t="shared" si="2"/>
        <v>Under Budget</v>
      </c>
    </row>
    <row r="57" spans="1:8" x14ac:dyDescent="0.25">
      <c r="A57" s="14">
        <v>45292</v>
      </c>
      <c r="B57" s="13" t="s">
        <v>1818</v>
      </c>
      <c r="C57" s="13" t="s">
        <v>1795</v>
      </c>
      <c r="D57" s="15">
        <v>1987.64</v>
      </c>
      <c r="E57" s="15">
        <v>2000.75</v>
      </c>
      <c r="F57" s="15">
        <f t="shared" si="0"/>
        <v>13.1099999999999</v>
      </c>
      <c r="G57" s="28">
        <f t="shared" si="1"/>
        <v>6.5957618079732242E-3</v>
      </c>
      <c r="H57" s="13" t="str">
        <f t="shared" si="2"/>
        <v>Within Budget</v>
      </c>
    </row>
    <row r="58" spans="1:8" x14ac:dyDescent="0.25">
      <c r="A58" s="11">
        <v>45292</v>
      </c>
      <c r="B58" s="10" t="s">
        <v>1792</v>
      </c>
      <c r="C58" s="10" t="s">
        <v>1778</v>
      </c>
      <c r="D58" s="12">
        <v>19180.52</v>
      </c>
      <c r="E58" s="12">
        <v>20542.599999999999</v>
      </c>
      <c r="F58" s="12">
        <f t="shared" si="0"/>
        <v>1362.0799999999981</v>
      </c>
      <c r="G58" s="27">
        <f t="shared" si="1"/>
        <v>7.1013715999357588E-2</v>
      </c>
      <c r="H58" s="10" t="str">
        <f t="shared" si="2"/>
        <v>Slightly Over</v>
      </c>
    </row>
    <row r="59" spans="1:8" x14ac:dyDescent="0.25">
      <c r="A59" s="14">
        <v>45292</v>
      </c>
      <c r="B59" s="13" t="s">
        <v>1818</v>
      </c>
      <c r="C59" s="13" t="s">
        <v>1775</v>
      </c>
      <c r="D59" s="15">
        <v>35835.19</v>
      </c>
      <c r="E59" s="15">
        <v>37782.42</v>
      </c>
      <c r="F59" s="15">
        <f t="shared" si="0"/>
        <v>1947.2299999999959</v>
      </c>
      <c r="G59" s="28">
        <f t="shared" si="1"/>
        <v>5.4338486833751844E-2</v>
      </c>
      <c r="H59" s="13" t="str">
        <f t="shared" si="2"/>
        <v>Slightly Over</v>
      </c>
    </row>
    <row r="60" spans="1:8" x14ac:dyDescent="0.25">
      <c r="A60" s="11">
        <v>45292</v>
      </c>
      <c r="B60" s="10" t="s">
        <v>1792</v>
      </c>
      <c r="C60" s="10" t="s">
        <v>1795</v>
      </c>
      <c r="D60" s="12">
        <v>4863.2</v>
      </c>
      <c r="E60" s="12">
        <v>5319.29</v>
      </c>
      <c r="F60" s="12">
        <f t="shared" si="0"/>
        <v>456.09000000000015</v>
      </c>
      <c r="G60" s="27">
        <f t="shared" si="1"/>
        <v>9.3783928277677286E-2</v>
      </c>
      <c r="H60" s="10" t="str">
        <f t="shared" si="2"/>
        <v>Slightly Over</v>
      </c>
    </row>
    <row r="61" spans="1:8" x14ac:dyDescent="0.25">
      <c r="A61" s="14">
        <v>45292</v>
      </c>
      <c r="B61" s="13" t="s">
        <v>1877</v>
      </c>
      <c r="C61" s="13" t="s">
        <v>1789</v>
      </c>
      <c r="D61" s="15">
        <v>4964.12</v>
      </c>
      <c r="E61" s="15">
        <v>5364.51</v>
      </c>
      <c r="F61" s="15">
        <f t="shared" si="0"/>
        <v>400.39000000000033</v>
      </c>
      <c r="G61" s="28">
        <f t="shared" si="1"/>
        <v>8.0656793147627442E-2</v>
      </c>
      <c r="H61" s="13" t="str">
        <f t="shared" si="2"/>
        <v>Slightly Over</v>
      </c>
    </row>
    <row r="62" spans="1:8" x14ac:dyDescent="0.25">
      <c r="A62" s="11">
        <v>45292</v>
      </c>
      <c r="B62" s="10" t="s">
        <v>1818</v>
      </c>
      <c r="C62" s="10" t="s">
        <v>1792</v>
      </c>
      <c r="D62" s="12">
        <v>7428.42</v>
      </c>
      <c r="E62" s="12">
        <v>6661.44</v>
      </c>
      <c r="F62" s="12">
        <f t="shared" si="0"/>
        <v>-766.98000000000047</v>
      </c>
      <c r="G62" s="27">
        <f t="shared" si="1"/>
        <v>-0.10324941239186805</v>
      </c>
      <c r="H62" s="10" t="str">
        <f t="shared" si="2"/>
        <v>Under Budget</v>
      </c>
    </row>
    <row r="63" spans="1:8" x14ac:dyDescent="0.25">
      <c r="A63" s="14">
        <v>45292</v>
      </c>
      <c r="B63" s="13" t="s">
        <v>1799</v>
      </c>
      <c r="C63" s="13" t="s">
        <v>1775</v>
      </c>
      <c r="D63" s="15">
        <v>37382.46</v>
      </c>
      <c r="E63" s="15">
        <v>38877.17</v>
      </c>
      <c r="F63" s="15">
        <f t="shared" si="0"/>
        <v>1494.7099999999991</v>
      </c>
      <c r="G63" s="28">
        <f t="shared" si="1"/>
        <v>3.9984259997870635E-2</v>
      </c>
      <c r="H63" s="13" t="str">
        <f t="shared" si="2"/>
        <v>Within Budget</v>
      </c>
    </row>
    <row r="64" spans="1:8" x14ac:dyDescent="0.25">
      <c r="A64" s="11">
        <v>45292</v>
      </c>
      <c r="B64" s="10" t="s">
        <v>1786</v>
      </c>
      <c r="C64" s="10" t="s">
        <v>1780</v>
      </c>
      <c r="D64" s="12">
        <v>6852.3</v>
      </c>
      <c r="E64" s="12">
        <v>7082.15</v>
      </c>
      <c r="F64" s="12">
        <f t="shared" si="0"/>
        <v>229.84999999999945</v>
      </c>
      <c r="G64" s="27">
        <f t="shared" si="1"/>
        <v>3.3543481750652984E-2</v>
      </c>
      <c r="H64" s="10" t="str">
        <f t="shared" si="2"/>
        <v>Within Budget</v>
      </c>
    </row>
    <row r="65" spans="1:8" x14ac:dyDescent="0.25">
      <c r="A65" s="14">
        <v>45323</v>
      </c>
      <c r="B65" s="13" t="s">
        <v>1792</v>
      </c>
      <c r="C65" s="13" t="s">
        <v>1778</v>
      </c>
      <c r="D65" s="15">
        <v>15161.38</v>
      </c>
      <c r="E65" s="15">
        <v>16338.34</v>
      </c>
      <c r="F65" s="15">
        <f t="shared" si="0"/>
        <v>1176.9600000000009</v>
      </c>
      <c r="G65" s="28">
        <f t="shared" si="1"/>
        <v>7.7628817429548039E-2</v>
      </c>
      <c r="H65" s="13" t="str">
        <f t="shared" si="2"/>
        <v>Slightly Over</v>
      </c>
    </row>
    <row r="66" spans="1:8" x14ac:dyDescent="0.25">
      <c r="A66" s="11">
        <v>45323</v>
      </c>
      <c r="B66" s="10" t="s">
        <v>1877</v>
      </c>
      <c r="C66" s="10" t="s">
        <v>1778</v>
      </c>
      <c r="D66" s="12">
        <v>12664.15</v>
      </c>
      <c r="E66" s="12">
        <v>11878.55</v>
      </c>
      <c r="F66" s="12">
        <f t="shared" ref="F66:F129" si="3">E66-D66</f>
        <v>-785.60000000000036</v>
      </c>
      <c r="G66" s="27">
        <f t="shared" ref="G66:G129" si="4">IFERROR(F66/D66,0)</f>
        <v>-6.2033377684250456E-2</v>
      </c>
      <c r="H66" s="10" t="str">
        <f t="shared" ref="H66:H129" si="5">IF(G66&lt;=0,"Under Budget",IF(G66&lt;=5%,"Within Budget",IF(G66&lt;=15%,"Slightly Over","Significantly Over")))</f>
        <v>Under Budget</v>
      </c>
    </row>
    <row r="67" spans="1:8" x14ac:dyDescent="0.25">
      <c r="A67" s="14">
        <v>45323</v>
      </c>
      <c r="B67" s="13" t="s">
        <v>1818</v>
      </c>
      <c r="C67" s="13" t="s">
        <v>1775</v>
      </c>
      <c r="D67" s="15">
        <v>41576.53</v>
      </c>
      <c r="E67" s="15">
        <v>37683.4</v>
      </c>
      <c r="F67" s="15">
        <f t="shared" si="3"/>
        <v>-3893.1299999999974</v>
      </c>
      <c r="G67" s="28">
        <f t="shared" si="4"/>
        <v>-9.3637684530190404E-2</v>
      </c>
      <c r="H67" s="13" t="str">
        <f t="shared" si="5"/>
        <v>Under Budget</v>
      </c>
    </row>
    <row r="68" spans="1:8" x14ac:dyDescent="0.25">
      <c r="A68" s="11">
        <v>45323</v>
      </c>
      <c r="B68" s="10" t="s">
        <v>1799</v>
      </c>
      <c r="C68" s="10" t="s">
        <v>1795</v>
      </c>
      <c r="D68" s="12">
        <v>2928.93</v>
      </c>
      <c r="E68" s="12">
        <v>2727.77</v>
      </c>
      <c r="F68" s="12">
        <f t="shared" si="3"/>
        <v>-201.15999999999985</v>
      </c>
      <c r="G68" s="27">
        <f t="shared" si="4"/>
        <v>-6.8680371330144416E-2</v>
      </c>
      <c r="H68" s="10" t="str">
        <f t="shared" si="5"/>
        <v>Under Budget</v>
      </c>
    </row>
    <row r="69" spans="1:8" x14ac:dyDescent="0.25">
      <c r="A69" s="14">
        <v>45323</v>
      </c>
      <c r="B69" s="13" t="s">
        <v>1862</v>
      </c>
      <c r="C69" s="13" t="s">
        <v>1792</v>
      </c>
      <c r="D69" s="15">
        <v>6648.03</v>
      </c>
      <c r="E69" s="15">
        <v>6424.61</v>
      </c>
      <c r="F69" s="15">
        <f t="shared" si="3"/>
        <v>-223.42000000000007</v>
      </c>
      <c r="G69" s="28">
        <f t="shared" si="4"/>
        <v>-3.3606948223759529E-2</v>
      </c>
      <c r="H69" s="13" t="str">
        <f t="shared" si="5"/>
        <v>Under Budget</v>
      </c>
    </row>
    <row r="70" spans="1:8" x14ac:dyDescent="0.25">
      <c r="A70" s="11">
        <v>45323</v>
      </c>
      <c r="B70" s="10" t="s">
        <v>1818</v>
      </c>
      <c r="C70" s="10" t="s">
        <v>1780</v>
      </c>
      <c r="D70" s="12">
        <v>4485.8100000000004</v>
      </c>
      <c r="E70" s="12">
        <v>4157.72</v>
      </c>
      <c r="F70" s="12">
        <f t="shared" si="3"/>
        <v>-328.09000000000015</v>
      </c>
      <c r="G70" s="27">
        <f t="shared" si="4"/>
        <v>-7.3139522182170028E-2</v>
      </c>
      <c r="H70" s="10" t="str">
        <f t="shared" si="5"/>
        <v>Under Budget</v>
      </c>
    </row>
    <row r="71" spans="1:8" x14ac:dyDescent="0.25">
      <c r="A71" s="14">
        <v>45323</v>
      </c>
      <c r="B71" s="13" t="s">
        <v>1799</v>
      </c>
      <c r="C71" s="13" t="s">
        <v>1786</v>
      </c>
      <c r="D71" s="15">
        <v>7068.57</v>
      </c>
      <c r="E71" s="15">
        <v>7147.69</v>
      </c>
      <c r="F71" s="15">
        <f t="shared" si="3"/>
        <v>79.119999999999891</v>
      </c>
      <c r="G71" s="28">
        <f t="shared" si="4"/>
        <v>1.1193211639695142E-2</v>
      </c>
      <c r="H71" s="13" t="str">
        <f t="shared" si="5"/>
        <v>Within Budget</v>
      </c>
    </row>
    <row r="72" spans="1:8" x14ac:dyDescent="0.25">
      <c r="A72" s="11">
        <v>45323</v>
      </c>
      <c r="B72" s="10" t="s">
        <v>1774</v>
      </c>
      <c r="C72" s="10" t="s">
        <v>1778</v>
      </c>
      <c r="D72" s="12">
        <v>24973.08</v>
      </c>
      <c r="E72" s="12">
        <v>22930.240000000002</v>
      </c>
      <c r="F72" s="12">
        <f t="shared" si="3"/>
        <v>-2042.8400000000001</v>
      </c>
      <c r="G72" s="27">
        <f t="shared" si="4"/>
        <v>-8.1801684053388696E-2</v>
      </c>
      <c r="H72" s="10" t="str">
        <f t="shared" si="5"/>
        <v>Under Budget</v>
      </c>
    </row>
    <row r="73" spans="1:8" x14ac:dyDescent="0.25">
      <c r="A73" s="14">
        <v>45323</v>
      </c>
      <c r="B73" s="13" t="s">
        <v>1786</v>
      </c>
      <c r="C73" s="13" t="s">
        <v>1786</v>
      </c>
      <c r="D73" s="15">
        <v>13225.71</v>
      </c>
      <c r="E73" s="15">
        <v>12295.28</v>
      </c>
      <c r="F73" s="15">
        <f t="shared" si="3"/>
        <v>-930.42999999999847</v>
      </c>
      <c r="G73" s="28">
        <f t="shared" si="4"/>
        <v>-7.0350098406815095E-2</v>
      </c>
      <c r="H73" s="13" t="str">
        <f t="shared" si="5"/>
        <v>Under Budget</v>
      </c>
    </row>
    <row r="74" spans="1:8" x14ac:dyDescent="0.25">
      <c r="A74" s="11">
        <v>45323</v>
      </c>
      <c r="B74" s="10" t="s">
        <v>1786</v>
      </c>
      <c r="C74" s="10" t="s">
        <v>1795</v>
      </c>
      <c r="D74" s="12">
        <v>3872.77</v>
      </c>
      <c r="E74" s="12">
        <v>4301.26</v>
      </c>
      <c r="F74" s="12">
        <f t="shared" si="3"/>
        <v>428.49000000000024</v>
      </c>
      <c r="G74" s="27">
        <f t="shared" si="4"/>
        <v>0.11064173705125795</v>
      </c>
      <c r="H74" s="10" t="str">
        <f t="shared" si="5"/>
        <v>Slightly Over</v>
      </c>
    </row>
    <row r="75" spans="1:8" x14ac:dyDescent="0.25">
      <c r="A75" s="14">
        <v>45323</v>
      </c>
      <c r="B75" s="13" t="s">
        <v>1792</v>
      </c>
      <c r="C75" s="13" t="s">
        <v>1792</v>
      </c>
      <c r="D75" s="15">
        <v>15888.4</v>
      </c>
      <c r="E75" s="15">
        <v>15773.02</v>
      </c>
      <c r="F75" s="15">
        <f t="shared" si="3"/>
        <v>-115.3799999999992</v>
      </c>
      <c r="G75" s="28">
        <f t="shared" si="4"/>
        <v>-7.2619017648094964E-3</v>
      </c>
      <c r="H75" s="13" t="str">
        <f t="shared" si="5"/>
        <v>Under Budget</v>
      </c>
    </row>
    <row r="76" spans="1:8" x14ac:dyDescent="0.25">
      <c r="A76" s="11">
        <v>45323</v>
      </c>
      <c r="B76" s="10" t="s">
        <v>1877</v>
      </c>
      <c r="C76" s="10" t="s">
        <v>1789</v>
      </c>
      <c r="D76" s="12">
        <v>5563.29</v>
      </c>
      <c r="E76" s="12">
        <v>5805.89</v>
      </c>
      <c r="F76" s="12">
        <f t="shared" si="3"/>
        <v>242.60000000000036</v>
      </c>
      <c r="G76" s="27">
        <f t="shared" si="4"/>
        <v>4.3607289930958186E-2</v>
      </c>
      <c r="H76" s="10" t="str">
        <f t="shared" si="5"/>
        <v>Within Budget</v>
      </c>
    </row>
    <row r="77" spans="1:8" x14ac:dyDescent="0.25">
      <c r="A77" s="14">
        <v>45323</v>
      </c>
      <c r="B77" s="13" t="s">
        <v>1862</v>
      </c>
      <c r="C77" s="13" t="s">
        <v>1786</v>
      </c>
      <c r="D77" s="15">
        <v>7087.8</v>
      </c>
      <c r="E77" s="15">
        <v>7712.76</v>
      </c>
      <c r="F77" s="15">
        <f t="shared" si="3"/>
        <v>624.96</v>
      </c>
      <c r="G77" s="28">
        <f t="shared" si="4"/>
        <v>8.8174045543045795E-2</v>
      </c>
      <c r="H77" s="13" t="str">
        <f t="shared" si="5"/>
        <v>Slightly Over</v>
      </c>
    </row>
    <row r="78" spans="1:8" x14ac:dyDescent="0.25">
      <c r="A78" s="11">
        <v>45323</v>
      </c>
      <c r="B78" s="10" t="s">
        <v>1774</v>
      </c>
      <c r="C78" s="10" t="s">
        <v>1780</v>
      </c>
      <c r="D78" s="12">
        <v>11782.95</v>
      </c>
      <c r="E78" s="12">
        <v>10848.23</v>
      </c>
      <c r="F78" s="12">
        <f t="shared" si="3"/>
        <v>-934.72000000000116</v>
      </c>
      <c r="G78" s="27">
        <f t="shared" si="4"/>
        <v>-7.9328181822039573E-2</v>
      </c>
      <c r="H78" s="10" t="str">
        <f t="shared" si="5"/>
        <v>Under Budget</v>
      </c>
    </row>
    <row r="79" spans="1:8" x14ac:dyDescent="0.25">
      <c r="A79" s="14">
        <v>45323</v>
      </c>
      <c r="B79" s="13" t="s">
        <v>1877</v>
      </c>
      <c r="C79" s="13" t="s">
        <v>1780</v>
      </c>
      <c r="D79" s="15">
        <v>5563.69</v>
      </c>
      <c r="E79" s="15">
        <v>6169.89</v>
      </c>
      <c r="F79" s="15">
        <f t="shared" si="3"/>
        <v>606.20000000000073</v>
      </c>
      <c r="G79" s="28">
        <f t="shared" si="4"/>
        <v>0.10895646594256703</v>
      </c>
      <c r="H79" s="13" t="str">
        <f t="shared" si="5"/>
        <v>Slightly Over</v>
      </c>
    </row>
    <row r="80" spans="1:8" x14ac:dyDescent="0.25">
      <c r="A80" s="11">
        <v>45323</v>
      </c>
      <c r="B80" s="10" t="s">
        <v>1818</v>
      </c>
      <c r="C80" s="10" t="s">
        <v>1795</v>
      </c>
      <c r="D80" s="12">
        <v>2624.65</v>
      </c>
      <c r="E80" s="12">
        <v>2474.6</v>
      </c>
      <c r="F80" s="12">
        <f t="shared" si="3"/>
        <v>-150.05000000000018</v>
      </c>
      <c r="G80" s="27">
        <f t="shared" si="4"/>
        <v>-5.7169527365553571E-2</v>
      </c>
      <c r="H80" s="10" t="str">
        <f t="shared" si="5"/>
        <v>Under Budget</v>
      </c>
    </row>
    <row r="81" spans="1:8" x14ac:dyDescent="0.25">
      <c r="A81" s="14">
        <v>45323</v>
      </c>
      <c r="B81" s="13" t="s">
        <v>1877</v>
      </c>
      <c r="C81" s="13" t="s">
        <v>1783</v>
      </c>
      <c r="D81" s="15">
        <v>10950.2</v>
      </c>
      <c r="E81" s="15">
        <v>9799.69</v>
      </c>
      <c r="F81" s="15">
        <f t="shared" si="3"/>
        <v>-1150.5100000000002</v>
      </c>
      <c r="G81" s="28">
        <f t="shared" si="4"/>
        <v>-0.10506748735182921</v>
      </c>
      <c r="H81" s="13" t="str">
        <f t="shared" si="5"/>
        <v>Under Budget</v>
      </c>
    </row>
    <row r="82" spans="1:8" x14ac:dyDescent="0.25">
      <c r="A82" s="11">
        <v>45323</v>
      </c>
      <c r="B82" s="10" t="s">
        <v>1862</v>
      </c>
      <c r="C82" s="10" t="s">
        <v>1778</v>
      </c>
      <c r="D82" s="12">
        <v>7543.48</v>
      </c>
      <c r="E82" s="12">
        <v>7498.16</v>
      </c>
      <c r="F82" s="12">
        <f t="shared" si="3"/>
        <v>-45.319999999999709</v>
      </c>
      <c r="G82" s="27">
        <f t="shared" si="4"/>
        <v>-6.0078372316225018E-3</v>
      </c>
      <c r="H82" s="10" t="str">
        <f t="shared" si="5"/>
        <v>Under Budget</v>
      </c>
    </row>
    <row r="83" spans="1:8" x14ac:dyDescent="0.25">
      <c r="A83" s="14">
        <v>45323</v>
      </c>
      <c r="B83" s="13" t="s">
        <v>1818</v>
      </c>
      <c r="C83" s="13" t="s">
        <v>1786</v>
      </c>
      <c r="D83" s="15">
        <v>6759.52</v>
      </c>
      <c r="E83" s="15">
        <v>6885.72</v>
      </c>
      <c r="F83" s="15">
        <f t="shared" si="3"/>
        <v>126.19999999999982</v>
      </c>
      <c r="G83" s="28">
        <f t="shared" si="4"/>
        <v>1.8669964731223492E-2</v>
      </c>
      <c r="H83" s="13" t="str">
        <f t="shared" si="5"/>
        <v>Within Budget</v>
      </c>
    </row>
    <row r="84" spans="1:8" x14ac:dyDescent="0.25">
      <c r="A84" s="11">
        <v>45323</v>
      </c>
      <c r="B84" s="10" t="s">
        <v>1818</v>
      </c>
      <c r="C84" s="10" t="s">
        <v>1778</v>
      </c>
      <c r="D84" s="12">
        <v>8479.76</v>
      </c>
      <c r="E84" s="12">
        <v>8206.6200000000008</v>
      </c>
      <c r="F84" s="12">
        <f t="shared" si="3"/>
        <v>-273.13999999999942</v>
      </c>
      <c r="G84" s="27">
        <f t="shared" si="4"/>
        <v>-3.2210817287281646E-2</v>
      </c>
      <c r="H84" s="10" t="str">
        <f t="shared" si="5"/>
        <v>Under Budget</v>
      </c>
    </row>
    <row r="85" spans="1:8" x14ac:dyDescent="0.25">
      <c r="A85" s="14">
        <v>45323</v>
      </c>
      <c r="B85" s="13" t="s">
        <v>1799</v>
      </c>
      <c r="C85" s="13" t="s">
        <v>1783</v>
      </c>
      <c r="D85" s="15">
        <v>9079.64</v>
      </c>
      <c r="E85" s="15">
        <v>8430.23</v>
      </c>
      <c r="F85" s="15">
        <f t="shared" si="3"/>
        <v>-649.40999999999985</v>
      </c>
      <c r="G85" s="28">
        <f t="shared" si="4"/>
        <v>-7.1523760853954552E-2</v>
      </c>
      <c r="H85" s="13" t="str">
        <f t="shared" si="5"/>
        <v>Under Budget</v>
      </c>
    </row>
    <row r="86" spans="1:8" x14ac:dyDescent="0.25">
      <c r="A86" s="11">
        <v>45323</v>
      </c>
      <c r="B86" s="10" t="s">
        <v>1774</v>
      </c>
      <c r="C86" s="10" t="s">
        <v>1792</v>
      </c>
      <c r="D86" s="12">
        <v>18615.98</v>
      </c>
      <c r="E86" s="12">
        <v>19537.05</v>
      </c>
      <c r="F86" s="12">
        <f t="shared" si="3"/>
        <v>921.06999999999971</v>
      </c>
      <c r="G86" s="27">
        <f t="shared" si="4"/>
        <v>4.9477384483653276E-2</v>
      </c>
      <c r="H86" s="10" t="str">
        <f t="shared" si="5"/>
        <v>Within Budget</v>
      </c>
    </row>
    <row r="87" spans="1:8" x14ac:dyDescent="0.25">
      <c r="A87" s="14">
        <v>45323</v>
      </c>
      <c r="B87" s="13" t="s">
        <v>1774</v>
      </c>
      <c r="C87" s="13" t="s">
        <v>1797</v>
      </c>
      <c r="D87" s="15">
        <v>5281.06</v>
      </c>
      <c r="E87" s="15">
        <v>5529.01</v>
      </c>
      <c r="F87" s="15">
        <f t="shared" si="3"/>
        <v>247.94999999999982</v>
      </c>
      <c r="G87" s="28">
        <f t="shared" si="4"/>
        <v>4.6950801543629461E-2</v>
      </c>
      <c r="H87" s="13" t="str">
        <f t="shared" si="5"/>
        <v>Within Budget</v>
      </c>
    </row>
    <row r="88" spans="1:8" x14ac:dyDescent="0.25">
      <c r="A88" s="11">
        <v>45323</v>
      </c>
      <c r="B88" s="10" t="s">
        <v>1786</v>
      </c>
      <c r="C88" s="10" t="s">
        <v>1783</v>
      </c>
      <c r="D88" s="12">
        <v>14333.7</v>
      </c>
      <c r="E88" s="12">
        <v>13868.02</v>
      </c>
      <c r="F88" s="12">
        <f t="shared" si="3"/>
        <v>-465.68000000000029</v>
      </c>
      <c r="G88" s="27">
        <f t="shared" si="4"/>
        <v>-3.2488471225154726E-2</v>
      </c>
      <c r="H88" s="10" t="str">
        <f t="shared" si="5"/>
        <v>Under Budget</v>
      </c>
    </row>
    <row r="89" spans="1:8" x14ac:dyDescent="0.25">
      <c r="A89" s="14">
        <v>45323</v>
      </c>
      <c r="B89" s="13" t="s">
        <v>1786</v>
      </c>
      <c r="C89" s="13" t="s">
        <v>1778</v>
      </c>
      <c r="D89" s="15">
        <v>16288</v>
      </c>
      <c r="E89" s="15">
        <v>14716.65</v>
      </c>
      <c r="F89" s="15">
        <f t="shared" si="3"/>
        <v>-1571.3500000000004</v>
      </c>
      <c r="G89" s="28">
        <f t="shared" si="4"/>
        <v>-9.6472863457760336E-2</v>
      </c>
      <c r="H89" s="13" t="str">
        <f t="shared" si="5"/>
        <v>Under Budget</v>
      </c>
    </row>
    <row r="90" spans="1:8" x14ac:dyDescent="0.25">
      <c r="A90" s="11">
        <v>45323</v>
      </c>
      <c r="B90" s="10" t="s">
        <v>1877</v>
      </c>
      <c r="C90" s="10" t="s">
        <v>1792</v>
      </c>
      <c r="D90" s="12">
        <v>10652.97</v>
      </c>
      <c r="E90" s="12">
        <v>11031.84</v>
      </c>
      <c r="F90" s="12">
        <f t="shared" si="3"/>
        <v>378.8700000000008</v>
      </c>
      <c r="G90" s="27">
        <f t="shared" si="4"/>
        <v>3.5564729835904994E-2</v>
      </c>
      <c r="H90" s="10" t="str">
        <f t="shared" si="5"/>
        <v>Within Budget</v>
      </c>
    </row>
    <row r="91" spans="1:8" x14ac:dyDescent="0.25">
      <c r="A91" s="14">
        <v>45323</v>
      </c>
      <c r="B91" s="13" t="s">
        <v>1799</v>
      </c>
      <c r="C91" s="13" t="s">
        <v>1780</v>
      </c>
      <c r="D91" s="15">
        <v>5199.32</v>
      </c>
      <c r="E91" s="15">
        <v>5289.85</v>
      </c>
      <c r="F91" s="15">
        <f t="shared" si="3"/>
        <v>90.530000000000655</v>
      </c>
      <c r="G91" s="28">
        <f t="shared" si="4"/>
        <v>1.7411892324381006E-2</v>
      </c>
      <c r="H91" s="13" t="str">
        <f t="shared" si="5"/>
        <v>Within Budget</v>
      </c>
    </row>
    <row r="92" spans="1:8" x14ac:dyDescent="0.25">
      <c r="A92" s="11">
        <v>45323</v>
      </c>
      <c r="B92" s="10" t="s">
        <v>1774</v>
      </c>
      <c r="C92" s="10" t="s">
        <v>1775</v>
      </c>
      <c r="D92" s="12">
        <v>105332.36</v>
      </c>
      <c r="E92" s="12">
        <v>94170.07</v>
      </c>
      <c r="F92" s="12">
        <f t="shared" si="3"/>
        <v>-11162.289999999994</v>
      </c>
      <c r="G92" s="27">
        <f t="shared" si="4"/>
        <v>-0.10597208683067572</v>
      </c>
      <c r="H92" s="10" t="str">
        <f t="shared" si="5"/>
        <v>Under Budget</v>
      </c>
    </row>
    <row r="93" spans="1:8" x14ac:dyDescent="0.25">
      <c r="A93" s="14">
        <v>45323</v>
      </c>
      <c r="B93" s="13" t="s">
        <v>1862</v>
      </c>
      <c r="C93" s="13" t="s">
        <v>1795</v>
      </c>
      <c r="D93" s="15">
        <v>2243.73</v>
      </c>
      <c r="E93" s="15">
        <v>2390.08</v>
      </c>
      <c r="F93" s="15">
        <f t="shared" si="3"/>
        <v>146.34999999999991</v>
      </c>
      <c r="G93" s="28">
        <f t="shared" si="4"/>
        <v>6.5226208144473677E-2</v>
      </c>
      <c r="H93" s="13" t="str">
        <f t="shared" si="5"/>
        <v>Slightly Over</v>
      </c>
    </row>
    <row r="94" spans="1:8" x14ac:dyDescent="0.25">
      <c r="A94" s="11">
        <v>45323</v>
      </c>
      <c r="B94" s="10" t="s">
        <v>1786</v>
      </c>
      <c r="C94" s="10" t="s">
        <v>1797</v>
      </c>
      <c r="D94" s="12">
        <v>4190.8100000000004</v>
      </c>
      <c r="E94" s="12">
        <v>4570.47</v>
      </c>
      <c r="F94" s="12">
        <f t="shared" si="3"/>
        <v>379.65999999999985</v>
      </c>
      <c r="G94" s="27">
        <f t="shared" si="4"/>
        <v>9.0593465225099645E-2</v>
      </c>
      <c r="H94" s="10" t="str">
        <f t="shared" si="5"/>
        <v>Slightly Over</v>
      </c>
    </row>
    <row r="95" spans="1:8" x14ac:dyDescent="0.25">
      <c r="A95" s="14">
        <v>45323</v>
      </c>
      <c r="B95" s="13" t="s">
        <v>1792</v>
      </c>
      <c r="C95" s="13" t="s">
        <v>1786</v>
      </c>
      <c r="D95" s="15">
        <v>15986.62</v>
      </c>
      <c r="E95" s="15">
        <v>15524.82</v>
      </c>
      <c r="F95" s="15">
        <f t="shared" si="3"/>
        <v>-461.80000000000109</v>
      </c>
      <c r="G95" s="28">
        <f t="shared" si="4"/>
        <v>-2.8886656466470151E-2</v>
      </c>
      <c r="H95" s="13" t="str">
        <f t="shared" si="5"/>
        <v>Under Budget</v>
      </c>
    </row>
    <row r="96" spans="1:8" x14ac:dyDescent="0.25">
      <c r="A96" s="11">
        <v>45323</v>
      </c>
      <c r="B96" s="10" t="s">
        <v>1774</v>
      </c>
      <c r="C96" s="10" t="s">
        <v>1783</v>
      </c>
      <c r="D96" s="12">
        <v>13192.28</v>
      </c>
      <c r="E96" s="12">
        <v>14571.65</v>
      </c>
      <c r="F96" s="12">
        <f t="shared" si="3"/>
        <v>1379.369999999999</v>
      </c>
      <c r="G96" s="27">
        <f t="shared" si="4"/>
        <v>0.10455887837432187</v>
      </c>
      <c r="H96" s="10" t="str">
        <f t="shared" si="5"/>
        <v>Slightly Over</v>
      </c>
    </row>
    <row r="97" spans="1:8" x14ac:dyDescent="0.25">
      <c r="A97" s="14">
        <v>45323</v>
      </c>
      <c r="B97" s="13" t="s">
        <v>1792</v>
      </c>
      <c r="C97" s="13" t="s">
        <v>1783</v>
      </c>
      <c r="D97" s="15">
        <v>14156.47</v>
      </c>
      <c r="E97" s="15">
        <v>15064.96</v>
      </c>
      <c r="F97" s="15">
        <f t="shared" si="3"/>
        <v>908.48999999999978</v>
      </c>
      <c r="G97" s="28">
        <f t="shared" si="4"/>
        <v>6.4174896708006995E-2</v>
      </c>
      <c r="H97" s="13" t="str">
        <f t="shared" si="5"/>
        <v>Slightly Over</v>
      </c>
    </row>
    <row r="98" spans="1:8" x14ac:dyDescent="0.25">
      <c r="A98" s="11">
        <v>45323</v>
      </c>
      <c r="B98" s="10" t="s">
        <v>1877</v>
      </c>
      <c r="C98" s="10" t="s">
        <v>1775</v>
      </c>
      <c r="D98" s="12">
        <v>76097.850000000006</v>
      </c>
      <c r="E98" s="12">
        <v>73390.759999999995</v>
      </c>
      <c r="F98" s="12">
        <f t="shared" si="3"/>
        <v>-2707.0900000000111</v>
      </c>
      <c r="G98" s="27">
        <f t="shared" si="4"/>
        <v>-3.5573803990520243E-2</v>
      </c>
      <c r="H98" s="10" t="str">
        <f t="shared" si="5"/>
        <v>Under Budget</v>
      </c>
    </row>
    <row r="99" spans="1:8" x14ac:dyDescent="0.25">
      <c r="A99" s="14">
        <v>45323</v>
      </c>
      <c r="B99" s="13" t="s">
        <v>1862</v>
      </c>
      <c r="C99" s="13" t="s">
        <v>1783</v>
      </c>
      <c r="D99" s="15">
        <v>8004.88</v>
      </c>
      <c r="E99" s="15">
        <v>7659.49</v>
      </c>
      <c r="F99" s="15">
        <f t="shared" si="3"/>
        <v>-345.39000000000033</v>
      </c>
      <c r="G99" s="28">
        <f t="shared" si="4"/>
        <v>-4.3147430067658768E-2</v>
      </c>
      <c r="H99" s="13" t="str">
        <f t="shared" si="5"/>
        <v>Under Budget</v>
      </c>
    </row>
    <row r="100" spans="1:8" x14ac:dyDescent="0.25">
      <c r="A100" s="11">
        <v>45323</v>
      </c>
      <c r="B100" s="10" t="s">
        <v>1799</v>
      </c>
      <c r="C100" s="10" t="s">
        <v>1797</v>
      </c>
      <c r="D100" s="12">
        <v>2719.95</v>
      </c>
      <c r="E100" s="12">
        <v>2686.92</v>
      </c>
      <c r="F100" s="12">
        <f t="shared" si="3"/>
        <v>-33.029999999999745</v>
      </c>
      <c r="G100" s="27">
        <f t="shared" si="4"/>
        <v>-1.2143605580984852E-2</v>
      </c>
      <c r="H100" s="10" t="str">
        <f t="shared" si="5"/>
        <v>Under Budget</v>
      </c>
    </row>
    <row r="101" spans="1:8" x14ac:dyDescent="0.25">
      <c r="A101" s="14">
        <v>45323</v>
      </c>
      <c r="B101" s="13" t="s">
        <v>1799</v>
      </c>
      <c r="C101" s="13" t="s">
        <v>1792</v>
      </c>
      <c r="D101" s="15">
        <v>7486.16</v>
      </c>
      <c r="E101" s="15">
        <v>7604.61</v>
      </c>
      <c r="F101" s="15">
        <f t="shared" si="3"/>
        <v>118.44999999999982</v>
      </c>
      <c r="G101" s="28">
        <f t="shared" si="4"/>
        <v>1.5822531177532916E-2</v>
      </c>
      <c r="H101" s="13" t="str">
        <f t="shared" si="5"/>
        <v>Within Budget</v>
      </c>
    </row>
    <row r="102" spans="1:8" x14ac:dyDescent="0.25">
      <c r="A102" s="11">
        <v>45323</v>
      </c>
      <c r="B102" s="10" t="s">
        <v>1792</v>
      </c>
      <c r="C102" s="10" t="s">
        <v>1775</v>
      </c>
      <c r="D102" s="12">
        <v>101716.32</v>
      </c>
      <c r="E102" s="12">
        <v>99065</v>
      </c>
      <c r="F102" s="12">
        <f t="shared" si="3"/>
        <v>-2651.320000000007</v>
      </c>
      <c r="G102" s="27">
        <f t="shared" si="4"/>
        <v>-2.6065826998066848E-2</v>
      </c>
      <c r="H102" s="10" t="str">
        <f t="shared" si="5"/>
        <v>Under Budget</v>
      </c>
    </row>
    <row r="103" spans="1:8" x14ac:dyDescent="0.25">
      <c r="A103" s="14">
        <v>45323</v>
      </c>
      <c r="B103" s="13" t="s">
        <v>1792</v>
      </c>
      <c r="C103" s="13" t="s">
        <v>1795</v>
      </c>
      <c r="D103" s="15">
        <v>5892.63</v>
      </c>
      <c r="E103" s="15">
        <v>5657.59</v>
      </c>
      <c r="F103" s="15">
        <f t="shared" si="3"/>
        <v>-235.03999999999996</v>
      </c>
      <c r="G103" s="28">
        <f t="shared" si="4"/>
        <v>-3.9887113224485495E-2</v>
      </c>
      <c r="H103" s="13" t="str">
        <f t="shared" si="5"/>
        <v>Under Budget</v>
      </c>
    </row>
    <row r="104" spans="1:8" x14ac:dyDescent="0.25">
      <c r="A104" s="11">
        <v>45323</v>
      </c>
      <c r="B104" s="10" t="s">
        <v>1774</v>
      </c>
      <c r="C104" s="10" t="s">
        <v>1786</v>
      </c>
      <c r="D104" s="12">
        <v>20890.93</v>
      </c>
      <c r="E104" s="12">
        <v>19401.55</v>
      </c>
      <c r="F104" s="12">
        <f t="shared" si="3"/>
        <v>-1489.380000000001</v>
      </c>
      <c r="G104" s="27">
        <f t="shared" si="4"/>
        <v>-7.129314013306258E-2</v>
      </c>
      <c r="H104" s="10" t="str">
        <f t="shared" si="5"/>
        <v>Under Budget</v>
      </c>
    </row>
    <row r="105" spans="1:8" x14ac:dyDescent="0.25">
      <c r="A105" s="14">
        <v>45323</v>
      </c>
      <c r="B105" s="13" t="s">
        <v>1818</v>
      </c>
      <c r="C105" s="13" t="s">
        <v>1792</v>
      </c>
      <c r="D105" s="15">
        <v>7291.05</v>
      </c>
      <c r="E105" s="15">
        <v>6786.13</v>
      </c>
      <c r="F105" s="15">
        <f t="shared" si="3"/>
        <v>-504.92000000000007</v>
      </c>
      <c r="G105" s="28">
        <f t="shared" si="4"/>
        <v>-6.925202817152537E-2</v>
      </c>
      <c r="H105" s="13" t="str">
        <f t="shared" si="5"/>
        <v>Under Budget</v>
      </c>
    </row>
    <row r="106" spans="1:8" x14ac:dyDescent="0.25">
      <c r="A106" s="11">
        <v>45323</v>
      </c>
      <c r="B106" s="10" t="s">
        <v>1818</v>
      </c>
      <c r="C106" s="10" t="s">
        <v>1783</v>
      </c>
      <c r="D106" s="12">
        <v>6479.95</v>
      </c>
      <c r="E106" s="12">
        <v>6193.46</v>
      </c>
      <c r="F106" s="12">
        <f t="shared" si="3"/>
        <v>-286.48999999999978</v>
      </c>
      <c r="G106" s="27">
        <f t="shared" si="4"/>
        <v>-4.4211760893216739E-2</v>
      </c>
      <c r="H106" s="10" t="str">
        <f t="shared" si="5"/>
        <v>Under Budget</v>
      </c>
    </row>
    <row r="107" spans="1:8" x14ac:dyDescent="0.25">
      <c r="A107" s="14">
        <v>45323</v>
      </c>
      <c r="B107" s="13" t="s">
        <v>1786</v>
      </c>
      <c r="C107" s="13" t="s">
        <v>1792</v>
      </c>
      <c r="D107" s="15">
        <v>11761.31</v>
      </c>
      <c r="E107" s="15">
        <v>10723.97</v>
      </c>
      <c r="F107" s="15">
        <f t="shared" si="3"/>
        <v>-1037.3400000000001</v>
      </c>
      <c r="G107" s="28">
        <f t="shared" si="4"/>
        <v>-8.8199358744901729E-2</v>
      </c>
      <c r="H107" s="13" t="str">
        <f t="shared" si="5"/>
        <v>Under Budget</v>
      </c>
    </row>
    <row r="108" spans="1:8" x14ac:dyDescent="0.25">
      <c r="A108" s="11">
        <v>45323</v>
      </c>
      <c r="B108" s="10" t="s">
        <v>1792</v>
      </c>
      <c r="C108" s="10" t="s">
        <v>1789</v>
      </c>
      <c r="D108" s="12">
        <v>8458</v>
      </c>
      <c r="E108" s="12">
        <v>7799.95</v>
      </c>
      <c r="F108" s="12">
        <f t="shared" si="3"/>
        <v>-658.05000000000018</v>
      </c>
      <c r="G108" s="27">
        <f t="shared" si="4"/>
        <v>-7.7802080870182103E-2</v>
      </c>
      <c r="H108" s="10" t="str">
        <f t="shared" si="5"/>
        <v>Under Budget</v>
      </c>
    </row>
    <row r="109" spans="1:8" x14ac:dyDescent="0.25">
      <c r="A109" s="14">
        <v>45323</v>
      </c>
      <c r="B109" s="13" t="s">
        <v>1877</v>
      </c>
      <c r="C109" s="13" t="s">
        <v>1797</v>
      </c>
      <c r="D109" s="15">
        <v>4009.08</v>
      </c>
      <c r="E109" s="15">
        <v>4314.0200000000004</v>
      </c>
      <c r="F109" s="15">
        <f t="shared" si="3"/>
        <v>304.94000000000051</v>
      </c>
      <c r="G109" s="28">
        <f t="shared" si="4"/>
        <v>7.6062338491624137E-2</v>
      </c>
      <c r="H109" s="13" t="str">
        <f t="shared" si="5"/>
        <v>Slightly Over</v>
      </c>
    </row>
    <row r="110" spans="1:8" x14ac:dyDescent="0.25">
      <c r="A110" s="11">
        <v>45323</v>
      </c>
      <c r="B110" s="10" t="s">
        <v>1877</v>
      </c>
      <c r="C110" s="10" t="s">
        <v>1795</v>
      </c>
      <c r="D110" s="12">
        <v>4576.2</v>
      </c>
      <c r="E110" s="12">
        <v>4120.96</v>
      </c>
      <c r="F110" s="12">
        <f t="shared" si="3"/>
        <v>-455.23999999999978</v>
      </c>
      <c r="G110" s="27">
        <f t="shared" si="4"/>
        <v>-9.947991783575888E-2</v>
      </c>
      <c r="H110" s="10" t="str">
        <f t="shared" si="5"/>
        <v>Under Budget</v>
      </c>
    </row>
    <row r="111" spans="1:8" x14ac:dyDescent="0.25">
      <c r="A111" s="14">
        <v>45323</v>
      </c>
      <c r="B111" s="13" t="s">
        <v>1862</v>
      </c>
      <c r="C111" s="13" t="s">
        <v>1789</v>
      </c>
      <c r="D111" s="15">
        <v>5069.97</v>
      </c>
      <c r="E111" s="15">
        <v>4625.1099999999997</v>
      </c>
      <c r="F111" s="15">
        <f t="shared" si="3"/>
        <v>-444.86000000000058</v>
      </c>
      <c r="G111" s="28">
        <f t="shared" si="4"/>
        <v>-8.7744108939500742E-2</v>
      </c>
      <c r="H111" s="13" t="str">
        <f t="shared" si="5"/>
        <v>Under Budget</v>
      </c>
    </row>
    <row r="112" spans="1:8" x14ac:dyDescent="0.25">
      <c r="A112" s="11">
        <v>45323</v>
      </c>
      <c r="B112" s="10" t="s">
        <v>1818</v>
      </c>
      <c r="C112" s="10" t="s">
        <v>1789</v>
      </c>
      <c r="D112" s="12">
        <v>3649.5</v>
      </c>
      <c r="E112" s="12">
        <v>3760.03</v>
      </c>
      <c r="F112" s="12">
        <f t="shared" si="3"/>
        <v>110.5300000000002</v>
      </c>
      <c r="G112" s="27">
        <f t="shared" si="4"/>
        <v>3.0286340594602053E-2</v>
      </c>
      <c r="H112" s="10" t="str">
        <f t="shared" si="5"/>
        <v>Within Budget</v>
      </c>
    </row>
    <row r="113" spans="1:8" x14ac:dyDescent="0.25">
      <c r="A113" s="14">
        <v>45323</v>
      </c>
      <c r="B113" s="13" t="s">
        <v>1799</v>
      </c>
      <c r="C113" s="13" t="s">
        <v>1778</v>
      </c>
      <c r="D113" s="15">
        <v>7984.65</v>
      </c>
      <c r="E113" s="15">
        <v>8828.2800000000007</v>
      </c>
      <c r="F113" s="15">
        <f t="shared" si="3"/>
        <v>843.63000000000102</v>
      </c>
      <c r="G113" s="28">
        <f t="shared" si="4"/>
        <v>0.10565647836786848</v>
      </c>
      <c r="H113" s="13" t="str">
        <f t="shared" si="5"/>
        <v>Slightly Over</v>
      </c>
    </row>
    <row r="114" spans="1:8" x14ac:dyDescent="0.25">
      <c r="A114" s="11">
        <v>45323</v>
      </c>
      <c r="B114" s="10" t="s">
        <v>1792</v>
      </c>
      <c r="C114" s="10" t="s">
        <v>1797</v>
      </c>
      <c r="D114" s="12">
        <v>5345.07</v>
      </c>
      <c r="E114" s="12">
        <v>5174.95</v>
      </c>
      <c r="F114" s="12">
        <f t="shared" si="3"/>
        <v>-170.11999999999989</v>
      </c>
      <c r="G114" s="27">
        <f t="shared" si="4"/>
        <v>-3.1827459696505356E-2</v>
      </c>
      <c r="H114" s="10" t="str">
        <f t="shared" si="5"/>
        <v>Under Budget</v>
      </c>
    </row>
    <row r="115" spans="1:8" x14ac:dyDescent="0.25">
      <c r="A115" s="14">
        <v>45323</v>
      </c>
      <c r="B115" s="13" t="s">
        <v>1862</v>
      </c>
      <c r="C115" s="13" t="s">
        <v>1797</v>
      </c>
      <c r="D115" s="15">
        <v>3144.01</v>
      </c>
      <c r="E115" s="15">
        <v>3155.21</v>
      </c>
      <c r="F115" s="15">
        <f t="shared" si="3"/>
        <v>11.199999999999818</v>
      </c>
      <c r="G115" s="28">
        <f t="shared" si="4"/>
        <v>3.5623296363560602E-3</v>
      </c>
      <c r="H115" s="13" t="str">
        <f t="shared" si="5"/>
        <v>Within Budget</v>
      </c>
    </row>
    <row r="116" spans="1:8" x14ac:dyDescent="0.25">
      <c r="A116" s="11">
        <v>45323</v>
      </c>
      <c r="B116" s="10" t="s">
        <v>1774</v>
      </c>
      <c r="C116" s="10" t="s">
        <v>1789</v>
      </c>
      <c r="D116" s="12">
        <v>11479.95</v>
      </c>
      <c r="E116" s="12">
        <v>10780.26</v>
      </c>
      <c r="F116" s="12">
        <f t="shared" si="3"/>
        <v>-699.69000000000051</v>
      </c>
      <c r="G116" s="27">
        <f t="shared" si="4"/>
        <v>-6.0948871728535442E-2</v>
      </c>
      <c r="H116" s="10" t="str">
        <f t="shared" si="5"/>
        <v>Under Budget</v>
      </c>
    </row>
    <row r="117" spans="1:8" x14ac:dyDescent="0.25">
      <c r="A117" s="14">
        <v>45323</v>
      </c>
      <c r="B117" s="13" t="s">
        <v>1786</v>
      </c>
      <c r="C117" s="13" t="s">
        <v>1780</v>
      </c>
      <c r="D117" s="15">
        <v>7710.54</v>
      </c>
      <c r="E117" s="15">
        <v>7593.51</v>
      </c>
      <c r="F117" s="15">
        <f t="shared" si="3"/>
        <v>-117.02999999999975</v>
      </c>
      <c r="G117" s="28">
        <f t="shared" si="4"/>
        <v>-1.5177925281497761E-2</v>
      </c>
      <c r="H117" s="13" t="str">
        <f t="shared" si="5"/>
        <v>Under Budget</v>
      </c>
    </row>
    <row r="118" spans="1:8" x14ac:dyDescent="0.25">
      <c r="A118" s="11">
        <v>45323</v>
      </c>
      <c r="B118" s="10" t="s">
        <v>1877</v>
      </c>
      <c r="C118" s="10" t="s">
        <v>1786</v>
      </c>
      <c r="D118" s="12">
        <v>8993.2999999999993</v>
      </c>
      <c r="E118" s="12">
        <v>9809.15</v>
      </c>
      <c r="F118" s="12">
        <f t="shared" si="3"/>
        <v>815.85000000000036</v>
      </c>
      <c r="G118" s="27">
        <f t="shared" si="4"/>
        <v>9.0717534164322378E-2</v>
      </c>
      <c r="H118" s="10" t="str">
        <f t="shared" si="5"/>
        <v>Slightly Over</v>
      </c>
    </row>
    <row r="119" spans="1:8" x14ac:dyDescent="0.25">
      <c r="A119" s="14">
        <v>45323</v>
      </c>
      <c r="B119" s="13" t="s">
        <v>1786</v>
      </c>
      <c r="C119" s="13" t="s">
        <v>1789</v>
      </c>
      <c r="D119" s="15">
        <v>7063.33</v>
      </c>
      <c r="E119" s="15">
        <v>7405.22</v>
      </c>
      <c r="F119" s="15">
        <f t="shared" si="3"/>
        <v>341.89000000000033</v>
      </c>
      <c r="G119" s="28">
        <f t="shared" si="4"/>
        <v>4.8403515055929755E-2</v>
      </c>
      <c r="H119" s="13" t="str">
        <f t="shared" si="5"/>
        <v>Within Budget</v>
      </c>
    </row>
    <row r="120" spans="1:8" x14ac:dyDescent="0.25">
      <c r="A120" s="11">
        <v>45323</v>
      </c>
      <c r="B120" s="10" t="s">
        <v>1862</v>
      </c>
      <c r="C120" s="10" t="s">
        <v>1775</v>
      </c>
      <c r="D120" s="12">
        <v>47081.58</v>
      </c>
      <c r="E120" s="12">
        <v>43030.07</v>
      </c>
      <c r="F120" s="12">
        <f t="shared" si="3"/>
        <v>-4051.510000000002</v>
      </c>
      <c r="G120" s="27">
        <f t="shared" si="4"/>
        <v>-8.605297443288866E-2</v>
      </c>
      <c r="H120" s="10" t="str">
        <f t="shared" si="5"/>
        <v>Under Budget</v>
      </c>
    </row>
    <row r="121" spans="1:8" x14ac:dyDescent="0.25">
      <c r="A121" s="14">
        <v>45323</v>
      </c>
      <c r="B121" s="13" t="s">
        <v>1862</v>
      </c>
      <c r="C121" s="13" t="s">
        <v>1780</v>
      </c>
      <c r="D121" s="15">
        <v>4758.59</v>
      </c>
      <c r="E121" s="15">
        <v>5239.05</v>
      </c>
      <c r="F121" s="15">
        <f t="shared" si="3"/>
        <v>480.46000000000004</v>
      </c>
      <c r="G121" s="28">
        <f t="shared" si="4"/>
        <v>0.10096688304728922</v>
      </c>
      <c r="H121" s="13" t="str">
        <f t="shared" si="5"/>
        <v>Slightly Over</v>
      </c>
    </row>
    <row r="122" spans="1:8" x14ac:dyDescent="0.25">
      <c r="A122" s="11">
        <v>45323</v>
      </c>
      <c r="B122" s="10" t="s">
        <v>1799</v>
      </c>
      <c r="C122" s="10" t="s">
        <v>1789</v>
      </c>
      <c r="D122" s="12">
        <v>4954.47</v>
      </c>
      <c r="E122" s="12">
        <v>4664.93</v>
      </c>
      <c r="F122" s="12">
        <f t="shared" si="3"/>
        <v>-289.53999999999996</v>
      </c>
      <c r="G122" s="27">
        <f t="shared" si="4"/>
        <v>-5.8440156061092298E-2</v>
      </c>
      <c r="H122" s="10" t="str">
        <f t="shared" si="5"/>
        <v>Under Budget</v>
      </c>
    </row>
    <row r="123" spans="1:8" x14ac:dyDescent="0.25">
      <c r="A123" s="14">
        <v>45323</v>
      </c>
      <c r="B123" s="13" t="s">
        <v>1774</v>
      </c>
      <c r="C123" s="13" t="s">
        <v>1795</v>
      </c>
      <c r="D123" s="15">
        <v>6180.11</v>
      </c>
      <c r="E123" s="15">
        <v>6409.39</v>
      </c>
      <c r="F123" s="15">
        <f t="shared" si="3"/>
        <v>229.28000000000065</v>
      </c>
      <c r="G123" s="28">
        <f t="shared" si="4"/>
        <v>3.709966327460202E-2</v>
      </c>
      <c r="H123" s="13" t="str">
        <f t="shared" si="5"/>
        <v>Within Budget</v>
      </c>
    </row>
    <row r="124" spans="1:8" x14ac:dyDescent="0.25">
      <c r="A124" s="11">
        <v>45323</v>
      </c>
      <c r="B124" s="10" t="s">
        <v>1799</v>
      </c>
      <c r="C124" s="10" t="s">
        <v>1775</v>
      </c>
      <c r="D124" s="12">
        <v>54199.15</v>
      </c>
      <c r="E124" s="12">
        <v>54221.88</v>
      </c>
      <c r="F124" s="12">
        <f t="shared" si="3"/>
        <v>22.729999999995925</v>
      </c>
      <c r="G124" s="27">
        <f t="shared" si="4"/>
        <v>4.1937927070804479E-4</v>
      </c>
      <c r="H124" s="10" t="str">
        <f t="shared" si="5"/>
        <v>Within Budget</v>
      </c>
    </row>
    <row r="125" spans="1:8" x14ac:dyDescent="0.25">
      <c r="A125" s="14">
        <v>45323</v>
      </c>
      <c r="B125" s="13" t="s">
        <v>1786</v>
      </c>
      <c r="C125" s="13" t="s">
        <v>1775</v>
      </c>
      <c r="D125" s="15">
        <v>78957.990000000005</v>
      </c>
      <c r="E125" s="15">
        <v>77651.789999999994</v>
      </c>
      <c r="F125" s="15">
        <f t="shared" si="3"/>
        <v>-1306.2000000000116</v>
      </c>
      <c r="G125" s="28">
        <f t="shared" si="4"/>
        <v>-1.6542974308236716E-2</v>
      </c>
      <c r="H125" s="13" t="str">
        <f t="shared" si="5"/>
        <v>Under Budget</v>
      </c>
    </row>
    <row r="126" spans="1:8" x14ac:dyDescent="0.25">
      <c r="A126" s="11">
        <v>45323</v>
      </c>
      <c r="B126" s="10" t="s">
        <v>1818</v>
      </c>
      <c r="C126" s="10" t="s">
        <v>1797</v>
      </c>
      <c r="D126" s="12">
        <v>2477.73</v>
      </c>
      <c r="E126" s="12">
        <v>2594.4299999999998</v>
      </c>
      <c r="F126" s="12">
        <f t="shared" si="3"/>
        <v>116.69999999999982</v>
      </c>
      <c r="G126" s="27">
        <f t="shared" si="4"/>
        <v>4.7099562906369873E-2</v>
      </c>
      <c r="H126" s="10" t="str">
        <f t="shared" si="5"/>
        <v>Within Budget</v>
      </c>
    </row>
    <row r="127" spans="1:8" x14ac:dyDescent="0.25">
      <c r="A127" s="14">
        <v>45323</v>
      </c>
      <c r="B127" s="13" t="s">
        <v>1792</v>
      </c>
      <c r="C127" s="13" t="s">
        <v>1780</v>
      </c>
      <c r="D127" s="15">
        <v>10422.14</v>
      </c>
      <c r="E127" s="15">
        <v>9988.33</v>
      </c>
      <c r="F127" s="15">
        <f t="shared" si="3"/>
        <v>-433.80999999999949</v>
      </c>
      <c r="G127" s="28">
        <f t="shared" si="4"/>
        <v>-4.1623889143688295E-2</v>
      </c>
      <c r="H127" s="13" t="str">
        <f t="shared" si="5"/>
        <v>Under Budget</v>
      </c>
    </row>
    <row r="128" spans="1:8" x14ac:dyDescent="0.25">
      <c r="A128" s="11">
        <v>45352</v>
      </c>
      <c r="B128" s="10" t="s">
        <v>1792</v>
      </c>
      <c r="C128" s="10" t="s">
        <v>1792</v>
      </c>
      <c r="D128" s="12">
        <v>17755.599999999999</v>
      </c>
      <c r="E128" s="12">
        <v>16869.009999999998</v>
      </c>
      <c r="F128" s="12">
        <f t="shared" si="3"/>
        <v>-886.59000000000015</v>
      </c>
      <c r="G128" s="27">
        <f t="shared" si="4"/>
        <v>-4.993297889116674E-2</v>
      </c>
      <c r="H128" s="10" t="str">
        <f t="shared" si="5"/>
        <v>Under Budget</v>
      </c>
    </row>
    <row r="129" spans="1:8" x14ac:dyDescent="0.25">
      <c r="A129" s="14">
        <v>45352</v>
      </c>
      <c r="B129" s="13" t="s">
        <v>1877</v>
      </c>
      <c r="C129" s="13" t="s">
        <v>1775</v>
      </c>
      <c r="D129" s="15">
        <v>71569.649999999994</v>
      </c>
      <c r="E129" s="15">
        <v>77902.070000000007</v>
      </c>
      <c r="F129" s="15">
        <f t="shared" si="3"/>
        <v>6332.4200000000128</v>
      </c>
      <c r="G129" s="28">
        <f t="shared" si="4"/>
        <v>8.8479124880448817E-2</v>
      </c>
      <c r="H129" s="13" t="str">
        <f t="shared" si="5"/>
        <v>Slightly Over</v>
      </c>
    </row>
    <row r="130" spans="1:8" x14ac:dyDescent="0.25">
      <c r="A130" s="11">
        <v>45352</v>
      </c>
      <c r="B130" s="10" t="s">
        <v>1818</v>
      </c>
      <c r="C130" s="10" t="s">
        <v>1789</v>
      </c>
      <c r="D130" s="12">
        <v>3785.38</v>
      </c>
      <c r="E130" s="12">
        <v>3853.73</v>
      </c>
      <c r="F130" s="12">
        <f t="shared" ref="F130:F193" si="6">E130-D130</f>
        <v>68.349999999999909</v>
      </c>
      <c r="G130" s="27">
        <f t="shared" ref="G130:G193" si="7">IFERROR(F130/D130,0)</f>
        <v>1.8056311387496079E-2</v>
      </c>
      <c r="H130" s="10" t="str">
        <f t="shared" ref="H130:H193" si="8">IF(G130&lt;=0,"Under Budget",IF(G130&lt;=5%,"Within Budget",IF(G130&lt;=15%,"Slightly Over","Significantly Over")))</f>
        <v>Within Budget</v>
      </c>
    </row>
    <row r="131" spans="1:8" x14ac:dyDescent="0.25">
      <c r="A131" s="14">
        <v>45352</v>
      </c>
      <c r="B131" s="13" t="s">
        <v>1786</v>
      </c>
      <c r="C131" s="13" t="s">
        <v>1789</v>
      </c>
      <c r="D131" s="15">
        <v>8814.49</v>
      </c>
      <c r="E131" s="15">
        <v>8286.14</v>
      </c>
      <c r="F131" s="15">
        <f t="shared" si="6"/>
        <v>-528.35000000000036</v>
      </c>
      <c r="G131" s="28">
        <f t="shared" si="7"/>
        <v>-5.9941074299250482E-2</v>
      </c>
      <c r="H131" s="13" t="str">
        <f t="shared" si="8"/>
        <v>Under Budget</v>
      </c>
    </row>
    <row r="132" spans="1:8" x14ac:dyDescent="0.25">
      <c r="A132" s="11">
        <v>45352</v>
      </c>
      <c r="B132" s="10" t="s">
        <v>1786</v>
      </c>
      <c r="C132" s="10" t="s">
        <v>1780</v>
      </c>
      <c r="D132" s="12">
        <v>7767.17</v>
      </c>
      <c r="E132" s="12">
        <v>7336.1</v>
      </c>
      <c r="F132" s="12">
        <f t="shared" si="6"/>
        <v>-431.06999999999971</v>
      </c>
      <c r="G132" s="27">
        <f t="shared" si="7"/>
        <v>-5.5498978392387405E-2</v>
      </c>
      <c r="H132" s="10" t="str">
        <f t="shared" si="8"/>
        <v>Under Budget</v>
      </c>
    </row>
    <row r="133" spans="1:8" x14ac:dyDescent="0.25">
      <c r="A133" s="14">
        <v>45352</v>
      </c>
      <c r="B133" s="13" t="s">
        <v>1877</v>
      </c>
      <c r="C133" s="13" t="s">
        <v>1792</v>
      </c>
      <c r="D133" s="15">
        <v>9980.9599999999991</v>
      </c>
      <c r="E133" s="15">
        <v>9787.0499999999993</v>
      </c>
      <c r="F133" s="15">
        <f t="shared" si="6"/>
        <v>-193.90999999999985</v>
      </c>
      <c r="G133" s="28">
        <f t="shared" si="7"/>
        <v>-1.9427990894663426E-2</v>
      </c>
      <c r="H133" s="13" t="str">
        <f t="shared" si="8"/>
        <v>Under Budget</v>
      </c>
    </row>
    <row r="134" spans="1:8" x14ac:dyDescent="0.25">
      <c r="A134" s="11">
        <v>45352</v>
      </c>
      <c r="B134" s="10" t="s">
        <v>1877</v>
      </c>
      <c r="C134" s="10" t="s">
        <v>1778</v>
      </c>
      <c r="D134" s="12">
        <v>17683.55</v>
      </c>
      <c r="E134" s="12">
        <v>16509.89</v>
      </c>
      <c r="F134" s="12">
        <f t="shared" si="6"/>
        <v>-1173.6599999999999</v>
      </c>
      <c r="G134" s="27">
        <f t="shared" si="7"/>
        <v>-6.6370157575826122E-2</v>
      </c>
      <c r="H134" s="10" t="str">
        <f t="shared" si="8"/>
        <v>Under Budget</v>
      </c>
    </row>
    <row r="135" spans="1:8" x14ac:dyDescent="0.25">
      <c r="A135" s="14">
        <v>45352</v>
      </c>
      <c r="B135" s="13" t="s">
        <v>1799</v>
      </c>
      <c r="C135" s="13" t="s">
        <v>1783</v>
      </c>
      <c r="D135" s="15">
        <v>6327.42</v>
      </c>
      <c r="E135" s="15">
        <v>6850.22</v>
      </c>
      <c r="F135" s="15">
        <f t="shared" si="6"/>
        <v>522.80000000000018</v>
      </c>
      <c r="G135" s="28">
        <f t="shared" si="7"/>
        <v>8.2624513624826576E-2</v>
      </c>
      <c r="H135" s="13" t="str">
        <f t="shared" si="8"/>
        <v>Slightly Over</v>
      </c>
    </row>
    <row r="136" spans="1:8" x14ac:dyDescent="0.25">
      <c r="A136" s="11">
        <v>45352</v>
      </c>
      <c r="B136" s="10" t="s">
        <v>1774</v>
      </c>
      <c r="C136" s="10" t="s">
        <v>1792</v>
      </c>
      <c r="D136" s="12">
        <v>16282.08</v>
      </c>
      <c r="E136" s="12">
        <v>17583.12</v>
      </c>
      <c r="F136" s="12">
        <f t="shared" si="6"/>
        <v>1301.0399999999991</v>
      </c>
      <c r="G136" s="27">
        <f t="shared" si="7"/>
        <v>7.9906252763774596E-2</v>
      </c>
      <c r="H136" s="10" t="str">
        <f t="shared" si="8"/>
        <v>Slightly Over</v>
      </c>
    </row>
    <row r="137" spans="1:8" x14ac:dyDescent="0.25">
      <c r="A137" s="14">
        <v>45352</v>
      </c>
      <c r="B137" s="13" t="s">
        <v>1774</v>
      </c>
      <c r="C137" s="13" t="s">
        <v>1778</v>
      </c>
      <c r="D137" s="15">
        <v>23304.57</v>
      </c>
      <c r="E137" s="15">
        <v>22308.55</v>
      </c>
      <c r="F137" s="15">
        <f t="shared" si="6"/>
        <v>-996.02000000000044</v>
      </c>
      <c r="G137" s="28">
        <f t="shared" si="7"/>
        <v>-4.2739256720892099E-2</v>
      </c>
      <c r="H137" s="13" t="str">
        <f t="shared" si="8"/>
        <v>Under Budget</v>
      </c>
    </row>
    <row r="138" spans="1:8" x14ac:dyDescent="0.25">
      <c r="A138" s="11">
        <v>45352</v>
      </c>
      <c r="B138" s="10" t="s">
        <v>1818</v>
      </c>
      <c r="C138" s="10" t="s">
        <v>1795</v>
      </c>
      <c r="D138" s="12">
        <v>2805.98</v>
      </c>
      <c r="E138" s="12">
        <v>2665.93</v>
      </c>
      <c r="F138" s="12">
        <f t="shared" si="6"/>
        <v>-140.05000000000018</v>
      </c>
      <c r="G138" s="27">
        <f t="shared" si="7"/>
        <v>-4.9911260949828645E-2</v>
      </c>
      <c r="H138" s="10" t="str">
        <f t="shared" si="8"/>
        <v>Under Budget</v>
      </c>
    </row>
    <row r="139" spans="1:8" x14ac:dyDescent="0.25">
      <c r="A139" s="14">
        <v>45352</v>
      </c>
      <c r="B139" s="13" t="s">
        <v>1877</v>
      </c>
      <c r="C139" s="13" t="s">
        <v>1797</v>
      </c>
      <c r="D139" s="15">
        <v>5062.16</v>
      </c>
      <c r="E139" s="15">
        <v>4690.68</v>
      </c>
      <c r="F139" s="15">
        <f t="shared" si="6"/>
        <v>-371.47999999999956</v>
      </c>
      <c r="G139" s="28">
        <f t="shared" si="7"/>
        <v>-7.3383693917221021E-2</v>
      </c>
      <c r="H139" s="13" t="str">
        <f t="shared" si="8"/>
        <v>Under Budget</v>
      </c>
    </row>
    <row r="140" spans="1:8" x14ac:dyDescent="0.25">
      <c r="A140" s="11">
        <v>45352</v>
      </c>
      <c r="B140" s="10" t="s">
        <v>1818</v>
      </c>
      <c r="C140" s="10" t="s">
        <v>1780</v>
      </c>
      <c r="D140" s="12">
        <v>4170.22</v>
      </c>
      <c r="E140" s="12">
        <v>4437.22</v>
      </c>
      <c r="F140" s="12">
        <f t="shared" si="6"/>
        <v>267</v>
      </c>
      <c r="G140" s="27">
        <f t="shared" si="7"/>
        <v>6.4025399139613734E-2</v>
      </c>
      <c r="H140" s="10" t="str">
        <f t="shared" si="8"/>
        <v>Slightly Over</v>
      </c>
    </row>
    <row r="141" spans="1:8" x14ac:dyDescent="0.25">
      <c r="A141" s="14">
        <v>45352</v>
      </c>
      <c r="B141" s="13" t="s">
        <v>1786</v>
      </c>
      <c r="C141" s="13" t="s">
        <v>1775</v>
      </c>
      <c r="D141" s="15">
        <v>75080.56</v>
      </c>
      <c r="E141" s="15">
        <v>74066.61</v>
      </c>
      <c r="F141" s="15">
        <f t="shared" si="6"/>
        <v>-1013.9499999999971</v>
      </c>
      <c r="G141" s="28">
        <f t="shared" si="7"/>
        <v>-1.3504827348117769E-2</v>
      </c>
      <c r="H141" s="13" t="str">
        <f t="shared" si="8"/>
        <v>Under Budget</v>
      </c>
    </row>
    <row r="142" spans="1:8" x14ac:dyDescent="0.25">
      <c r="A142" s="11">
        <v>45352</v>
      </c>
      <c r="B142" s="10" t="s">
        <v>1792</v>
      </c>
      <c r="C142" s="10" t="s">
        <v>1797</v>
      </c>
      <c r="D142" s="12">
        <v>5835.27</v>
      </c>
      <c r="E142" s="12">
        <v>5581.95</v>
      </c>
      <c r="F142" s="12">
        <f t="shared" si="6"/>
        <v>-253.32000000000062</v>
      </c>
      <c r="G142" s="27">
        <f t="shared" si="7"/>
        <v>-4.3411872972458958E-2</v>
      </c>
      <c r="H142" s="10" t="str">
        <f t="shared" si="8"/>
        <v>Under Budget</v>
      </c>
    </row>
    <row r="143" spans="1:8" x14ac:dyDescent="0.25">
      <c r="A143" s="14">
        <v>45352</v>
      </c>
      <c r="B143" s="13" t="s">
        <v>1877</v>
      </c>
      <c r="C143" s="13" t="s">
        <v>1795</v>
      </c>
      <c r="D143" s="15">
        <v>4611.8500000000004</v>
      </c>
      <c r="E143" s="15">
        <v>4858.6000000000004</v>
      </c>
      <c r="F143" s="15">
        <f t="shared" si="6"/>
        <v>246.75</v>
      </c>
      <c r="G143" s="28">
        <f t="shared" si="7"/>
        <v>5.3503474744408419E-2</v>
      </c>
      <c r="H143" s="13" t="str">
        <f t="shared" si="8"/>
        <v>Slightly Over</v>
      </c>
    </row>
    <row r="144" spans="1:8" x14ac:dyDescent="0.25">
      <c r="A144" s="11">
        <v>45352</v>
      </c>
      <c r="B144" s="10" t="s">
        <v>1786</v>
      </c>
      <c r="C144" s="10" t="s">
        <v>1786</v>
      </c>
      <c r="D144" s="12">
        <v>13117.53</v>
      </c>
      <c r="E144" s="12">
        <v>12939.94</v>
      </c>
      <c r="F144" s="12">
        <f t="shared" si="6"/>
        <v>-177.59000000000015</v>
      </c>
      <c r="G144" s="27">
        <f t="shared" si="7"/>
        <v>-1.3538371934350457E-2</v>
      </c>
      <c r="H144" s="10" t="str">
        <f t="shared" si="8"/>
        <v>Under Budget</v>
      </c>
    </row>
    <row r="145" spans="1:8" x14ac:dyDescent="0.25">
      <c r="A145" s="14">
        <v>45352</v>
      </c>
      <c r="B145" s="13" t="s">
        <v>1792</v>
      </c>
      <c r="C145" s="13" t="s">
        <v>1775</v>
      </c>
      <c r="D145" s="15">
        <v>103529.26</v>
      </c>
      <c r="E145" s="15">
        <v>99503.55</v>
      </c>
      <c r="F145" s="15">
        <f t="shared" si="6"/>
        <v>-4025.7099999999919</v>
      </c>
      <c r="G145" s="28">
        <f t="shared" si="7"/>
        <v>-3.8884755865153407E-2</v>
      </c>
      <c r="H145" s="13" t="str">
        <f t="shared" si="8"/>
        <v>Under Budget</v>
      </c>
    </row>
    <row r="146" spans="1:8" x14ac:dyDescent="0.25">
      <c r="A146" s="11">
        <v>45352</v>
      </c>
      <c r="B146" s="10" t="s">
        <v>1862</v>
      </c>
      <c r="C146" s="10" t="s">
        <v>1775</v>
      </c>
      <c r="D146" s="12">
        <v>41486.230000000003</v>
      </c>
      <c r="E146" s="12">
        <v>43799.78</v>
      </c>
      <c r="F146" s="12">
        <f t="shared" si="6"/>
        <v>2313.5499999999956</v>
      </c>
      <c r="G146" s="27">
        <f t="shared" si="7"/>
        <v>5.5766696564136957E-2</v>
      </c>
      <c r="H146" s="10" t="str">
        <f t="shared" si="8"/>
        <v>Slightly Over</v>
      </c>
    </row>
    <row r="147" spans="1:8" x14ac:dyDescent="0.25">
      <c r="A147" s="14">
        <v>45352</v>
      </c>
      <c r="B147" s="13" t="s">
        <v>1774</v>
      </c>
      <c r="C147" s="13" t="s">
        <v>1775</v>
      </c>
      <c r="D147" s="15">
        <v>119414.55</v>
      </c>
      <c r="E147" s="15">
        <v>121526.2</v>
      </c>
      <c r="F147" s="15">
        <f t="shared" si="6"/>
        <v>2111.6499999999942</v>
      </c>
      <c r="G147" s="28">
        <f t="shared" si="7"/>
        <v>1.7683356006449751E-2</v>
      </c>
      <c r="H147" s="13" t="str">
        <f t="shared" si="8"/>
        <v>Within Budget</v>
      </c>
    </row>
    <row r="148" spans="1:8" x14ac:dyDescent="0.25">
      <c r="A148" s="11">
        <v>45352</v>
      </c>
      <c r="B148" s="10" t="s">
        <v>1877</v>
      </c>
      <c r="C148" s="10" t="s">
        <v>1780</v>
      </c>
      <c r="D148" s="12">
        <v>6149.24</v>
      </c>
      <c r="E148" s="12">
        <v>6489.32</v>
      </c>
      <c r="F148" s="12">
        <f t="shared" si="6"/>
        <v>340.07999999999993</v>
      </c>
      <c r="G148" s="27">
        <f t="shared" si="7"/>
        <v>5.5304395339911917E-2</v>
      </c>
      <c r="H148" s="10" t="str">
        <f t="shared" si="8"/>
        <v>Slightly Over</v>
      </c>
    </row>
    <row r="149" spans="1:8" x14ac:dyDescent="0.25">
      <c r="A149" s="14">
        <v>45352</v>
      </c>
      <c r="B149" s="13" t="s">
        <v>1862</v>
      </c>
      <c r="C149" s="13" t="s">
        <v>1778</v>
      </c>
      <c r="D149" s="15">
        <v>10426.299999999999</v>
      </c>
      <c r="E149" s="15">
        <v>9490.1200000000008</v>
      </c>
      <c r="F149" s="15">
        <f t="shared" si="6"/>
        <v>-936.17999999999847</v>
      </c>
      <c r="G149" s="28">
        <f t="shared" si="7"/>
        <v>-8.9790241984212857E-2</v>
      </c>
      <c r="H149" s="13" t="str">
        <f t="shared" si="8"/>
        <v>Under Budget</v>
      </c>
    </row>
    <row r="150" spans="1:8" x14ac:dyDescent="0.25">
      <c r="A150" s="11">
        <v>45352</v>
      </c>
      <c r="B150" s="10" t="s">
        <v>1818</v>
      </c>
      <c r="C150" s="10" t="s">
        <v>1783</v>
      </c>
      <c r="D150" s="12">
        <v>6579.6</v>
      </c>
      <c r="E150" s="12">
        <v>6910.65</v>
      </c>
      <c r="F150" s="12">
        <f t="shared" si="6"/>
        <v>331.04999999999927</v>
      </c>
      <c r="G150" s="27">
        <f t="shared" si="7"/>
        <v>5.031460879080784E-2</v>
      </c>
      <c r="H150" s="10" t="str">
        <f t="shared" si="8"/>
        <v>Slightly Over</v>
      </c>
    </row>
    <row r="151" spans="1:8" x14ac:dyDescent="0.25">
      <c r="A151" s="14">
        <v>45352</v>
      </c>
      <c r="B151" s="13" t="s">
        <v>1799</v>
      </c>
      <c r="C151" s="13" t="s">
        <v>1775</v>
      </c>
      <c r="D151" s="15">
        <v>47078.82</v>
      </c>
      <c r="E151" s="15">
        <v>50809.04</v>
      </c>
      <c r="F151" s="15">
        <f t="shared" si="6"/>
        <v>3730.2200000000012</v>
      </c>
      <c r="G151" s="28">
        <f t="shared" si="7"/>
        <v>7.9233506702164613E-2</v>
      </c>
      <c r="H151" s="13" t="str">
        <f t="shared" si="8"/>
        <v>Slightly Over</v>
      </c>
    </row>
    <row r="152" spans="1:8" x14ac:dyDescent="0.25">
      <c r="A152" s="11">
        <v>45352</v>
      </c>
      <c r="B152" s="10" t="s">
        <v>1774</v>
      </c>
      <c r="C152" s="10" t="s">
        <v>1780</v>
      </c>
      <c r="D152" s="12">
        <v>9336.68</v>
      </c>
      <c r="E152" s="12">
        <v>10285.700000000001</v>
      </c>
      <c r="F152" s="12">
        <f t="shared" si="6"/>
        <v>949.02000000000044</v>
      </c>
      <c r="G152" s="27">
        <f t="shared" si="7"/>
        <v>0.10164426755549086</v>
      </c>
      <c r="H152" s="10" t="str">
        <f t="shared" si="8"/>
        <v>Slightly Over</v>
      </c>
    </row>
    <row r="153" spans="1:8" x14ac:dyDescent="0.25">
      <c r="A153" s="14">
        <v>45352</v>
      </c>
      <c r="B153" s="13" t="s">
        <v>1786</v>
      </c>
      <c r="C153" s="13" t="s">
        <v>1783</v>
      </c>
      <c r="D153" s="15">
        <v>10401.41</v>
      </c>
      <c r="E153" s="15">
        <v>11431.51</v>
      </c>
      <c r="F153" s="15">
        <f t="shared" si="6"/>
        <v>1030.1000000000004</v>
      </c>
      <c r="G153" s="28">
        <f t="shared" si="7"/>
        <v>9.9034650109937061E-2</v>
      </c>
      <c r="H153" s="13" t="str">
        <f t="shared" si="8"/>
        <v>Slightly Over</v>
      </c>
    </row>
    <row r="154" spans="1:8" x14ac:dyDescent="0.25">
      <c r="A154" s="11">
        <v>45352</v>
      </c>
      <c r="B154" s="10" t="s">
        <v>1818</v>
      </c>
      <c r="C154" s="10" t="s">
        <v>1797</v>
      </c>
      <c r="D154" s="12">
        <v>2237.1799999999998</v>
      </c>
      <c r="E154" s="12">
        <v>2374.5500000000002</v>
      </c>
      <c r="F154" s="12">
        <f t="shared" si="6"/>
        <v>137.37000000000035</v>
      </c>
      <c r="G154" s="27">
        <f t="shared" si="7"/>
        <v>6.140319509382363E-2</v>
      </c>
      <c r="H154" s="10" t="str">
        <f t="shared" si="8"/>
        <v>Slightly Over</v>
      </c>
    </row>
    <row r="155" spans="1:8" x14ac:dyDescent="0.25">
      <c r="A155" s="14">
        <v>45352</v>
      </c>
      <c r="B155" s="13" t="s">
        <v>1799</v>
      </c>
      <c r="C155" s="13" t="s">
        <v>1778</v>
      </c>
      <c r="D155" s="15">
        <v>10555.31</v>
      </c>
      <c r="E155" s="15">
        <v>10210.15</v>
      </c>
      <c r="F155" s="15">
        <f t="shared" si="6"/>
        <v>-345.15999999999985</v>
      </c>
      <c r="G155" s="28">
        <f t="shared" si="7"/>
        <v>-3.270012912931973E-2</v>
      </c>
      <c r="H155" s="13" t="str">
        <f t="shared" si="8"/>
        <v>Under Budget</v>
      </c>
    </row>
    <row r="156" spans="1:8" x14ac:dyDescent="0.25">
      <c r="A156" s="11">
        <v>45352</v>
      </c>
      <c r="B156" s="10" t="s">
        <v>1786</v>
      </c>
      <c r="C156" s="10" t="s">
        <v>1778</v>
      </c>
      <c r="D156" s="12">
        <v>13013.55</v>
      </c>
      <c r="E156" s="12">
        <v>14397.38</v>
      </c>
      <c r="F156" s="12">
        <f t="shared" si="6"/>
        <v>1383.83</v>
      </c>
      <c r="G156" s="27">
        <f t="shared" si="7"/>
        <v>0.10633762501392779</v>
      </c>
      <c r="H156" s="10" t="str">
        <f t="shared" si="8"/>
        <v>Slightly Over</v>
      </c>
    </row>
    <row r="157" spans="1:8" x14ac:dyDescent="0.25">
      <c r="A157" s="14">
        <v>45352</v>
      </c>
      <c r="B157" s="13" t="s">
        <v>1799</v>
      </c>
      <c r="C157" s="13" t="s">
        <v>1789</v>
      </c>
      <c r="D157" s="15">
        <v>4881.88</v>
      </c>
      <c r="E157" s="15">
        <v>5069.01</v>
      </c>
      <c r="F157" s="15">
        <f t="shared" si="6"/>
        <v>187.13000000000011</v>
      </c>
      <c r="G157" s="28">
        <f t="shared" si="7"/>
        <v>3.8331544405024315E-2</v>
      </c>
      <c r="H157" s="13" t="str">
        <f t="shared" si="8"/>
        <v>Within Budget</v>
      </c>
    </row>
    <row r="158" spans="1:8" x14ac:dyDescent="0.25">
      <c r="A158" s="11">
        <v>45352</v>
      </c>
      <c r="B158" s="10" t="s">
        <v>1799</v>
      </c>
      <c r="C158" s="10" t="s">
        <v>1786</v>
      </c>
      <c r="D158" s="12">
        <v>8237.2099999999991</v>
      </c>
      <c r="E158" s="12">
        <v>9024.15</v>
      </c>
      <c r="F158" s="12">
        <f t="shared" si="6"/>
        <v>786.94000000000051</v>
      </c>
      <c r="G158" s="27">
        <f t="shared" si="7"/>
        <v>9.5534774517099921E-2</v>
      </c>
      <c r="H158" s="10" t="str">
        <f t="shared" si="8"/>
        <v>Slightly Over</v>
      </c>
    </row>
    <row r="159" spans="1:8" x14ac:dyDescent="0.25">
      <c r="A159" s="14">
        <v>45352</v>
      </c>
      <c r="B159" s="13" t="s">
        <v>1877</v>
      </c>
      <c r="C159" s="13" t="s">
        <v>1789</v>
      </c>
      <c r="D159" s="15">
        <v>5739.79</v>
      </c>
      <c r="E159" s="15">
        <v>5804.77</v>
      </c>
      <c r="F159" s="15">
        <f t="shared" si="6"/>
        <v>64.980000000000473</v>
      </c>
      <c r="G159" s="28">
        <f t="shared" si="7"/>
        <v>1.1320971673179763E-2</v>
      </c>
      <c r="H159" s="13" t="str">
        <f t="shared" si="8"/>
        <v>Within Budget</v>
      </c>
    </row>
    <row r="160" spans="1:8" x14ac:dyDescent="0.25">
      <c r="A160" s="11">
        <v>45352</v>
      </c>
      <c r="B160" s="10" t="s">
        <v>1818</v>
      </c>
      <c r="C160" s="10" t="s">
        <v>1778</v>
      </c>
      <c r="D160" s="12">
        <v>8723.73</v>
      </c>
      <c r="E160" s="12">
        <v>9579.2900000000009</v>
      </c>
      <c r="F160" s="12">
        <f t="shared" si="6"/>
        <v>855.56000000000131</v>
      </c>
      <c r="G160" s="27">
        <f t="shared" si="7"/>
        <v>9.8072728064715592E-2</v>
      </c>
      <c r="H160" s="10" t="str">
        <f t="shared" si="8"/>
        <v>Slightly Over</v>
      </c>
    </row>
    <row r="161" spans="1:8" x14ac:dyDescent="0.25">
      <c r="A161" s="14">
        <v>45352</v>
      </c>
      <c r="B161" s="13" t="s">
        <v>1799</v>
      </c>
      <c r="C161" s="13" t="s">
        <v>1797</v>
      </c>
      <c r="D161" s="15">
        <v>3008.18</v>
      </c>
      <c r="E161" s="15">
        <v>2910.22</v>
      </c>
      <c r="F161" s="15">
        <f t="shared" si="6"/>
        <v>-97.960000000000036</v>
      </c>
      <c r="G161" s="28">
        <f t="shared" si="7"/>
        <v>-3.2564540685730253E-2</v>
      </c>
      <c r="H161" s="13" t="str">
        <f t="shared" si="8"/>
        <v>Under Budget</v>
      </c>
    </row>
    <row r="162" spans="1:8" x14ac:dyDescent="0.25">
      <c r="A162" s="11">
        <v>45352</v>
      </c>
      <c r="B162" s="10" t="s">
        <v>1818</v>
      </c>
      <c r="C162" s="10" t="s">
        <v>1792</v>
      </c>
      <c r="D162" s="12">
        <v>6312.86</v>
      </c>
      <c r="E162" s="12">
        <v>6003.94</v>
      </c>
      <c r="F162" s="12">
        <f t="shared" si="6"/>
        <v>-308.92000000000007</v>
      </c>
      <c r="G162" s="27">
        <f t="shared" si="7"/>
        <v>-4.8935031031893637E-2</v>
      </c>
      <c r="H162" s="10" t="str">
        <f t="shared" si="8"/>
        <v>Under Budget</v>
      </c>
    </row>
    <row r="163" spans="1:8" x14ac:dyDescent="0.25">
      <c r="A163" s="14">
        <v>45352</v>
      </c>
      <c r="B163" s="13" t="s">
        <v>1774</v>
      </c>
      <c r="C163" s="13" t="s">
        <v>1797</v>
      </c>
      <c r="D163" s="15">
        <v>7067.92</v>
      </c>
      <c r="E163" s="15">
        <v>6662.23</v>
      </c>
      <c r="F163" s="15">
        <f t="shared" si="6"/>
        <v>-405.69000000000051</v>
      </c>
      <c r="G163" s="28">
        <f t="shared" si="7"/>
        <v>-5.7398782102796933E-2</v>
      </c>
      <c r="H163" s="13" t="str">
        <f t="shared" si="8"/>
        <v>Under Budget</v>
      </c>
    </row>
    <row r="164" spans="1:8" x14ac:dyDescent="0.25">
      <c r="A164" s="11">
        <v>45352</v>
      </c>
      <c r="B164" s="10" t="s">
        <v>1774</v>
      </c>
      <c r="C164" s="10" t="s">
        <v>1795</v>
      </c>
      <c r="D164" s="12">
        <v>7522.04</v>
      </c>
      <c r="E164" s="12">
        <v>7923.31</v>
      </c>
      <c r="F164" s="12">
        <f t="shared" si="6"/>
        <v>401.27000000000044</v>
      </c>
      <c r="G164" s="27">
        <f t="shared" si="7"/>
        <v>5.3345900846047144E-2</v>
      </c>
      <c r="H164" s="10" t="str">
        <f t="shared" si="8"/>
        <v>Slightly Over</v>
      </c>
    </row>
    <row r="165" spans="1:8" x14ac:dyDescent="0.25">
      <c r="A165" s="14">
        <v>45352</v>
      </c>
      <c r="B165" s="13" t="s">
        <v>1792</v>
      </c>
      <c r="C165" s="13" t="s">
        <v>1786</v>
      </c>
      <c r="D165" s="15">
        <v>17658.34</v>
      </c>
      <c r="E165" s="15">
        <v>16184.42</v>
      </c>
      <c r="F165" s="15">
        <f t="shared" si="6"/>
        <v>-1473.92</v>
      </c>
      <c r="G165" s="28">
        <f t="shared" si="7"/>
        <v>-8.3468774528070028E-2</v>
      </c>
      <c r="H165" s="13" t="str">
        <f t="shared" si="8"/>
        <v>Under Budget</v>
      </c>
    </row>
    <row r="166" spans="1:8" x14ac:dyDescent="0.25">
      <c r="A166" s="11">
        <v>45352</v>
      </c>
      <c r="B166" s="10" t="s">
        <v>1799</v>
      </c>
      <c r="C166" s="10" t="s">
        <v>1780</v>
      </c>
      <c r="D166" s="12">
        <v>4335.5600000000004</v>
      </c>
      <c r="E166" s="12">
        <v>4121.79</v>
      </c>
      <c r="F166" s="12">
        <f t="shared" si="6"/>
        <v>-213.77000000000044</v>
      </c>
      <c r="G166" s="27">
        <f t="shared" si="7"/>
        <v>-4.9306202658941499E-2</v>
      </c>
      <c r="H166" s="10" t="str">
        <f t="shared" si="8"/>
        <v>Under Budget</v>
      </c>
    </row>
    <row r="167" spans="1:8" x14ac:dyDescent="0.25">
      <c r="A167" s="14">
        <v>45352</v>
      </c>
      <c r="B167" s="13" t="s">
        <v>1792</v>
      </c>
      <c r="C167" s="13" t="s">
        <v>1778</v>
      </c>
      <c r="D167" s="15">
        <v>17092.64</v>
      </c>
      <c r="E167" s="15">
        <v>18732.419999999998</v>
      </c>
      <c r="F167" s="15">
        <f t="shared" si="6"/>
        <v>1639.7799999999988</v>
      </c>
      <c r="G167" s="28">
        <f t="shared" si="7"/>
        <v>9.5934858512201682E-2</v>
      </c>
      <c r="H167" s="13" t="str">
        <f t="shared" si="8"/>
        <v>Slightly Over</v>
      </c>
    </row>
    <row r="168" spans="1:8" x14ac:dyDescent="0.25">
      <c r="A168" s="11">
        <v>45352</v>
      </c>
      <c r="B168" s="10" t="s">
        <v>1862</v>
      </c>
      <c r="C168" s="10" t="s">
        <v>1786</v>
      </c>
      <c r="D168" s="12">
        <v>7625.43</v>
      </c>
      <c r="E168" s="12">
        <v>7648.62</v>
      </c>
      <c r="F168" s="12">
        <f t="shared" si="6"/>
        <v>23.1899999999996</v>
      </c>
      <c r="G168" s="27">
        <f t="shared" si="7"/>
        <v>3.0411399750570919E-3</v>
      </c>
      <c r="H168" s="10" t="str">
        <f t="shared" si="8"/>
        <v>Within Budget</v>
      </c>
    </row>
    <row r="169" spans="1:8" x14ac:dyDescent="0.25">
      <c r="A169" s="14">
        <v>45352</v>
      </c>
      <c r="B169" s="13" t="s">
        <v>1818</v>
      </c>
      <c r="C169" s="13" t="s">
        <v>1786</v>
      </c>
      <c r="D169" s="15">
        <v>7595.38</v>
      </c>
      <c r="E169" s="15">
        <v>7105.75</v>
      </c>
      <c r="F169" s="15">
        <f t="shared" si="6"/>
        <v>-489.63000000000011</v>
      </c>
      <c r="G169" s="28">
        <f t="shared" si="7"/>
        <v>-6.4464187440259751E-2</v>
      </c>
      <c r="H169" s="13" t="str">
        <f t="shared" si="8"/>
        <v>Under Budget</v>
      </c>
    </row>
    <row r="170" spans="1:8" x14ac:dyDescent="0.25">
      <c r="A170" s="11">
        <v>45352</v>
      </c>
      <c r="B170" s="10" t="s">
        <v>1799</v>
      </c>
      <c r="C170" s="10" t="s">
        <v>1792</v>
      </c>
      <c r="D170" s="12">
        <v>7194.59</v>
      </c>
      <c r="E170" s="12">
        <v>7429.38</v>
      </c>
      <c r="F170" s="12">
        <f t="shared" si="6"/>
        <v>234.78999999999996</v>
      </c>
      <c r="G170" s="27">
        <f t="shared" si="7"/>
        <v>3.2634243229982519E-2</v>
      </c>
      <c r="H170" s="10" t="str">
        <f t="shared" si="8"/>
        <v>Within Budget</v>
      </c>
    </row>
    <row r="171" spans="1:8" x14ac:dyDescent="0.25">
      <c r="A171" s="14">
        <v>45352</v>
      </c>
      <c r="B171" s="13" t="s">
        <v>1877</v>
      </c>
      <c r="C171" s="13" t="s">
        <v>1786</v>
      </c>
      <c r="D171" s="15">
        <v>11510.48</v>
      </c>
      <c r="E171" s="15">
        <v>11698.32</v>
      </c>
      <c r="F171" s="15">
        <f t="shared" si="6"/>
        <v>187.84000000000015</v>
      </c>
      <c r="G171" s="28">
        <f t="shared" si="7"/>
        <v>1.6319041430070697E-2</v>
      </c>
      <c r="H171" s="13" t="str">
        <f t="shared" si="8"/>
        <v>Within Budget</v>
      </c>
    </row>
    <row r="172" spans="1:8" x14ac:dyDescent="0.25">
      <c r="A172" s="11">
        <v>45352</v>
      </c>
      <c r="B172" s="10" t="s">
        <v>1862</v>
      </c>
      <c r="C172" s="10" t="s">
        <v>1792</v>
      </c>
      <c r="D172" s="12">
        <v>6979.43</v>
      </c>
      <c r="E172" s="12">
        <v>6720.6</v>
      </c>
      <c r="F172" s="12">
        <f t="shared" si="6"/>
        <v>-258.82999999999993</v>
      </c>
      <c r="G172" s="27">
        <f t="shared" si="7"/>
        <v>-3.7084690297058631E-2</v>
      </c>
      <c r="H172" s="10" t="str">
        <f t="shared" si="8"/>
        <v>Under Budget</v>
      </c>
    </row>
    <row r="173" spans="1:8" x14ac:dyDescent="0.25">
      <c r="A173" s="14">
        <v>45352</v>
      </c>
      <c r="B173" s="13" t="s">
        <v>1862</v>
      </c>
      <c r="C173" s="13" t="s">
        <v>1795</v>
      </c>
      <c r="D173" s="15">
        <v>2583.2800000000002</v>
      </c>
      <c r="E173" s="15">
        <v>2831.9</v>
      </c>
      <c r="F173" s="15">
        <f t="shared" si="6"/>
        <v>248.61999999999989</v>
      </c>
      <c r="G173" s="28">
        <f t="shared" si="7"/>
        <v>9.6241986931343046E-2</v>
      </c>
      <c r="H173" s="13" t="str">
        <f t="shared" si="8"/>
        <v>Slightly Over</v>
      </c>
    </row>
    <row r="174" spans="1:8" x14ac:dyDescent="0.25">
      <c r="A174" s="11">
        <v>45352</v>
      </c>
      <c r="B174" s="10" t="s">
        <v>1818</v>
      </c>
      <c r="C174" s="10" t="s">
        <v>1775</v>
      </c>
      <c r="D174" s="12">
        <v>49345.77</v>
      </c>
      <c r="E174" s="12">
        <v>44346.75</v>
      </c>
      <c r="F174" s="12">
        <f t="shared" si="6"/>
        <v>-4999.0199999999968</v>
      </c>
      <c r="G174" s="27">
        <f t="shared" si="7"/>
        <v>-0.10130594780464459</v>
      </c>
      <c r="H174" s="10" t="str">
        <f t="shared" si="8"/>
        <v>Under Budget</v>
      </c>
    </row>
    <row r="175" spans="1:8" x14ac:dyDescent="0.25">
      <c r="A175" s="14">
        <v>45352</v>
      </c>
      <c r="B175" s="13" t="s">
        <v>1799</v>
      </c>
      <c r="C175" s="13" t="s">
        <v>1795</v>
      </c>
      <c r="D175" s="15">
        <v>2947.1</v>
      </c>
      <c r="E175" s="15">
        <v>3140.61</v>
      </c>
      <c r="F175" s="15">
        <f t="shared" si="6"/>
        <v>193.51000000000022</v>
      </c>
      <c r="G175" s="28">
        <f t="shared" si="7"/>
        <v>6.566115842692824E-2</v>
      </c>
      <c r="H175" s="13" t="str">
        <f t="shared" si="8"/>
        <v>Slightly Over</v>
      </c>
    </row>
    <row r="176" spans="1:8" x14ac:dyDescent="0.25">
      <c r="A176" s="11">
        <v>45352</v>
      </c>
      <c r="B176" s="10" t="s">
        <v>1792</v>
      </c>
      <c r="C176" s="10" t="s">
        <v>1783</v>
      </c>
      <c r="D176" s="12">
        <v>15272.85</v>
      </c>
      <c r="E176" s="12">
        <v>16859.91</v>
      </c>
      <c r="F176" s="12">
        <f t="shared" si="6"/>
        <v>1587.0599999999995</v>
      </c>
      <c r="G176" s="27">
        <f t="shared" si="7"/>
        <v>0.10391380783547272</v>
      </c>
      <c r="H176" s="10" t="str">
        <f t="shared" si="8"/>
        <v>Slightly Over</v>
      </c>
    </row>
    <row r="177" spans="1:8" x14ac:dyDescent="0.25">
      <c r="A177" s="14">
        <v>45352</v>
      </c>
      <c r="B177" s="13" t="s">
        <v>1862</v>
      </c>
      <c r="C177" s="13" t="s">
        <v>1797</v>
      </c>
      <c r="D177" s="15">
        <v>2785.29</v>
      </c>
      <c r="E177" s="15">
        <v>3090.75</v>
      </c>
      <c r="F177" s="15">
        <f t="shared" si="6"/>
        <v>305.46000000000004</v>
      </c>
      <c r="G177" s="28">
        <f t="shared" si="7"/>
        <v>0.10966901112631001</v>
      </c>
      <c r="H177" s="13" t="str">
        <f t="shared" si="8"/>
        <v>Slightly Over</v>
      </c>
    </row>
    <row r="178" spans="1:8" x14ac:dyDescent="0.25">
      <c r="A178" s="11">
        <v>45352</v>
      </c>
      <c r="B178" s="10" t="s">
        <v>1862</v>
      </c>
      <c r="C178" s="10" t="s">
        <v>1783</v>
      </c>
      <c r="D178" s="12">
        <v>7398.96</v>
      </c>
      <c r="E178" s="12">
        <v>7489.57</v>
      </c>
      <c r="F178" s="12">
        <f t="shared" si="6"/>
        <v>90.609999999999673</v>
      </c>
      <c r="G178" s="27">
        <f t="shared" si="7"/>
        <v>1.2246315698422437E-2</v>
      </c>
      <c r="H178" s="10" t="str">
        <f t="shared" si="8"/>
        <v>Within Budget</v>
      </c>
    </row>
    <row r="179" spans="1:8" x14ac:dyDescent="0.25">
      <c r="A179" s="14">
        <v>45352</v>
      </c>
      <c r="B179" s="13" t="s">
        <v>1774</v>
      </c>
      <c r="C179" s="13" t="s">
        <v>1789</v>
      </c>
      <c r="D179" s="15">
        <v>10522.82</v>
      </c>
      <c r="E179" s="15">
        <v>9613.9599999999991</v>
      </c>
      <c r="F179" s="15">
        <f t="shared" si="6"/>
        <v>-908.86000000000058</v>
      </c>
      <c r="G179" s="28">
        <f t="shared" si="7"/>
        <v>-8.6370383604395071E-2</v>
      </c>
      <c r="H179" s="13" t="str">
        <f t="shared" si="8"/>
        <v>Under Budget</v>
      </c>
    </row>
    <row r="180" spans="1:8" x14ac:dyDescent="0.25">
      <c r="A180" s="11">
        <v>45352</v>
      </c>
      <c r="B180" s="10" t="s">
        <v>1786</v>
      </c>
      <c r="C180" s="10" t="s">
        <v>1792</v>
      </c>
      <c r="D180" s="12">
        <v>15605.43</v>
      </c>
      <c r="E180" s="12">
        <v>14444.82</v>
      </c>
      <c r="F180" s="12">
        <f t="shared" si="6"/>
        <v>-1160.6100000000006</v>
      </c>
      <c r="G180" s="27">
        <f t="shared" si="7"/>
        <v>-7.437218968013061E-2</v>
      </c>
      <c r="H180" s="10" t="str">
        <f t="shared" si="8"/>
        <v>Under Budget</v>
      </c>
    </row>
    <row r="181" spans="1:8" x14ac:dyDescent="0.25">
      <c r="A181" s="14">
        <v>45352</v>
      </c>
      <c r="B181" s="13" t="s">
        <v>1786</v>
      </c>
      <c r="C181" s="13" t="s">
        <v>1795</v>
      </c>
      <c r="D181" s="15">
        <v>4393.09</v>
      </c>
      <c r="E181" s="15">
        <v>3991.36</v>
      </c>
      <c r="F181" s="15">
        <f t="shared" si="6"/>
        <v>-401.73</v>
      </c>
      <c r="G181" s="28">
        <f t="shared" si="7"/>
        <v>-9.1445884331985E-2</v>
      </c>
      <c r="H181" s="13" t="str">
        <f t="shared" si="8"/>
        <v>Under Budget</v>
      </c>
    </row>
    <row r="182" spans="1:8" x14ac:dyDescent="0.25">
      <c r="A182" s="11">
        <v>45352</v>
      </c>
      <c r="B182" s="10" t="s">
        <v>1792</v>
      </c>
      <c r="C182" s="10" t="s">
        <v>1789</v>
      </c>
      <c r="D182" s="12">
        <v>8585.8700000000008</v>
      </c>
      <c r="E182" s="12">
        <v>8438.76</v>
      </c>
      <c r="F182" s="12">
        <f t="shared" si="6"/>
        <v>-147.11000000000058</v>
      </c>
      <c r="G182" s="27">
        <f t="shared" si="7"/>
        <v>-1.7133965457198929E-2</v>
      </c>
      <c r="H182" s="10" t="str">
        <f t="shared" si="8"/>
        <v>Under Budget</v>
      </c>
    </row>
    <row r="183" spans="1:8" x14ac:dyDescent="0.25">
      <c r="A183" s="14">
        <v>45352</v>
      </c>
      <c r="B183" s="13" t="s">
        <v>1862</v>
      </c>
      <c r="C183" s="13" t="s">
        <v>1789</v>
      </c>
      <c r="D183" s="15">
        <v>5066.47</v>
      </c>
      <c r="E183" s="15">
        <v>5072.9399999999996</v>
      </c>
      <c r="F183" s="15">
        <f t="shared" si="6"/>
        <v>6.4699999999993452</v>
      </c>
      <c r="G183" s="28">
        <f t="shared" si="7"/>
        <v>1.2770232528761336E-3</v>
      </c>
      <c r="H183" s="13" t="str">
        <f t="shared" si="8"/>
        <v>Within Budget</v>
      </c>
    </row>
    <row r="184" spans="1:8" x14ac:dyDescent="0.25">
      <c r="A184" s="11">
        <v>45352</v>
      </c>
      <c r="B184" s="10" t="s">
        <v>1774</v>
      </c>
      <c r="C184" s="10" t="s">
        <v>1783</v>
      </c>
      <c r="D184" s="12">
        <v>14911.47</v>
      </c>
      <c r="E184" s="12">
        <v>15140.25</v>
      </c>
      <c r="F184" s="12">
        <f t="shared" si="6"/>
        <v>228.78000000000065</v>
      </c>
      <c r="G184" s="27">
        <f t="shared" si="7"/>
        <v>1.5342551740371718E-2</v>
      </c>
      <c r="H184" s="10" t="str">
        <f t="shared" si="8"/>
        <v>Within Budget</v>
      </c>
    </row>
    <row r="185" spans="1:8" x14ac:dyDescent="0.25">
      <c r="A185" s="14">
        <v>45352</v>
      </c>
      <c r="B185" s="13" t="s">
        <v>1792</v>
      </c>
      <c r="C185" s="13" t="s">
        <v>1780</v>
      </c>
      <c r="D185" s="15">
        <v>9617.66</v>
      </c>
      <c r="E185" s="15">
        <v>10566.4</v>
      </c>
      <c r="F185" s="15">
        <f t="shared" si="6"/>
        <v>948.73999999999978</v>
      </c>
      <c r="G185" s="28">
        <f t="shared" si="7"/>
        <v>9.8645616501311109E-2</v>
      </c>
      <c r="H185" s="13" t="str">
        <f t="shared" si="8"/>
        <v>Slightly Over</v>
      </c>
    </row>
    <row r="186" spans="1:8" x14ac:dyDescent="0.25">
      <c r="A186" s="11">
        <v>45352</v>
      </c>
      <c r="B186" s="10" t="s">
        <v>1862</v>
      </c>
      <c r="C186" s="10" t="s">
        <v>1780</v>
      </c>
      <c r="D186" s="12">
        <v>4341.24</v>
      </c>
      <c r="E186" s="12">
        <v>3946.24</v>
      </c>
      <c r="F186" s="12">
        <f t="shared" si="6"/>
        <v>-395</v>
      </c>
      <c r="G186" s="27">
        <f t="shared" si="7"/>
        <v>-9.0987828362403378E-2</v>
      </c>
      <c r="H186" s="10" t="str">
        <f t="shared" si="8"/>
        <v>Under Budget</v>
      </c>
    </row>
    <row r="187" spans="1:8" x14ac:dyDescent="0.25">
      <c r="A187" s="14">
        <v>45352</v>
      </c>
      <c r="B187" s="13" t="s">
        <v>1786</v>
      </c>
      <c r="C187" s="13" t="s">
        <v>1797</v>
      </c>
      <c r="D187" s="15">
        <v>5127.57</v>
      </c>
      <c r="E187" s="15">
        <v>5081.03</v>
      </c>
      <c r="F187" s="15">
        <f t="shared" si="6"/>
        <v>-46.539999999999964</v>
      </c>
      <c r="G187" s="28">
        <f t="shared" si="7"/>
        <v>-9.0764241151266526E-3</v>
      </c>
      <c r="H187" s="13" t="str">
        <f t="shared" si="8"/>
        <v>Under Budget</v>
      </c>
    </row>
    <row r="188" spans="1:8" x14ac:dyDescent="0.25">
      <c r="A188" s="11">
        <v>45352</v>
      </c>
      <c r="B188" s="10" t="s">
        <v>1774</v>
      </c>
      <c r="C188" s="10" t="s">
        <v>1786</v>
      </c>
      <c r="D188" s="12">
        <v>19426.09</v>
      </c>
      <c r="E188" s="12">
        <v>19423.86</v>
      </c>
      <c r="F188" s="12">
        <f t="shared" si="6"/>
        <v>-2.2299999999995634</v>
      </c>
      <c r="G188" s="27">
        <f t="shared" si="7"/>
        <v>-1.1479407333125521E-4</v>
      </c>
      <c r="H188" s="10" t="str">
        <f t="shared" si="8"/>
        <v>Under Budget</v>
      </c>
    </row>
    <row r="189" spans="1:8" x14ac:dyDescent="0.25">
      <c r="A189" s="14">
        <v>45352</v>
      </c>
      <c r="B189" s="13" t="s">
        <v>1792</v>
      </c>
      <c r="C189" s="13" t="s">
        <v>1795</v>
      </c>
      <c r="D189" s="15">
        <v>5492.56</v>
      </c>
      <c r="E189" s="15">
        <v>5420.27</v>
      </c>
      <c r="F189" s="15">
        <f t="shared" si="6"/>
        <v>-72.289999999999964</v>
      </c>
      <c r="G189" s="28">
        <f t="shared" si="7"/>
        <v>-1.3161440202746981E-2</v>
      </c>
      <c r="H189" s="13" t="str">
        <f t="shared" si="8"/>
        <v>Under Budget</v>
      </c>
    </row>
    <row r="190" spans="1:8" x14ac:dyDescent="0.25">
      <c r="A190" s="11">
        <v>45352</v>
      </c>
      <c r="B190" s="10" t="s">
        <v>1877</v>
      </c>
      <c r="C190" s="10" t="s">
        <v>1783</v>
      </c>
      <c r="D190" s="12">
        <v>11344.24</v>
      </c>
      <c r="E190" s="12">
        <v>10555.59</v>
      </c>
      <c r="F190" s="12">
        <f t="shared" si="6"/>
        <v>-788.64999999999964</v>
      </c>
      <c r="G190" s="27">
        <f t="shared" si="7"/>
        <v>-6.9519862062156629E-2</v>
      </c>
      <c r="H190" s="10" t="str">
        <f t="shared" si="8"/>
        <v>Under Budget</v>
      </c>
    </row>
    <row r="191" spans="1:8" x14ac:dyDescent="0.25">
      <c r="A191" s="14">
        <v>45383</v>
      </c>
      <c r="B191" s="13" t="s">
        <v>1862</v>
      </c>
      <c r="C191" s="13" t="s">
        <v>1786</v>
      </c>
      <c r="D191" s="15">
        <v>7551.72</v>
      </c>
      <c r="E191" s="15">
        <v>7954.34</v>
      </c>
      <c r="F191" s="15">
        <f t="shared" si="6"/>
        <v>402.61999999999989</v>
      </c>
      <c r="G191" s="28">
        <f t="shared" si="7"/>
        <v>5.3315006382651881E-2</v>
      </c>
      <c r="H191" s="13" t="str">
        <f t="shared" si="8"/>
        <v>Slightly Over</v>
      </c>
    </row>
    <row r="192" spans="1:8" x14ac:dyDescent="0.25">
      <c r="A192" s="11">
        <v>45383</v>
      </c>
      <c r="B192" s="10" t="s">
        <v>1818</v>
      </c>
      <c r="C192" s="10" t="s">
        <v>1786</v>
      </c>
      <c r="D192" s="12">
        <v>7372.74</v>
      </c>
      <c r="E192" s="12">
        <v>6980.58</v>
      </c>
      <c r="F192" s="12">
        <f t="shared" si="6"/>
        <v>-392.15999999999985</v>
      </c>
      <c r="G192" s="27">
        <f t="shared" si="7"/>
        <v>-5.3190537032365155E-2</v>
      </c>
      <c r="H192" s="10" t="str">
        <f t="shared" si="8"/>
        <v>Under Budget</v>
      </c>
    </row>
    <row r="193" spans="1:8" x14ac:dyDescent="0.25">
      <c r="A193" s="14">
        <v>45383</v>
      </c>
      <c r="B193" s="13" t="s">
        <v>1799</v>
      </c>
      <c r="C193" s="13" t="s">
        <v>1780</v>
      </c>
      <c r="D193" s="15">
        <v>4338.51</v>
      </c>
      <c r="E193" s="15">
        <v>4107</v>
      </c>
      <c r="F193" s="15">
        <f t="shared" si="6"/>
        <v>-231.51000000000022</v>
      </c>
      <c r="G193" s="28">
        <f t="shared" si="7"/>
        <v>-5.3361637981703444E-2</v>
      </c>
      <c r="H193" s="13" t="str">
        <f t="shared" si="8"/>
        <v>Under Budget</v>
      </c>
    </row>
    <row r="194" spans="1:8" x14ac:dyDescent="0.25">
      <c r="A194" s="11">
        <v>45383</v>
      </c>
      <c r="B194" s="10" t="s">
        <v>1792</v>
      </c>
      <c r="C194" s="10" t="s">
        <v>1775</v>
      </c>
      <c r="D194" s="12">
        <v>104776.04</v>
      </c>
      <c r="E194" s="12">
        <v>96398.83</v>
      </c>
      <c r="F194" s="12">
        <f t="shared" ref="F194:F257" si="9">E194-D194</f>
        <v>-8377.2099999999919</v>
      </c>
      <c r="G194" s="27">
        <f t="shared" ref="G194:G257" si="10">IFERROR(F194/D194,0)</f>
        <v>-7.9953489366461961E-2</v>
      </c>
      <c r="H194" s="10" t="str">
        <f t="shared" ref="H194:H257" si="11">IF(G194&lt;=0,"Under Budget",IF(G194&lt;=5%,"Within Budget",IF(G194&lt;=15%,"Slightly Over","Significantly Over")))</f>
        <v>Under Budget</v>
      </c>
    </row>
    <row r="195" spans="1:8" x14ac:dyDescent="0.25">
      <c r="A195" s="14">
        <v>45383</v>
      </c>
      <c r="B195" s="13" t="s">
        <v>1877</v>
      </c>
      <c r="C195" s="13" t="s">
        <v>1786</v>
      </c>
      <c r="D195" s="15">
        <v>10983.16</v>
      </c>
      <c r="E195" s="15">
        <v>12177.66</v>
      </c>
      <c r="F195" s="15">
        <f t="shared" si="9"/>
        <v>1194.5</v>
      </c>
      <c r="G195" s="28">
        <f t="shared" si="10"/>
        <v>0.10875740679367323</v>
      </c>
      <c r="H195" s="13" t="str">
        <f t="shared" si="11"/>
        <v>Slightly Over</v>
      </c>
    </row>
    <row r="196" spans="1:8" x14ac:dyDescent="0.25">
      <c r="A196" s="11">
        <v>45383</v>
      </c>
      <c r="B196" s="10" t="s">
        <v>1799</v>
      </c>
      <c r="C196" s="10" t="s">
        <v>1792</v>
      </c>
      <c r="D196" s="12">
        <v>7691.4</v>
      </c>
      <c r="E196" s="12">
        <v>8204.27</v>
      </c>
      <c r="F196" s="12">
        <f t="shared" si="9"/>
        <v>512.8700000000008</v>
      </c>
      <c r="G196" s="27">
        <f t="shared" si="10"/>
        <v>6.6680968354265915E-2</v>
      </c>
      <c r="H196" s="10" t="str">
        <f t="shared" si="11"/>
        <v>Slightly Over</v>
      </c>
    </row>
    <row r="197" spans="1:8" x14ac:dyDescent="0.25">
      <c r="A197" s="14">
        <v>45383</v>
      </c>
      <c r="B197" s="13" t="s">
        <v>1774</v>
      </c>
      <c r="C197" s="13" t="s">
        <v>1780</v>
      </c>
      <c r="D197" s="15">
        <v>12606.62</v>
      </c>
      <c r="E197" s="15">
        <v>12561.02</v>
      </c>
      <c r="F197" s="15">
        <f t="shared" si="9"/>
        <v>-45.600000000000364</v>
      </c>
      <c r="G197" s="28">
        <f t="shared" si="10"/>
        <v>-3.6171471814015464E-3</v>
      </c>
      <c r="H197" s="13" t="str">
        <f t="shared" si="11"/>
        <v>Under Budget</v>
      </c>
    </row>
    <row r="198" spans="1:8" x14ac:dyDescent="0.25">
      <c r="A198" s="11">
        <v>45383</v>
      </c>
      <c r="B198" s="10" t="s">
        <v>1786</v>
      </c>
      <c r="C198" s="10" t="s">
        <v>1780</v>
      </c>
      <c r="D198" s="12">
        <v>7499.55</v>
      </c>
      <c r="E198" s="12">
        <v>6898.56</v>
      </c>
      <c r="F198" s="12">
        <f t="shared" si="9"/>
        <v>-600.98999999999978</v>
      </c>
      <c r="G198" s="27">
        <f t="shared" si="10"/>
        <v>-8.0136808208492477E-2</v>
      </c>
      <c r="H198" s="10" t="str">
        <f t="shared" si="11"/>
        <v>Under Budget</v>
      </c>
    </row>
    <row r="199" spans="1:8" x14ac:dyDescent="0.25">
      <c r="A199" s="14">
        <v>45383</v>
      </c>
      <c r="B199" s="13" t="s">
        <v>1774</v>
      </c>
      <c r="C199" s="13" t="s">
        <v>1789</v>
      </c>
      <c r="D199" s="15">
        <v>14288.39</v>
      </c>
      <c r="E199" s="15">
        <v>12845.51</v>
      </c>
      <c r="F199" s="15">
        <f t="shared" si="9"/>
        <v>-1442.8799999999992</v>
      </c>
      <c r="G199" s="28">
        <f t="shared" si="10"/>
        <v>-0.10098268594292284</v>
      </c>
      <c r="H199" s="13" t="str">
        <f t="shared" si="11"/>
        <v>Under Budget</v>
      </c>
    </row>
    <row r="200" spans="1:8" x14ac:dyDescent="0.25">
      <c r="A200" s="11">
        <v>45383</v>
      </c>
      <c r="B200" s="10" t="s">
        <v>1786</v>
      </c>
      <c r="C200" s="10" t="s">
        <v>1792</v>
      </c>
      <c r="D200" s="12">
        <v>12080.6</v>
      </c>
      <c r="E200" s="12">
        <v>11718.83</v>
      </c>
      <c r="F200" s="12">
        <f t="shared" si="9"/>
        <v>-361.77000000000044</v>
      </c>
      <c r="G200" s="27">
        <f t="shared" si="10"/>
        <v>-2.9946360280118572E-2</v>
      </c>
      <c r="H200" s="10" t="str">
        <f t="shared" si="11"/>
        <v>Under Budget</v>
      </c>
    </row>
    <row r="201" spans="1:8" x14ac:dyDescent="0.25">
      <c r="A201" s="14">
        <v>45383</v>
      </c>
      <c r="B201" s="13" t="s">
        <v>1786</v>
      </c>
      <c r="C201" s="13" t="s">
        <v>1795</v>
      </c>
      <c r="D201" s="15">
        <v>4328.8500000000004</v>
      </c>
      <c r="E201" s="15">
        <v>4572.72</v>
      </c>
      <c r="F201" s="15">
        <f t="shared" si="9"/>
        <v>243.86999999999989</v>
      </c>
      <c r="G201" s="28">
        <f t="shared" si="10"/>
        <v>5.6335978377629131E-2</v>
      </c>
      <c r="H201" s="13" t="str">
        <f t="shared" si="11"/>
        <v>Slightly Over</v>
      </c>
    </row>
    <row r="202" spans="1:8" x14ac:dyDescent="0.25">
      <c r="A202" s="11">
        <v>45383</v>
      </c>
      <c r="B202" s="10" t="s">
        <v>1862</v>
      </c>
      <c r="C202" s="10" t="s">
        <v>1775</v>
      </c>
      <c r="D202" s="12">
        <v>47862.77</v>
      </c>
      <c r="E202" s="12">
        <v>50884.89</v>
      </c>
      <c r="F202" s="12">
        <f t="shared" si="9"/>
        <v>3022.1200000000026</v>
      </c>
      <c r="G202" s="27">
        <f t="shared" si="10"/>
        <v>6.3141351827318032E-2</v>
      </c>
      <c r="H202" s="10" t="str">
        <f t="shared" si="11"/>
        <v>Slightly Over</v>
      </c>
    </row>
    <row r="203" spans="1:8" x14ac:dyDescent="0.25">
      <c r="A203" s="14">
        <v>45383</v>
      </c>
      <c r="B203" s="13" t="s">
        <v>1818</v>
      </c>
      <c r="C203" s="13" t="s">
        <v>1783</v>
      </c>
      <c r="D203" s="15">
        <v>7825.45</v>
      </c>
      <c r="E203" s="15">
        <v>7519.57</v>
      </c>
      <c r="F203" s="15">
        <f t="shared" si="9"/>
        <v>-305.88000000000011</v>
      </c>
      <c r="G203" s="28">
        <f t="shared" si="10"/>
        <v>-3.9087847983183092E-2</v>
      </c>
      <c r="H203" s="13" t="str">
        <f t="shared" si="11"/>
        <v>Under Budget</v>
      </c>
    </row>
    <row r="204" spans="1:8" x14ac:dyDescent="0.25">
      <c r="A204" s="11">
        <v>45383</v>
      </c>
      <c r="B204" s="10" t="s">
        <v>1799</v>
      </c>
      <c r="C204" s="10" t="s">
        <v>1789</v>
      </c>
      <c r="D204" s="12">
        <v>4010.07</v>
      </c>
      <c r="E204" s="12">
        <v>4238.01</v>
      </c>
      <c r="F204" s="12">
        <f t="shared" si="9"/>
        <v>227.94000000000005</v>
      </c>
      <c r="G204" s="27">
        <f t="shared" si="10"/>
        <v>5.6841900515452362E-2</v>
      </c>
      <c r="H204" s="10" t="str">
        <f t="shared" si="11"/>
        <v>Slightly Over</v>
      </c>
    </row>
    <row r="205" spans="1:8" x14ac:dyDescent="0.25">
      <c r="A205" s="14">
        <v>45383</v>
      </c>
      <c r="B205" s="13" t="s">
        <v>1774</v>
      </c>
      <c r="C205" s="13" t="s">
        <v>1783</v>
      </c>
      <c r="D205" s="15">
        <v>19551.25</v>
      </c>
      <c r="E205" s="15">
        <v>19136.39</v>
      </c>
      <c r="F205" s="15">
        <f t="shared" si="9"/>
        <v>-414.86000000000058</v>
      </c>
      <c r="G205" s="28">
        <f t="shared" si="10"/>
        <v>-2.1219103637874846E-2</v>
      </c>
      <c r="H205" s="13" t="str">
        <f t="shared" si="11"/>
        <v>Under Budget</v>
      </c>
    </row>
    <row r="206" spans="1:8" x14ac:dyDescent="0.25">
      <c r="A206" s="11">
        <v>45383</v>
      </c>
      <c r="B206" s="10" t="s">
        <v>1792</v>
      </c>
      <c r="C206" s="10" t="s">
        <v>1792</v>
      </c>
      <c r="D206" s="12">
        <v>19074.900000000001</v>
      </c>
      <c r="E206" s="12">
        <v>17602.310000000001</v>
      </c>
      <c r="F206" s="12">
        <f t="shared" si="9"/>
        <v>-1472.5900000000001</v>
      </c>
      <c r="G206" s="27">
        <f t="shared" si="10"/>
        <v>-7.7200404720339302E-2</v>
      </c>
      <c r="H206" s="10" t="str">
        <f t="shared" si="11"/>
        <v>Under Budget</v>
      </c>
    </row>
    <row r="207" spans="1:8" x14ac:dyDescent="0.25">
      <c r="A207" s="14">
        <v>45383</v>
      </c>
      <c r="B207" s="13" t="s">
        <v>1862</v>
      </c>
      <c r="C207" s="13" t="s">
        <v>1789</v>
      </c>
      <c r="D207" s="15">
        <v>4573.3999999999996</v>
      </c>
      <c r="E207" s="15">
        <v>4639.46</v>
      </c>
      <c r="F207" s="15">
        <f t="shared" si="9"/>
        <v>66.0600000000004</v>
      </c>
      <c r="G207" s="28">
        <f t="shared" si="10"/>
        <v>1.4444395854287927E-2</v>
      </c>
      <c r="H207" s="13" t="str">
        <f t="shared" si="11"/>
        <v>Within Budget</v>
      </c>
    </row>
    <row r="208" spans="1:8" x14ac:dyDescent="0.25">
      <c r="A208" s="11">
        <v>45383</v>
      </c>
      <c r="B208" s="10" t="s">
        <v>1792</v>
      </c>
      <c r="C208" s="10" t="s">
        <v>1789</v>
      </c>
      <c r="D208" s="12">
        <v>8387.16</v>
      </c>
      <c r="E208" s="12">
        <v>8529.92</v>
      </c>
      <c r="F208" s="12">
        <f t="shared" si="9"/>
        <v>142.76000000000022</v>
      </c>
      <c r="G208" s="27">
        <f t="shared" si="10"/>
        <v>1.7021256301298679E-2</v>
      </c>
      <c r="H208" s="10" t="str">
        <f t="shared" si="11"/>
        <v>Within Budget</v>
      </c>
    </row>
    <row r="209" spans="1:8" x14ac:dyDescent="0.25">
      <c r="A209" s="14">
        <v>45383</v>
      </c>
      <c r="B209" s="13" t="s">
        <v>1877</v>
      </c>
      <c r="C209" s="13" t="s">
        <v>1795</v>
      </c>
      <c r="D209" s="15">
        <v>3516.35</v>
      </c>
      <c r="E209" s="15">
        <v>3872.84</v>
      </c>
      <c r="F209" s="15">
        <f t="shared" si="9"/>
        <v>356.49000000000024</v>
      </c>
      <c r="G209" s="28">
        <f t="shared" si="10"/>
        <v>0.10138069304818924</v>
      </c>
      <c r="H209" s="13" t="str">
        <f t="shared" si="11"/>
        <v>Slightly Over</v>
      </c>
    </row>
    <row r="210" spans="1:8" x14ac:dyDescent="0.25">
      <c r="A210" s="11">
        <v>45383</v>
      </c>
      <c r="B210" s="10" t="s">
        <v>1818</v>
      </c>
      <c r="C210" s="10" t="s">
        <v>1795</v>
      </c>
      <c r="D210" s="12">
        <v>2265.2800000000002</v>
      </c>
      <c r="E210" s="12">
        <v>2369.79</v>
      </c>
      <c r="F210" s="12">
        <f t="shared" si="9"/>
        <v>104.50999999999976</v>
      </c>
      <c r="G210" s="27">
        <f t="shared" si="10"/>
        <v>4.6135577058906516E-2</v>
      </c>
      <c r="H210" s="10" t="str">
        <f t="shared" si="11"/>
        <v>Within Budget</v>
      </c>
    </row>
    <row r="211" spans="1:8" x14ac:dyDescent="0.25">
      <c r="A211" s="14">
        <v>45383</v>
      </c>
      <c r="B211" s="13" t="s">
        <v>1786</v>
      </c>
      <c r="C211" s="13" t="s">
        <v>1786</v>
      </c>
      <c r="D211" s="15">
        <v>13850.61</v>
      </c>
      <c r="E211" s="15">
        <v>13145.96</v>
      </c>
      <c r="F211" s="15">
        <f t="shared" si="9"/>
        <v>-704.65000000000146</v>
      </c>
      <c r="G211" s="28">
        <f t="shared" si="10"/>
        <v>-5.0875015613030865E-2</v>
      </c>
      <c r="H211" s="13" t="str">
        <f t="shared" si="11"/>
        <v>Under Budget</v>
      </c>
    </row>
    <row r="212" spans="1:8" x14ac:dyDescent="0.25">
      <c r="A212" s="11">
        <v>45383</v>
      </c>
      <c r="B212" s="10" t="s">
        <v>1786</v>
      </c>
      <c r="C212" s="10" t="s">
        <v>1775</v>
      </c>
      <c r="D212" s="12">
        <v>91583.92</v>
      </c>
      <c r="E212" s="12">
        <v>93521.11</v>
      </c>
      <c r="F212" s="12">
        <f t="shared" si="9"/>
        <v>1937.1900000000023</v>
      </c>
      <c r="G212" s="27">
        <f t="shared" si="10"/>
        <v>2.1152075604538464E-2</v>
      </c>
      <c r="H212" s="10" t="str">
        <f t="shared" si="11"/>
        <v>Within Budget</v>
      </c>
    </row>
    <row r="213" spans="1:8" x14ac:dyDescent="0.25">
      <c r="A213" s="14">
        <v>45383</v>
      </c>
      <c r="B213" s="13" t="s">
        <v>1877</v>
      </c>
      <c r="C213" s="13" t="s">
        <v>1775</v>
      </c>
      <c r="D213" s="15">
        <v>61318.19</v>
      </c>
      <c r="E213" s="15">
        <v>65593.17</v>
      </c>
      <c r="F213" s="15">
        <f t="shared" si="9"/>
        <v>4274.9799999999959</v>
      </c>
      <c r="G213" s="28">
        <f t="shared" si="10"/>
        <v>6.971797438900261E-2</v>
      </c>
      <c r="H213" s="13" t="str">
        <f t="shared" si="11"/>
        <v>Slightly Over</v>
      </c>
    </row>
    <row r="214" spans="1:8" x14ac:dyDescent="0.25">
      <c r="A214" s="11">
        <v>45383</v>
      </c>
      <c r="B214" s="10" t="s">
        <v>1774</v>
      </c>
      <c r="C214" s="10" t="s">
        <v>1797</v>
      </c>
      <c r="D214" s="12">
        <v>5259.24</v>
      </c>
      <c r="E214" s="12">
        <v>5696.32</v>
      </c>
      <c r="F214" s="12">
        <f t="shared" si="9"/>
        <v>437.07999999999993</v>
      </c>
      <c r="G214" s="27">
        <f t="shared" si="10"/>
        <v>8.3107064899110891E-2</v>
      </c>
      <c r="H214" s="10" t="str">
        <f t="shared" si="11"/>
        <v>Slightly Over</v>
      </c>
    </row>
    <row r="215" spans="1:8" x14ac:dyDescent="0.25">
      <c r="A215" s="14">
        <v>45383</v>
      </c>
      <c r="B215" s="13" t="s">
        <v>1792</v>
      </c>
      <c r="C215" s="13" t="s">
        <v>1783</v>
      </c>
      <c r="D215" s="15">
        <v>16145.11</v>
      </c>
      <c r="E215" s="15">
        <v>17531.66</v>
      </c>
      <c r="F215" s="15">
        <f t="shared" si="9"/>
        <v>1386.5499999999993</v>
      </c>
      <c r="G215" s="28">
        <f t="shared" si="10"/>
        <v>8.5880492607359082E-2</v>
      </c>
      <c r="H215" s="13" t="str">
        <f t="shared" si="11"/>
        <v>Slightly Over</v>
      </c>
    </row>
    <row r="216" spans="1:8" x14ac:dyDescent="0.25">
      <c r="A216" s="11">
        <v>45383</v>
      </c>
      <c r="B216" s="10" t="s">
        <v>1792</v>
      </c>
      <c r="C216" s="10" t="s">
        <v>1780</v>
      </c>
      <c r="D216" s="12">
        <v>9614.0499999999993</v>
      </c>
      <c r="E216" s="12">
        <v>9199.9699999999993</v>
      </c>
      <c r="F216" s="12">
        <f t="shared" si="9"/>
        <v>-414.07999999999993</v>
      </c>
      <c r="G216" s="27">
        <f t="shared" si="10"/>
        <v>-4.3070298157384238E-2</v>
      </c>
      <c r="H216" s="10" t="str">
        <f t="shared" si="11"/>
        <v>Under Budget</v>
      </c>
    </row>
    <row r="217" spans="1:8" x14ac:dyDescent="0.25">
      <c r="A217" s="14">
        <v>45383</v>
      </c>
      <c r="B217" s="13" t="s">
        <v>1877</v>
      </c>
      <c r="C217" s="13" t="s">
        <v>1792</v>
      </c>
      <c r="D217" s="15">
        <v>11338.01</v>
      </c>
      <c r="E217" s="15">
        <v>10956.96</v>
      </c>
      <c r="F217" s="15">
        <f t="shared" si="9"/>
        <v>-381.05000000000109</v>
      </c>
      <c r="G217" s="28">
        <f t="shared" si="10"/>
        <v>-3.3608190502566242E-2</v>
      </c>
      <c r="H217" s="13" t="str">
        <f t="shared" si="11"/>
        <v>Under Budget</v>
      </c>
    </row>
    <row r="218" spans="1:8" x14ac:dyDescent="0.25">
      <c r="A218" s="11">
        <v>45383</v>
      </c>
      <c r="B218" s="10" t="s">
        <v>1877</v>
      </c>
      <c r="C218" s="10" t="s">
        <v>1780</v>
      </c>
      <c r="D218" s="12">
        <v>6826.42</v>
      </c>
      <c r="E218" s="12">
        <v>6731.67</v>
      </c>
      <c r="F218" s="12">
        <f t="shared" si="9"/>
        <v>-94.75</v>
      </c>
      <c r="G218" s="27">
        <f t="shared" si="10"/>
        <v>-1.3879896050931527E-2</v>
      </c>
      <c r="H218" s="10" t="str">
        <f t="shared" si="11"/>
        <v>Under Budget</v>
      </c>
    </row>
    <row r="219" spans="1:8" x14ac:dyDescent="0.25">
      <c r="A219" s="14">
        <v>45383</v>
      </c>
      <c r="B219" s="13" t="s">
        <v>1818</v>
      </c>
      <c r="C219" s="13" t="s">
        <v>1775</v>
      </c>
      <c r="D219" s="15">
        <v>37314.39</v>
      </c>
      <c r="E219" s="15">
        <v>36942.31</v>
      </c>
      <c r="F219" s="15">
        <f t="shared" si="9"/>
        <v>-372.08000000000175</v>
      </c>
      <c r="G219" s="28">
        <f t="shared" si="10"/>
        <v>-9.9714882113844487E-3</v>
      </c>
      <c r="H219" s="13" t="str">
        <f t="shared" si="11"/>
        <v>Under Budget</v>
      </c>
    </row>
    <row r="220" spans="1:8" x14ac:dyDescent="0.25">
      <c r="A220" s="11">
        <v>45383</v>
      </c>
      <c r="B220" s="10" t="s">
        <v>1818</v>
      </c>
      <c r="C220" s="10" t="s">
        <v>1789</v>
      </c>
      <c r="D220" s="12">
        <v>3276.48</v>
      </c>
      <c r="E220" s="12">
        <v>3509.17</v>
      </c>
      <c r="F220" s="12">
        <f t="shared" si="9"/>
        <v>232.69000000000005</v>
      </c>
      <c r="G220" s="27">
        <f t="shared" si="10"/>
        <v>7.1018287918742082E-2</v>
      </c>
      <c r="H220" s="10" t="str">
        <f t="shared" si="11"/>
        <v>Slightly Over</v>
      </c>
    </row>
    <row r="221" spans="1:8" x14ac:dyDescent="0.25">
      <c r="A221" s="14">
        <v>45383</v>
      </c>
      <c r="B221" s="13" t="s">
        <v>1792</v>
      </c>
      <c r="C221" s="13" t="s">
        <v>1786</v>
      </c>
      <c r="D221" s="15">
        <v>14432.24</v>
      </c>
      <c r="E221" s="15">
        <v>14287.47</v>
      </c>
      <c r="F221" s="15">
        <f t="shared" si="9"/>
        <v>-144.77000000000044</v>
      </c>
      <c r="G221" s="28">
        <f t="shared" si="10"/>
        <v>-1.003101389666472E-2</v>
      </c>
      <c r="H221" s="13" t="str">
        <f t="shared" si="11"/>
        <v>Under Budget</v>
      </c>
    </row>
    <row r="222" spans="1:8" x14ac:dyDescent="0.25">
      <c r="A222" s="11">
        <v>45383</v>
      </c>
      <c r="B222" s="10" t="s">
        <v>1862</v>
      </c>
      <c r="C222" s="10" t="s">
        <v>1783</v>
      </c>
      <c r="D222" s="12">
        <v>7659.2</v>
      </c>
      <c r="E222" s="12">
        <v>8387.34</v>
      </c>
      <c r="F222" s="12">
        <f t="shared" si="9"/>
        <v>728.14000000000033</v>
      </c>
      <c r="G222" s="27">
        <f t="shared" si="10"/>
        <v>9.506736996030922E-2</v>
      </c>
      <c r="H222" s="10" t="str">
        <f t="shared" si="11"/>
        <v>Slightly Over</v>
      </c>
    </row>
    <row r="223" spans="1:8" x14ac:dyDescent="0.25">
      <c r="A223" s="14">
        <v>45383</v>
      </c>
      <c r="B223" s="13" t="s">
        <v>1818</v>
      </c>
      <c r="C223" s="13" t="s">
        <v>1797</v>
      </c>
      <c r="D223" s="15">
        <v>2741.47</v>
      </c>
      <c r="E223" s="15">
        <v>2483.92</v>
      </c>
      <c r="F223" s="15">
        <f t="shared" si="9"/>
        <v>-257.54999999999973</v>
      </c>
      <c r="G223" s="28">
        <f t="shared" si="10"/>
        <v>-9.3945948706350882E-2</v>
      </c>
      <c r="H223" s="13" t="str">
        <f t="shared" si="11"/>
        <v>Under Budget</v>
      </c>
    </row>
    <row r="224" spans="1:8" x14ac:dyDescent="0.25">
      <c r="A224" s="11">
        <v>45383</v>
      </c>
      <c r="B224" s="10" t="s">
        <v>1818</v>
      </c>
      <c r="C224" s="10" t="s">
        <v>1778</v>
      </c>
      <c r="D224" s="12">
        <v>6625.15</v>
      </c>
      <c r="E224" s="12">
        <v>7258.32</v>
      </c>
      <c r="F224" s="12">
        <f t="shared" si="9"/>
        <v>633.17000000000007</v>
      </c>
      <c r="G224" s="27">
        <f t="shared" si="10"/>
        <v>9.5570666324536063E-2</v>
      </c>
      <c r="H224" s="10" t="str">
        <f t="shared" si="11"/>
        <v>Slightly Over</v>
      </c>
    </row>
    <row r="225" spans="1:8" x14ac:dyDescent="0.25">
      <c r="A225" s="14">
        <v>45383</v>
      </c>
      <c r="B225" s="13" t="s">
        <v>1799</v>
      </c>
      <c r="C225" s="13" t="s">
        <v>1783</v>
      </c>
      <c r="D225" s="15">
        <v>9244.2000000000007</v>
      </c>
      <c r="E225" s="15">
        <v>9307.7099999999991</v>
      </c>
      <c r="F225" s="15">
        <f t="shared" si="9"/>
        <v>63.509999999998399</v>
      </c>
      <c r="G225" s="28">
        <f t="shared" si="10"/>
        <v>6.8702537807488369E-3</v>
      </c>
      <c r="H225" s="13" t="str">
        <f t="shared" si="11"/>
        <v>Within Budget</v>
      </c>
    </row>
    <row r="226" spans="1:8" x14ac:dyDescent="0.25">
      <c r="A226" s="11">
        <v>45383</v>
      </c>
      <c r="B226" s="10" t="s">
        <v>1774</v>
      </c>
      <c r="C226" s="10" t="s">
        <v>1778</v>
      </c>
      <c r="D226" s="12">
        <v>23516.55</v>
      </c>
      <c r="E226" s="12">
        <v>26125.85</v>
      </c>
      <c r="F226" s="12">
        <f t="shared" si="9"/>
        <v>2609.2999999999993</v>
      </c>
      <c r="G226" s="27">
        <f t="shared" si="10"/>
        <v>0.11095590126953143</v>
      </c>
      <c r="H226" s="10" t="str">
        <f t="shared" si="11"/>
        <v>Slightly Over</v>
      </c>
    </row>
    <row r="227" spans="1:8" x14ac:dyDescent="0.25">
      <c r="A227" s="14">
        <v>45383</v>
      </c>
      <c r="B227" s="13" t="s">
        <v>1799</v>
      </c>
      <c r="C227" s="13" t="s">
        <v>1778</v>
      </c>
      <c r="D227" s="15">
        <v>10169.25</v>
      </c>
      <c r="E227" s="15">
        <v>9477.81</v>
      </c>
      <c r="F227" s="15">
        <f t="shared" si="9"/>
        <v>-691.44000000000051</v>
      </c>
      <c r="G227" s="28">
        <f t="shared" si="10"/>
        <v>-6.799321483885247E-2</v>
      </c>
      <c r="H227" s="13" t="str">
        <f t="shared" si="11"/>
        <v>Under Budget</v>
      </c>
    </row>
    <row r="228" spans="1:8" x14ac:dyDescent="0.25">
      <c r="A228" s="11">
        <v>45383</v>
      </c>
      <c r="B228" s="10" t="s">
        <v>1774</v>
      </c>
      <c r="C228" s="10" t="s">
        <v>1775</v>
      </c>
      <c r="D228" s="12">
        <v>117321.55</v>
      </c>
      <c r="E228" s="12">
        <v>125268.93</v>
      </c>
      <c r="F228" s="12">
        <f t="shared" si="9"/>
        <v>7947.3799999999901</v>
      </c>
      <c r="G228" s="27">
        <f t="shared" si="10"/>
        <v>6.7740155154786055E-2</v>
      </c>
      <c r="H228" s="10" t="str">
        <f t="shared" si="11"/>
        <v>Slightly Over</v>
      </c>
    </row>
    <row r="229" spans="1:8" x14ac:dyDescent="0.25">
      <c r="A229" s="14">
        <v>45383</v>
      </c>
      <c r="B229" s="13" t="s">
        <v>1786</v>
      </c>
      <c r="C229" s="13" t="s">
        <v>1797</v>
      </c>
      <c r="D229" s="15">
        <v>5697.75</v>
      </c>
      <c r="E229" s="15">
        <v>5163.43</v>
      </c>
      <c r="F229" s="15">
        <f t="shared" si="9"/>
        <v>-534.31999999999971</v>
      </c>
      <c r="G229" s="28">
        <f t="shared" si="10"/>
        <v>-9.3777368259400584E-2</v>
      </c>
      <c r="H229" s="13" t="str">
        <f t="shared" si="11"/>
        <v>Under Budget</v>
      </c>
    </row>
    <row r="230" spans="1:8" x14ac:dyDescent="0.25">
      <c r="A230" s="11">
        <v>45383</v>
      </c>
      <c r="B230" s="10" t="s">
        <v>1774</v>
      </c>
      <c r="C230" s="10" t="s">
        <v>1792</v>
      </c>
      <c r="D230" s="12">
        <v>13792.66</v>
      </c>
      <c r="E230" s="12">
        <v>15162.18</v>
      </c>
      <c r="F230" s="12">
        <f t="shared" si="9"/>
        <v>1369.5200000000004</v>
      </c>
      <c r="G230" s="27">
        <f t="shared" si="10"/>
        <v>9.9293392282561913E-2</v>
      </c>
      <c r="H230" s="10" t="str">
        <f t="shared" si="11"/>
        <v>Slightly Over</v>
      </c>
    </row>
    <row r="231" spans="1:8" x14ac:dyDescent="0.25">
      <c r="A231" s="14">
        <v>45383</v>
      </c>
      <c r="B231" s="13" t="s">
        <v>1877</v>
      </c>
      <c r="C231" s="13" t="s">
        <v>1783</v>
      </c>
      <c r="D231" s="15">
        <v>14399.61</v>
      </c>
      <c r="E231" s="15">
        <v>13325.9</v>
      </c>
      <c r="F231" s="15">
        <f t="shared" si="9"/>
        <v>-1073.7100000000009</v>
      </c>
      <c r="G231" s="28">
        <f t="shared" si="10"/>
        <v>-7.4565213918988141E-2</v>
      </c>
      <c r="H231" s="13" t="str">
        <f t="shared" si="11"/>
        <v>Under Budget</v>
      </c>
    </row>
    <row r="232" spans="1:8" x14ac:dyDescent="0.25">
      <c r="A232" s="11">
        <v>45383</v>
      </c>
      <c r="B232" s="10" t="s">
        <v>1799</v>
      </c>
      <c r="C232" s="10" t="s">
        <v>1797</v>
      </c>
      <c r="D232" s="12">
        <v>2544.7399999999998</v>
      </c>
      <c r="E232" s="12">
        <v>2436.42</v>
      </c>
      <c r="F232" s="12">
        <f t="shared" si="9"/>
        <v>-108.31999999999971</v>
      </c>
      <c r="G232" s="27">
        <f t="shared" si="10"/>
        <v>-4.256623466444498E-2</v>
      </c>
      <c r="H232" s="10" t="str">
        <f t="shared" si="11"/>
        <v>Under Budget</v>
      </c>
    </row>
    <row r="233" spans="1:8" x14ac:dyDescent="0.25">
      <c r="A233" s="14">
        <v>45383</v>
      </c>
      <c r="B233" s="13" t="s">
        <v>1877</v>
      </c>
      <c r="C233" s="13" t="s">
        <v>1789</v>
      </c>
      <c r="D233" s="15">
        <v>7581.3</v>
      </c>
      <c r="E233" s="15">
        <v>7939.02</v>
      </c>
      <c r="F233" s="15">
        <f t="shared" si="9"/>
        <v>357.72000000000025</v>
      </c>
      <c r="G233" s="28">
        <f t="shared" si="10"/>
        <v>4.7184519805310465E-2</v>
      </c>
      <c r="H233" s="13" t="str">
        <f t="shared" si="11"/>
        <v>Within Budget</v>
      </c>
    </row>
    <row r="234" spans="1:8" x14ac:dyDescent="0.25">
      <c r="A234" s="11">
        <v>45383</v>
      </c>
      <c r="B234" s="10" t="s">
        <v>1877</v>
      </c>
      <c r="C234" s="10" t="s">
        <v>1797</v>
      </c>
      <c r="D234" s="12">
        <v>3904.94</v>
      </c>
      <c r="E234" s="12">
        <v>4134.26</v>
      </c>
      <c r="F234" s="12">
        <f t="shared" si="9"/>
        <v>229.32000000000016</v>
      </c>
      <c r="G234" s="27">
        <f t="shared" si="10"/>
        <v>5.872561422198553E-2</v>
      </c>
      <c r="H234" s="10" t="str">
        <f t="shared" si="11"/>
        <v>Slightly Over</v>
      </c>
    </row>
    <row r="235" spans="1:8" x14ac:dyDescent="0.25">
      <c r="A235" s="14">
        <v>45383</v>
      </c>
      <c r="B235" s="13" t="s">
        <v>1862</v>
      </c>
      <c r="C235" s="13" t="s">
        <v>1780</v>
      </c>
      <c r="D235" s="15">
        <v>4542.17</v>
      </c>
      <c r="E235" s="15">
        <v>4641.08</v>
      </c>
      <c r="F235" s="15">
        <f t="shared" si="9"/>
        <v>98.909999999999854</v>
      </c>
      <c r="G235" s="28">
        <f t="shared" si="10"/>
        <v>2.1775935290841129E-2</v>
      </c>
      <c r="H235" s="13" t="str">
        <f t="shared" si="11"/>
        <v>Within Budget</v>
      </c>
    </row>
    <row r="236" spans="1:8" x14ac:dyDescent="0.25">
      <c r="A236" s="11">
        <v>45383</v>
      </c>
      <c r="B236" s="10" t="s">
        <v>1792</v>
      </c>
      <c r="C236" s="10" t="s">
        <v>1797</v>
      </c>
      <c r="D236" s="12">
        <v>6735.39</v>
      </c>
      <c r="E236" s="12">
        <v>6223.51</v>
      </c>
      <c r="F236" s="12">
        <f t="shared" si="9"/>
        <v>-511.88000000000011</v>
      </c>
      <c r="G236" s="27">
        <f t="shared" si="10"/>
        <v>-7.5998568753999407E-2</v>
      </c>
      <c r="H236" s="10" t="str">
        <f t="shared" si="11"/>
        <v>Under Budget</v>
      </c>
    </row>
    <row r="237" spans="1:8" x14ac:dyDescent="0.25">
      <c r="A237" s="14">
        <v>45383</v>
      </c>
      <c r="B237" s="13" t="s">
        <v>1774</v>
      </c>
      <c r="C237" s="13" t="s">
        <v>1786</v>
      </c>
      <c r="D237" s="15">
        <v>22964.69</v>
      </c>
      <c r="E237" s="15">
        <v>21075.67</v>
      </c>
      <c r="F237" s="15">
        <f t="shared" si="9"/>
        <v>-1889.0200000000004</v>
      </c>
      <c r="G237" s="28">
        <f t="shared" si="10"/>
        <v>-8.2257587626917691E-2</v>
      </c>
      <c r="H237" s="13" t="str">
        <f t="shared" si="11"/>
        <v>Under Budget</v>
      </c>
    </row>
    <row r="238" spans="1:8" x14ac:dyDescent="0.25">
      <c r="A238" s="11">
        <v>45383</v>
      </c>
      <c r="B238" s="10" t="s">
        <v>1862</v>
      </c>
      <c r="C238" s="10" t="s">
        <v>1792</v>
      </c>
      <c r="D238" s="12">
        <v>6350.51</v>
      </c>
      <c r="E238" s="12">
        <v>6766.21</v>
      </c>
      <c r="F238" s="12">
        <f t="shared" si="9"/>
        <v>415.69999999999982</v>
      </c>
      <c r="G238" s="27">
        <f t="shared" si="10"/>
        <v>6.5459309567263077E-2</v>
      </c>
      <c r="H238" s="10" t="str">
        <f t="shared" si="11"/>
        <v>Slightly Over</v>
      </c>
    </row>
    <row r="239" spans="1:8" x14ac:dyDescent="0.25">
      <c r="A239" s="14">
        <v>45383</v>
      </c>
      <c r="B239" s="13" t="s">
        <v>1862</v>
      </c>
      <c r="C239" s="13" t="s">
        <v>1795</v>
      </c>
      <c r="D239" s="15">
        <v>2584.11</v>
      </c>
      <c r="E239" s="15">
        <v>2642.89</v>
      </c>
      <c r="F239" s="15">
        <f t="shared" si="9"/>
        <v>58.779999999999745</v>
      </c>
      <c r="G239" s="28">
        <f t="shared" si="10"/>
        <v>2.2746709698890429E-2</v>
      </c>
      <c r="H239" s="13" t="str">
        <f t="shared" si="11"/>
        <v>Within Budget</v>
      </c>
    </row>
    <row r="240" spans="1:8" x14ac:dyDescent="0.25">
      <c r="A240" s="11">
        <v>45383</v>
      </c>
      <c r="B240" s="10" t="s">
        <v>1818</v>
      </c>
      <c r="C240" s="10" t="s">
        <v>1780</v>
      </c>
      <c r="D240" s="12">
        <v>3366.2</v>
      </c>
      <c r="E240" s="12">
        <v>3535</v>
      </c>
      <c r="F240" s="12">
        <f t="shared" si="9"/>
        <v>168.80000000000018</v>
      </c>
      <c r="G240" s="27">
        <f t="shared" si="10"/>
        <v>5.014556473174505E-2</v>
      </c>
      <c r="H240" s="10" t="str">
        <f t="shared" si="11"/>
        <v>Slightly Over</v>
      </c>
    </row>
    <row r="241" spans="1:8" x14ac:dyDescent="0.25">
      <c r="A241" s="14">
        <v>45383</v>
      </c>
      <c r="B241" s="13" t="s">
        <v>1792</v>
      </c>
      <c r="C241" s="13" t="s">
        <v>1778</v>
      </c>
      <c r="D241" s="15">
        <v>19446.740000000002</v>
      </c>
      <c r="E241" s="15">
        <v>20978.560000000001</v>
      </c>
      <c r="F241" s="15">
        <f t="shared" si="9"/>
        <v>1531.8199999999997</v>
      </c>
      <c r="G241" s="28">
        <f t="shared" si="10"/>
        <v>7.8770014922809661E-2</v>
      </c>
      <c r="H241" s="13" t="str">
        <f t="shared" si="11"/>
        <v>Slightly Over</v>
      </c>
    </row>
    <row r="242" spans="1:8" x14ac:dyDescent="0.25">
      <c r="A242" s="11">
        <v>45383</v>
      </c>
      <c r="B242" s="10" t="s">
        <v>1862</v>
      </c>
      <c r="C242" s="10" t="s">
        <v>1797</v>
      </c>
      <c r="D242" s="12">
        <v>2999.1</v>
      </c>
      <c r="E242" s="12">
        <v>2877.61</v>
      </c>
      <c r="F242" s="12">
        <f t="shared" si="9"/>
        <v>-121.48999999999978</v>
      </c>
      <c r="G242" s="27">
        <f t="shared" si="10"/>
        <v>-4.050881931246033E-2</v>
      </c>
      <c r="H242" s="10" t="str">
        <f t="shared" si="11"/>
        <v>Under Budget</v>
      </c>
    </row>
    <row r="243" spans="1:8" x14ac:dyDescent="0.25">
      <c r="A243" s="14">
        <v>45383</v>
      </c>
      <c r="B243" s="13" t="s">
        <v>1799</v>
      </c>
      <c r="C243" s="13" t="s">
        <v>1775</v>
      </c>
      <c r="D243" s="15">
        <v>43852.99</v>
      </c>
      <c r="E243" s="15">
        <v>44927.12</v>
      </c>
      <c r="F243" s="15">
        <f t="shared" si="9"/>
        <v>1074.1300000000047</v>
      </c>
      <c r="G243" s="28">
        <f t="shared" si="10"/>
        <v>2.4493882857246557E-2</v>
      </c>
      <c r="H243" s="13" t="str">
        <f t="shared" si="11"/>
        <v>Within Budget</v>
      </c>
    </row>
    <row r="244" spans="1:8" x14ac:dyDescent="0.25">
      <c r="A244" s="11">
        <v>45383</v>
      </c>
      <c r="B244" s="10" t="s">
        <v>1786</v>
      </c>
      <c r="C244" s="10" t="s">
        <v>1789</v>
      </c>
      <c r="D244" s="12">
        <v>6674.73</v>
      </c>
      <c r="E244" s="12">
        <v>7029.11</v>
      </c>
      <c r="F244" s="12">
        <f t="shared" si="9"/>
        <v>354.38000000000011</v>
      </c>
      <c r="G244" s="27">
        <f t="shared" si="10"/>
        <v>5.3092784277416483E-2</v>
      </c>
      <c r="H244" s="10" t="str">
        <f t="shared" si="11"/>
        <v>Slightly Over</v>
      </c>
    </row>
    <row r="245" spans="1:8" x14ac:dyDescent="0.25">
      <c r="A245" s="14">
        <v>45383</v>
      </c>
      <c r="B245" s="13" t="s">
        <v>1792</v>
      </c>
      <c r="C245" s="13" t="s">
        <v>1795</v>
      </c>
      <c r="D245" s="15">
        <v>7165.42</v>
      </c>
      <c r="E245" s="15">
        <v>6570.65</v>
      </c>
      <c r="F245" s="15">
        <f t="shared" si="9"/>
        <v>-594.77000000000044</v>
      </c>
      <c r="G245" s="28">
        <f t="shared" si="10"/>
        <v>-8.3005601904703477E-2</v>
      </c>
      <c r="H245" s="13" t="str">
        <f t="shared" si="11"/>
        <v>Under Budget</v>
      </c>
    </row>
    <row r="246" spans="1:8" x14ac:dyDescent="0.25">
      <c r="A246" s="11">
        <v>45383</v>
      </c>
      <c r="B246" s="10" t="s">
        <v>1774</v>
      </c>
      <c r="C246" s="10" t="s">
        <v>1795</v>
      </c>
      <c r="D246" s="12">
        <v>6245.39</v>
      </c>
      <c r="E246" s="12">
        <v>5866.25</v>
      </c>
      <c r="F246" s="12">
        <f t="shared" si="9"/>
        <v>-379.14000000000033</v>
      </c>
      <c r="G246" s="27">
        <f t="shared" si="10"/>
        <v>-6.0707177614208289E-2</v>
      </c>
      <c r="H246" s="10" t="str">
        <f t="shared" si="11"/>
        <v>Under Budget</v>
      </c>
    </row>
    <row r="247" spans="1:8" x14ac:dyDescent="0.25">
      <c r="A247" s="14">
        <v>45383</v>
      </c>
      <c r="B247" s="13" t="s">
        <v>1786</v>
      </c>
      <c r="C247" s="13" t="s">
        <v>1783</v>
      </c>
      <c r="D247" s="15">
        <v>15409.86</v>
      </c>
      <c r="E247" s="15">
        <v>14398.68</v>
      </c>
      <c r="F247" s="15">
        <f t="shared" si="9"/>
        <v>-1011.1800000000003</v>
      </c>
      <c r="G247" s="28">
        <f t="shared" si="10"/>
        <v>-6.5619025740662168E-2</v>
      </c>
      <c r="H247" s="13" t="str">
        <f t="shared" si="11"/>
        <v>Under Budget</v>
      </c>
    </row>
    <row r="248" spans="1:8" x14ac:dyDescent="0.25">
      <c r="A248" s="11">
        <v>45383</v>
      </c>
      <c r="B248" s="10" t="s">
        <v>1799</v>
      </c>
      <c r="C248" s="10" t="s">
        <v>1786</v>
      </c>
      <c r="D248" s="12">
        <v>6774.72</v>
      </c>
      <c r="E248" s="12">
        <v>7456.03</v>
      </c>
      <c r="F248" s="12">
        <f t="shared" si="9"/>
        <v>681.30999999999949</v>
      </c>
      <c r="G248" s="27">
        <f t="shared" si="10"/>
        <v>0.10056651787822958</v>
      </c>
      <c r="H248" s="10" t="str">
        <f t="shared" si="11"/>
        <v>Slightly Over</v>
      </c>
    </row>
    <row r="249" spans="1:8" x14ac:dyDescent="0.25">
      <c r="A249" s="14">
        <v>45383</v>
      </c>
      <c r="B249" s="13" t="s">
        <v>1862</v>
      </c>
      <c r="C249" s="13" t="s">
        <v>1778</v>
      </c>
      <c r="D249" s="15">
        <v>9115.31</v>
      </c>
      <c r="E249" s="15">
        <v>8276.65</v>
      </c>
      <c r="F249" s="15">
        <f t="shared" si="9"/>
        <v>-838.65999999999985</v>
      </c>
      <c r="G249" s="28">
        <f t="shared" si="10"/>
        <v>-9.2005647641166338E-2</v>
      </c>
      <c r="H249" s="13" t="str">
        <f t="shared" si="11"/>
        <v>Under Budget</v>
      </c>
    </row>
    <row r="250" spans="1:8" x14ac:dyDescent="0.25">
      <c r="A250" s="11">
        <v>45383</v>
      </c>
      <c r="B250" s="10" t="s">
        <v>1818</v>
      </c>
      <c r="C250" s="10" t="s">
        <v>1792</v>
      </c>
      <c r="D250" s="12">
        <v>7901.15</v>
      </c>
      <c r="E250" s="12">
        <v>7697.61</v>
      </c>
      <c r="F250" s="12">
        <f t="shared" si="9"/>
        <v>-203.53999999999996</v>
      </c>
      <c r="G250" s="27">
        <f t="shared" si="10"/>
        <v>-2.5760806971137109E-2</v>
      </c>
      <c r="H250" s="10" t="str">
        <f t="shared" si="11"/>
        <v>Under Budget</v>
      </c>
    </row>
    <row r="251" spans="1:8" x14ac:dyDescent="0.25">
      <c r="A251" s="14">
        <v>45383</v>
      </c>
      <c r="B251" s="13" t="s">
        <v>1799</v>
      </c>
      <c r="C251" s="13" t="s">
        <v>1795</v>
      </c>
      <c r="D251" s="15">
        <v>3123.35</v>
      </c>
      <c r="E251" s="15">
        <v>3089.87</v>
      </c>
      <c r="F251" s="15">
        <f t="shared" si="9"/>
        <v>-33.480000000000018</v>
      </c>
      <c r="G251" s="28">
        <f t="shared" si="10"/>
        <v>-1.0719259769158121E-2</v>
      </c>
      <c r="H251" s="13" t="str">
        <f t="shared" si="11"/>
        <v>Under Budget</v>
      </c>
    </row>
    <row r="252" spans="1:8" x14ac:dyDescent="0.25">
      <c r="A252" s="11">
        <v>45383</v>
      </c>
      <c r="B252" s="10" t="s">
        <v>1786</v>
      </c>
      <c r="C252" s="10" t="s">
        <v>1778</v>
      </c>
      <c r="D252" s="12">
        <v>13714.15</v>
      </c>
      <c r="E252" s="12">
        <v>15198.62</v>
      </c>
      <c r="F252" s="12">
        <f t="shared" si="9"/>
        <v>1484.4700000000012</v>
      </c>
      <c r="G252" s="27">
        <f t="shared" si="10"/>
        <v>0.10824367532803719</v>
      </c>
      <c r="H252" s="10" t="str">
        <f t="shared" si="11"/>
        <v>Slightly Over</v>
      </c>
    </row>
    <row r="253" spans="1:8" x14ac:dyDescent="0.25">
      <c r="A253" s="14">
        <v>45383</v>
      </c>
      <c r="B253" s="13" t="s">
        <v>1877</v>
      </c>
      <c r="C253" s="13" t="s">
        <v>1778</v>
      </c>
      <c r="D253" s="15">
        <v>16493.04</v>
      </c>
      <c r="E253" s="15">
        <v>15028.02</v>
      </c>
      <c r="F253" s="15">
        <f t="shared" si="9"/>
        <v>-1465.0200000000004</v>
      </c>
      <c r="G253" s="28">
        <f t="shared" si="10"/>
        <v>-8.882655956694463E-2</v>
      </c>
      <c r="H253" s="13" t="str">
        <f t="shared" si="11"/>
        <v>Under Budget</v>
      </c>
    </row>
    <row r="254" spans="1:8" x14ac:dyDescent="0.25">
      <c r="A254" s="11">
        <v>45413</v>
      </c>
      <c r="B254" s="10" t="s">
        <v>1877</v>
      </c>
      <c r="C254" s="10" t="s">
        <v>1797</v>
      </c>
      <c r="D254" s="12">
        <v>4910.76</v>
      </c>
      <c r="E254" s="12">
        <v>4816.1000000000004</v>
      </c>
      <c r="F254" s="12">
        <f t="shared" si="9"/>
        <v>-94.659999999999854</v>
      </c>
      <c r="G254" s="27">
        <f t="shared" si="10"/>
        <v>-1.9276038739421159E-2</v>
      </c>
      <c r="H254" s="10" t="str">
        <f t="shared" si="11"/>
        <v>Under Budget</v>
      </c>
    </row>
    <row r="255" spans="1:8" x14ac:dyDescent="0.25">
      <c r="A255" s="14">
        <v>45413</v>
      </c>
      <c r="B255" s="13" t="s">
        <v>1818</v>
      </c>
      <c r="C255" s="13" t="s">
        <v>1783</v>
      </c>
      <c r="D255" s="15">
        <v>8147.06</v>
      </c>
      <c r="E255" s="15">
        <v>7532.88</v>
      </c>
      <c r="F255" s="15">
        <f t="shared" si="9"/>
        <v>-614.18000000000029</v>
      </c>
      <c r="G255" s="28">
        <f t="shared" si="10"/>
        <v>-7.538670391527745E-2</v>
      </c>
      <c r="H255" s="13" t="str">
        <f t="shared" si="11"/>
        <v>Under Budget</v>
      </c>
    </row>
    <row r="256" spans="1:8" x14ac:dyDescent="0.25">
      <c r="A256" s="11">
        <v>45413</v>
      </c>
      <c r="B256" s="10" t="s">
        <v>1786</v>
      </c>
      <c r="C256" s="10" t="s">
        <v>1786</v>
      </c>
      <c r="D256" s="12">
        <v>11111.59</v>
      </c>
      <c r="E256" s="12">
        <v>10641.12</v>
      </c>
      <c r="F256" s="12">
        <f t="shared" si="9"/>
        <v>-470.46999999999935</v>
      </c>
      <c r="G256" s="27">
        <f t="shared" si="10"/>
        <v>-4.2340475125522033E-2</v>
      </c>
      <c r="H256" s="10" t="str">
        <f t="shared" si="11"/>
        <v>Under Budget</v>
      </c>
    </row>
    <row r="257" spans="1:8" x14ac:dyDescent="0.25">
      <c r="A257" s="14">
        <v>45413</v>
      </c>
      <c r="B257" s="13" t="s">
        <v>1786</v>
      </c>
      <c r="C257" s="13" t="s">
        <v>1797</v>
      </c>
      <c r="D257" s="15">
        <v>5181.0600000000004</v>
      </c>
      <c r="E257" s="15">
        <v>4818.37</v>
      </c>
      <c r="F257" s="15">
        <f t="shared" si="9"/>
        <v>-362.69000000000051</v>
      </c>
      <c r="G257" s="28">
        <f t="shared" si="10"/>
        <v>-7.0003049569007214E-2</v>
      </c>
      <c r="H257" s="13" t="str">
        <f t="shared" si="11"/>
        <v>Under Budget</v>
      </c>
    </row>
    <row r="258" spans="1:8" x14ac:dyDescent="0.25">
      <c r="A258" s="11">
        <v>45413</v>
      </c>
      <c r="B258" s="10" t="s">
        <v>1792</v>
      </c>
      <c r="C258" s="10" t="s">
        <v>1792</v>
      </c>
      <c r="D258" s="12">
        <v>16727.16</v>
      </c>
      <c r="E258" s="12">
        <v>15893.62</v>
      </c>
      <c r="F258" s="12">
        <f t="shared" ref="F258:F321" si="12">E258-D258</f>
        <v>-833.53999999999905</v>
      </c>
      <c r="G258" s="27">
        <f t="shared" ref="G258:G321" si="13">IFERROR(F258/D258,0)</f>
        <v>-4.9831531473364221E-2</v>
      </c>
      <c r="H258" s="10" t="str">
        <f t="shared" ref="H258:H321" si="14">IF(G258&lt;=0,"Under Budget",IF(G258&lt;=5%,"Within Budget",IF(G258&lt;=15%,"Slightly Over","Significantly Over")))</f>
        <v>Under Budget</v>
      </c>
    </row>
    <row r="259" spans="1:8" x14ac:dyDescent="0.25">
      <c r="A259" s="14">
        <v>45413</v>
      </c>
      <c r="B259" s="13" t="s">
        <v>1799</v>
      </c>
      <c r="C259" s="13" t="s">
        <v>1789</v>
      </c>
      <c r="D259" s="15">
        <v>5504.97</v>
      </c>
      <c r="E259" s="15">
        <v>4992.66</v>
      </c>
      <c r="F259" s="15">
        <f t="shared" si="12"/>
        <v>-512.3100000000004</v>
      </c>
      <c r="G259" s="28">
        <f t="shared" si="13"/>
        <v>-9.3063177456008006E-2</v>
      </c>
      <c r="H259" s="13" t="str">
        <f t="shared" si="14"/>
        <v>Under Budget</v>
      </c>
    </row>
    <row r="260" spans="1:8" x14ac:dyDescent="0.25">
      <c r="A260" s="11">
        <v>45413</v>
      </c>
      <c r="B260" s="10" t="s">
        <v>1877</v>
      </c>
      <c r="C260" s="10" t="s">
        <v>1775</v>
      </c>
      <c r="D260" s="12">
        <v>62313.23</v>
      </c>
      <c r="E260" s="12">
        <v>65620.05</v>
      </c>
      <c r="F260" s="12">
        <f t="shared" si="12"/>
        <v>3306.8199999999997</v>
      </c>
      <c r="G260" s="27">
        <f t="shared" si="13"/>
        <v>5.3067703279062885E-2</v>
      </c>
      <c r="H260" s="10" t="str">
        <f t="shared" si="14"/>
        <v>Slightly Over</v>
      </c>
    </row>
    <row r="261" spans="1:8" x14ac:dyDescent="0.25">
      <c r="A261" s="14">
        <v>45413</v>
      </c>
      <c r="B261" s="13" t="s">
        <v>1877</v>
      </c>
      <c r="C261" s="13" t="s">
        <v>1789</v>
      </c>
      <c r="D261" s="15">
        <v>6836.46</v>
      </c>
      <c r="E261" s="15">
        <v>7238.47</v>
      </c>
      <c r="F261" s="15">
        <f t="shared" si="12"/>
        <v>402.01000000000022</v>
      </c>
      <c r="G261" s="28">
        <f t="shared" si="13"/>
        <v>5.8803825371610483E-2</v>
      </c>
      <c r="H261" s="13" t="str">
        <f t="shared" si="14"/>
        <v>Slightly Over</v>
      </c>
    </row>
    <row r="262" spans="1:8" x14ac:dyDescent="0.25">
      <c r="A262" s="11">
        <v>45413</v>
      </c>
      <c r="B262" s="10" t="s">
        <v>1818</v>
      </c>
      <c r="C262" s="10" t="s">
        <v>1797</v>
      </c>
      <c r="D262" s="12">
        <v>2451.91</v>
      </c>
      <c r="E262" s="12">
        <v>2320.2199999999998</v>
      </c>
      <c r="F262" s="12">
        <f t="shared" si="12"/>
        <v>-131.69000000000005</v>
      </c>
      <c r="G262" s="27">
        <f t="shared" si="13"/>
        <v>-5.3709149193893767E-2</v>
      </c>
      <c r="H262" s="10" t="str">
        <f t="shared" si="14"/>
        <v>Under Budget</v>
      </c>
    </row>
    <row r="263" spans="1:8" x14ac:dyDescent="0.25">
      <c r="A263" s="14">
        <v>45413</v>
      </c>
      <c r="B263" s="13" t="s">
        <v>1818</v>
      </c>
      <c r="C263" s="13" t="s">
        <v>1775</v>
      </c>
      <c r="D263" s="15">
        <v>36618.97</v>
      </c>
      <c r="E263" s="15">
        <v>36245.39</v>
      </c>
      <c r="F263" s="15">
        <f t="shared" si="12"/>
        <v>-373.58000000000175</v>
      </c>
      <c r="G263" s="28">
        <f t="shared" si="13"/>
        <v>-1.0201816162497246E-2</v>
      </c>
      <c r="H263" s="13" t="str">
        <f t="shared" si="14"/>
        <v>Under Budget</v>
      </c>
    </row>
    <row r="264" spans="1:8" x14ac:dyDescent="0.25">
      <c r="A264" s="11">
        <v>45413</v>
      </c>
      <c r="B264" s="10" t="s">
        <v>1799</v>
      </c>
      <c r="C264" s="10" t="s">
        <v>1795</v>
      </c>
      <c r="D264" s="12">
        <v>3363.6</v>
      </c>
      <c r="E264" s="12">
        <v>3259.89</v>
      </c>
      <c r="F264" s="12">
        <f t="shared" si="12"/>
        <v>-103.71000000000004</v>
      </c>
      <c r="G264" s="27">
        <f t="shared" si="13"/>
        <v>-3.0833036032821989E-2</v>
      </c>
      <c r="H264" s="10" t="str">
        <f t="shared" si="14"/>
        <v>Under Budget</v>
      </c>
    </row>
    <row r="265" spans="1:8" x14ac:dyDescent="0.25">
      <c r="A265" s="14">
        <v>45413</v>
      </c>
      <c r="B265" s="13" t="s">
        <v>1862</v>
      </c>
      <c r="C265" s="13" t="s">
        <v>1783</v>
      </c>
      <c r="D265" s="15">
        <v>7170.3</v>
      </c>
      <c r="E265" s="15">
        <v>6790.83</v>
      </c>
      <c r="F265" s="15">
        <f t="shared" si="12"/>
        <v>-379.47000000000025</v>
      </c>
      <c r="G265" s="28">
        <f t="shared" si="13"/>
        <v>-5.2922471863101998E-2</v>
      </c>
      <c r="H265" s="13" t="str">
        <f t="shared" si="14"/>
        <v>Under Budget</v>
      </c>
    </row>
    <row r="266" spans="1:8" x14ac:dyDescent="0.25">
      <c r="A266" s="11">
        <v>45413</v>
      </c>
      <c r="B266" s="10" t="s">
        <v>1818</v>
      </c>
      <c r="C266" s="10" t="s">
        <v>1795</v>
      </c>
      <c r="D266" s="12">
        <v>2706.27</v>
      </c>
      <c r="E266" s="12">
        <v>2652.08</v>
      </c>
      <c r="F266" s="12">
        <f t="shared" si="12"/>
        <v>-54.190000000000055</v>
      </c>
      <c r="G266" s="27">
        <f t="shared" si="13"/>
        <v>-2.0023870493335868E-2</v>
      </c>
      <c r="H266" s="10" t="str">
        <f t="shared" si="14"/>
        <v>Under Budget</v>
      </c>
    </row>
    <row r="267" spans="1:8" x14ac:dyDescent="0.25">
      <c r="A267" s="14">
        <v>45413</v>
      </c>
      <c r="B267" s="13" t="s">
        <v>1862</v>
      </c>
      <c r="C267" s="13" t="s">
        <v>1795</v>
      </c>
      <c r="D267" s="15">
        <v>2467.4</v>
      </c>
      <c r="E267" s="15">
        <v>2298.91</v>
      </c>
      <c r="F267" s="15">
        <f t="shared" si="12"/>
        <v>-168.49000000000024</v>
      </c>
      <c r="G267" s="28">
        <f t="shared" si="13"/>
        <v>-6.8286455378130925E-2</v>
      </c>
      <c r="H267" s="13" t="str">
        <f t="shared" si="14"/>
        <v>Under Budget</v>
      </c>
    </row>
    <row r="268" spans="1:8" x14ac:dyDescent="0.25">
      <c r="A268" s="11">
        <v>45413</v>
      </c>
      <c r="B268" s="10" t="s">
        <v>1818</v>
      </c>
      <c r="C268" s="10" t="s">
        <v>1792</v>
      </c>
      <c r="D268" s="12">
        <v>6333.55</v>
      </c>
      <c r="E268" s="12">
        <v>6528.42</v>
      </c>
      <c r="F268" s="12">
        <f t="shared" si="12"/>
        <v>194.86999999999989</v>
      </c>
      <c r="G268" s="27">
        <f t="shared" si="13"/>
        <v>3.0767894782546896E-2</v>
      </c>
      <c r="H268" s="10" t="str">
        <f t="shared" si="14"/>
        <v>Within Budget</v>
      </c>
    </row>
    <row r="269" spans="1:8" x14ac:dyDescent="0.25">
      <c r="A269" s="14">
        <v>45413</v>
      </c>
      <c r="B269" s="13" t="s">
        <v>1799</v>
      </c>
      <c r="C269" s="13" t="s">
        <v>1786</v>
      </c>
      <c r="D269" s="15">
        <v>9219.8700000000008</v>
      </c>
      <c r="E269" s="15">
        <v>8466.5400000000009</v>
      </c>
      <c r="F269" s="15">
        <f t="shared" si="12"/>
        <v>-753.32999999999993</v>
      </c>
      <c r="G269" s="28">
        <f t="shared" si="13"/>
        <v>-8.1707225806871453E-2</v>
      </c>
      <c r="H269" s="13" t="str">
        <f t="shared" si="14"/>
        <v>Under Budget</v>
      </c>
    </row>
    <row r="270" spans="1:8" x14ac:dyDescent="0.25">
      <c r="A270" s="11">
        <v>45413</v>
      </c>
      <c r="B270" s="10" t="s">
        <v>1792</v>
      </c>
      <c r="C270" s="10" t="s">
        <v>1775</v>
      </c>
      <c r="D270" s="12">
        <v>99956.34</v>
      </c>
      <c r="E270" s="12">
        <v>108214.3</v>
      </c>
      <c r="F270" s="12">
        <f t="shared" si="12"/>
        <v>8257.9600000000064</v>
      </c>
      <c r="G270" s="27">
        <f t="shared" si="13"/>
        <v>8.2615670001522729E-2</v>
      </c>
      <c r="H270" s="10" t="str">
        <f t="shared" si="14"/>
        <v>Slightly Over</v>
      </c>
    </row>
    <row r="271" spans="1:8" x14ac:dyDescent="0.25">
      <c r="A271" s="14">
        <v>45413</v>
      </c>
      <c r="B271" s="13" t="s">
        <v>1818</v>
      </c>
      <c r="C271" s="13" t="s">
        <v>1778</v>
      </c>
      <c r="D271" s="15">
        <v>8734.61</v>
      </c>
      <c r="E271" s="15">
        <v>8402.86</v>
      </c>
      <c r="F271" s="15">
        <f t="shared" si="12"/>
        <v>-331.75</v>
      </c>
      <c r="G271" s="28">
        <f t="shared" si="13"/>
        <v>-3.7981089024009082E-2</v>
      </c>
      <c r="H271" s="13" t="str">
        <f t="shared" si="14"/>
        <v>Under Budget</v>
      </c>
    </row>
    <row r="272" spans="1:8" x14ac:dyDescent="0.25">
      <c r="A272" s="11">
        <v>45413</v>
      </c>
      <c r="B272" s="10" t="s">
        <v>1799</v>
      </c>
      <c r="C272" s="10" t="s">
        <v>1775</v>
      </c>
      <c r="D272" s="12">
        <v>52078.64</v>
      </c>
      <c r="E272" s="12">
        <v>47524.42</v>
      </c>
      <c r="F272" s="12">
        <f t="shared" si="12"/>
        <v>-4554.2200000000012</v>
      </c>
      <c r="G272" s="27">
        <f t="shared" si="13"/>
        <v>-8.7448904195654903E-2</v>
      </c>
      <c r="H272" s="10" t="str">
        <f t="shared" si="14"/>
        <v>Under Budget</v>
      </c>
    </row>
    <row r="273" spans="1:8" x14ac:dyDescent="0.25">
      <c r="A273" s="14">
        <v>45413</v>
      </c>
      <c r="B273" s="13" t="s">
        <v>1799</v>
      </c>
      <c r="C273" s="13" t="s">
        <v>1783</v>
      </c>
      <c r="D273" s="15">
        <v>7043.6</v>
      </c>
      <c r="E273" s="15">
        <v>7370.92</v>
      </c>
      <c r="F273" s="15">
        <f t="shared" si="12"/>
        <v>327.31999999999971</v>
      </c>
      <c r="G273" s="28">
        <f t="shared" si="13"/>
        <v>4.6470554829916473E-2</v>
      </c>
      <c r="H273" s="13" t="str">
        <f t="shared" si="14"/>
        <v>Within Budget</v>
      </c>
    </row>
    <row r="274" spans="1:8" x14ac:dyDescent="0.25">
      <c r="A274" s="11">
        <v>45413</v>
      </c>
      <c r="B274" s="10" t="s">
        <v>1792</v>
      </c>
      <c r="C274" s="10" t="s">
        <v>1783</v>
      </c>
      <c r="D274" s="12">
        <v>14519.29</v>
      </c>
      <c r="E274" s="12">
        <v>14939.02</v>
      </c>
      <c r="F274" s="12">
        <f t="shared" si="12"/>
        <v>419.72999999999956</v>
      </c>
      <c r="G274" s="27">
        <f t="shared" si="13"/>
        <v>2.8908438360277917E-2</v>
      </c>
      <c r="H274" s="10" t="str">
        <f t="shared" si="14"/>
        <v>Within Budget</v>
      </c>
    </row>
    <row r="275" spans="1:8" x14ac:dyDescent="0.25">
      <c r="A275" s="14">
        <v>45413</v>
      </c>
      <c r="B275" s="13" t="s">
        <v>1792</v>
      </c>
      <c r="C275" s="13" t="s">
        <v>1795</v>
      </c>
      <c r="D275" s="15">
        <v>5008.43</v>
      </c>
      <c r="E275" s="15">
        <v>5178.29</v>
      </c>
      <c r="F275" s="15">
        <f t="shared" si="12"/>
        <v>169.85999999999967</v>
      </c>
      <c r="G275" s="28">
        <f t="shared" si="13"/>
        <v>3.3914819614130509E-2</v>
      </c>
      <c r="H275" s="13" t="str">
        <f t="shared" si="14"/>
        <v>Within Budget</v>
      </c>
    </row>
    <row r="276" spans="1:8" x14ac:dyDescent="0.25">
      <c r="A276" s="11">
        <v>45413</v>
      </c>
      <c r="B276" s="10" t="s">
        <v>1799</v>
      </c>
      <c r="C276" s="10" t="s">
        <v>1778</v>
      </c>
      <c r="D276" s="12">
        <v>10972.65</v>
      </c>
      <c r="E276" s="12">
        <v>10714.03</v>
      </c>
      <c r="F276" s="12">
        <f t="shared" si="12"/>
        <v>-258.61999999999898</v>
      </c>
      <c r="G276" s="27">
        <f t="shared" si="13"/>
        <v>-2.356951146714777E-2</v>
      </c>
      <c r="H276" s="10" t="str">
        <f t="shared" si="14"/>
        <v>Under Budget</v>
      </c>
    </row>
    <row r="277" spans="1:8" x14ac:dyDescent="0.25">
      <c r="A277" s="14">
        <v>45413</v>
      </c>
      <c r="B277" s="13" t="s">
        <v>1786</v>
      </c>
      <c r="C277" s="13" t="s">
        <v>1783</v>
      </c>
      <c r="D277" s="15">
        <v>13343.01</v>
      </c>
      <c r="E277" s="15">
        <v>13466.47</v>
      </c>
      <c r="F277" s="15">
        <f t="shared" si="12"/>
        <v>123.45999999999913</v>
      </c>
      <c r="G277" s="28">
        <f t="shared" si="13"/>
        <v>9.2527847914375492E-3</v>
      </c>
      <c r="H277" s="13" t="str">
        <f t="shared" si="14"/>
        <v>Within Budget</v>
      </c>
    </row>
    <row r="278" spans="1:8" x14ac:dyDescent="0.25">
      <c r="A278" s="11">
        <v>45413</v>
      </c>
      <c r="B278" s="10" t="s">
        <v>1792</v>
      </c>
      <c r="C278" s="10" t="s">
        <v>1778</v>
      </c>
      <c r="D278" s="12">
        <v>15665.28</v>
      </c>
      <c r="E278" s="12">
        <v>16958.330000000002</v>
      </c>
      <c r="F278" s="12">
        <f t="shared" si="12"/>
        <v>1293.0500000000011</v>
      </c>
      <c r="G278" s="27">
        <f t="shared" si="13"/>
        <v>8.2542412264574969E-2</v>
      </c>
      <c r="H278" s="10" t="str">
        <f t="shared" si="14"/>
        <v>Slightly Over</v>
      </c>
    </row>
    <row r="279" spans="1:8" x14ac:dyDescent="0.25">
      <c r="A279" s="14">
        <v>45413</v>
      </c>
      <c r="B279" s="13" t="s">
        <v>1877</v>
      </c>
      <c r="C279" s="13" t="s">
        <v>1786</v>
      </c>
      <c r="D279" s="15">
        <v>12306.47</v>
      </c>
      <c r="E279" s="15">
        <v>11227.68</v>
      </c>
      <c r="F279" s="15">
        <f t="shared" si="12"/>
        <v>-1078.7899999999991</v>
      </c>
      <c r="G279" s="28">
        <f t="shared" si="13"/>
        <v>-8.7660393272806836E-2</v>
      </c>
      <c r="H279" s="13" t="str">
        <f t="shared" si="14"/>
        <v>Under Budget</v>
      </c>
    </row>
    <row r="280" spans="1:8" x14ac:dyDescent="0.25">
      <c r="A280" s="11">
        <v>45413</v>
      </c>
      <c r="B280" s="10" t="s">
        <v>1862</v>
      </c>
      <c r="C280" s="10" t="s">
        <v>1786</v>
      </c>
      <c r="D280" s="12">
        <v>6263.41</v>
      </c>
      <c r="E280" s="12">
        <v>6627.74</v>
      </c>
      <c r="F280" s="12">
        <f t="shared" si="12"/>
        <v>364.32999999999993</v>
      </c>
      <c r="G280" s="27">
        <f t="shared" si="13"/>
        <v>5.8167994750463393E-2</v>
      </c>
      <c r="H280" s="10" t="str">
        <f t="shared" si="14"/>
        <v>Slightly Over</v>
      </c>
    </row>
    <row r="281" spans="1:8" x14ac:dyDescent="0.25">
      <c r="A281" s="14">
        <v>45413</v>
      </c>
      <c r="B281" s="13" t="s">
        <v>1818</v>
      </c>
      <c r="C281" s="13" t="s">
        <v>1780</v>
      </c>
      <c r="D281" s="15">
        <v>4251.6099999999997</v>
      </c>
      <c r="E281" s="15">
        <v>4178.5</v>
      </c>
      <c r="F281" s="15">
        <f t="shared" si="12"/>
        <v>-73.109999999999673</v>
      </c>
      <c r="G281" s="28">
        <f t="shared" si="13"/>
        <v>-1.7195838752848844E-2</v>
      </c>
      <c r="H281" s="13" t="str">
        <f t="shared" si="14"/>
        <v>Under Budget</v>
      </c>
    </row>
    <row r="282" spans="1:8" x14ac:dyDescent="0.25">
      <c r="A282" s="11">
        <v>45413</v>
      </c>
      <c r="B282" s="10" t="s">
        <v>1774</v>
      </c>
      <c r="C282" s="10" t="s">
        <v>1786</v>
      </c>
      <c r="D282" s="12">
        <v>18483.14</v>
      </c>
      <c r="E282" s="12">
        <v>17929.88</v>
      </c>
      <c r="F282" s="12">
        <f t="shared" si="12"/>
        <v>-553.2599999999984</v>
      </c>
      <c r="G282" s="27">
        <f t="shared" si="13"/>
        <v>-2.9933225631575501E-2</v>
      </c>
      <c r="H282" s="10" t="str">
        <f t="shared" si="14"/>
        <v>Under Budget</v>
      </c>
    </row>
    <row r="283" spans="1:8" x14ac:dyDescent="0.25">
      <c r="A283" s="14">
        <v>45413</v>
      </c>
      <c r="B283" s="13" t="s">
        <v>1774</v>
      </c>
      <c r="C283" s="13" t="s">
        <v>1783</v>
      </c>
      <c r="D283" s="15">
        <v>18691.349999999999</v>
      </c>
      <c r="E283" s="15">
        <v>20563.32</v>
      </c>
      <c r="F283" s="15">
        <f t="shared" si="12"/>
        <v>1871.9700000000012</v>
      </c>
      <c r="G283" s="28">
        <f t="shared" si="13"/>
        <v>0.10015167443764102</v>
      </c>
      <c r="H283" s="13" t="str">
        <f t="shared" si="14"/>
        <v>Slightly Over</v>
      </c>
    </row>
    <row r="284" spans="1:8" x14ac:dyDescent="0.25">
      <c r="A284" s="11">
        <v>45413</v>
      </c>
      <c r="B284" s="10" t="s">
        <v>1818</v>
      </c>
      <c r="C284" s="10" t="s">
        <v>1789</v>
      </c>
      <c r="D284" s="12">
        <v>3799.76</v>
      </c>
      <c r="E284" s="12">
        <v>4125.4399999999996</v>
      </c>
      <c r="F284" s="12">
        <f t="shared" si="12"/>
        <v>325.67999999999938</v>
      </c>
      <c r="G284" s="27">
        <f t="shared" si="13"/>
        <v>8.5710676463776489E-2</v>
      </c>
      <c r="H284" s="10" t="str">
        <f t="shared" si="14"/>
        <v>Slightly Over</v>
      </c>
    </row>
    <row r="285" spans="1:8" x14ac:dyDescent="0.25">
      <c r="A285" s="14">
        <v>45413</v>
      </c>
      <c r="B285" s="13" t="s">
        <v>1774</v>
      </c>
      <c r="C285" s="13" t="s">
        <v>1792</v>
      </c>
      <c r="D285" s="15">
        <v>18936.8</v>
      </c>
      <c r="E285" s="15">
        <v>17002.41</v>
      </c>
      <c r="F285" s="15">
        <f t="shared" si="12"/>
        <v>-1934.3899999999994</v>
      </c>
      <c r="G285" s="28">
        <f t="shared" si="13"/>
        <v>-0.10214978243420215</v>
      </c>
      <c r="H285" s="13" t="str">
        <f t="shared" si="14"/>
        <v>Under Budget</v>
      </c>
    </row>
    <row r="286" spans="1:8" x14ac:dyDescent="0.25">
      <c r="A286" s="11">
        <v>45413</v>
      </c>
      <c r="B286" s="10" t="s">
        <v>1786</v>
      </c>
      <c r="C286" s="10" t="s">
        <v>1795</v>
      </c>
      <c r="D286" s="12">
        <v>4992.47</v>
      </c>
      <c r="E286" s="12">
        <v>4772.04</v>
      </c>
      <c r="F286" s="12">
        <f t="shared" si="12"/>
        <v>-220.43000000000029</v>
      </c>
      <c r="G286" s="27">
        <f t="shared" si="13"/>
        <v>-4.4152493655445157E-2</v>
      </c>
      <c r="H286" s="10" t="str">
        <f t="shared" si="14"/>
        <v>Under Budget</v>
      </c>
    </row>
    <row r="287" spans="1:8" x14ac:dyDescent="0.25">
      <c r="A287" s="14">
        <v>45413</v>
      </c>
      <c r="B287" s="13" t="s">
        <v>1774</v>
      </c>
      <c r="C287" s="13" t="s">
        <v>1795</v>
      </c>
      <c r="D287" s="15">
        <v>5397.55</v>
      </c>
      <c r="E287" s="15">
        <v>5948.47</v>
      </c>
      <c r="F287" s="15">
        <f t="shared" si="12"/>
        <v>550.92000000000007</v>
      </c>
      <c r="G287" s="28">
        <f t="shared" si="13"/>
        <v>0.10206853109281064</v>
      </c>
      <c r="H287" s="13" t="str">
        <f t="shared" si="14"/>
        <v>Slightly Over</v>
      </c>
    </row>
    <row r="288" spans="1:8" x14ac:dyDescent="0.25">
      <c r="A288" s="11">
        <v>45413</v>
      </c>
      <c r="B288" s="10" t="s">
        <v>1792</v>
      </c>
      <c r="C288" s="10" t="s">
        <v>1786</v>
      </c>
      <c r="D288" s="12">
        <v>13823.5</v>
      </c>
      <c r="E288" s="12">
        <v>12862.37</v>
      </c>
      <c r="F288" s="12">
        <f t="shared" si="12"/>
        <v>-961.1299999999992</v>
      </c>
      <c r="G288" s="27">
        <f t="shared" si="13"/>
        <v>-6.9528701124895953E-2</v>
      </c>
      <c r="H288" s="10" t="str">
        <f t="shared" si="14"/>
        <v>Under Budget</v>
      </c>
    </row>
    <row r="289" spans="1:8" x14ac:dyDescent="0.25">
      <c r="A289" s="14">
        <v>45413</v>
      </c>
      <c r="B289" s="13" t="s">
        <v>1877</v>
      </c>
      <c r="C289" s="13" t="s">
        <v>1783</v>
      </c>
      <c r="D289" s="15">
        <v>10877.43</v>
      </c>
      <c r="E289" s="15">
        <v>10749.73</v>
      </c>
      <c r="F289" s="15">
        <f t="shared" si="12"/>
        <v>-127.70000000000073</v>
      </c>
      <c r="G289" s="28">
        <f t="shared" si="13"/>
        <v>-1.1739905473995303E-2</v>
      </c>
      <c r="H289" s="13" t="str">
        <f t="shared" si="14"/>
        <v>Under Budget</v>
      </c>
    </row>
    <row r="290" spans="1:8" x14ac:dyDescent="0.25">
      <c r="A290" s="11">
        <v>45413</v>
      </c>
      <c r="B290" s="10" t="s">
        <v>1799</v>
      </c>
      <c r="C290" s="10" t="s">
        <v>1780</v>
      </c>
      <c r="D290" s="12">
        <v>5049.54</v>
      </c>
      <c r="E290" s="12">
        <v>5509.33</v>
      </c>
      <c r="F290" s="12">
        <f t="shared" si="12"/>
        <v>459.78999999999996</v>
      </c>
      <c r="G290" s="27">
        <f t="shared" si="13"/>
        <v>9.1055818945884173E-2</v>
      </c>
      <c r="H290" s="10" t="str">
        <f t="shared" si="14"/>
        <v>Slightly Over</v>
      </c>
    </row>
    <row r="291" spans="1:8" x14ac:dyDescent="0.25">
      <c r="A291" s="14">
        <v>45413</v>
      </c>
      <c r="B291" s="13" t="s">
        <v>1774</v>
      </c>
      <c r="C291" s="13" t="s">
        <v>1775</v>
      </c>
      <c r="D291" s="15">
        <v>139412.45000000001</v>
      </c>
      <c r="E291" s="15">
        <v>132803.43</v>
      </c>
      <c r="F291" s="15">
        <f t="shared" si="12"/>
        <v>-6609.0200000000186</v>
      </c>
      <c r="G291" s="28">
        <f t="shared" si="13"/>
        <v>-4.7406239543168617E-2</v>
      </c>
      <c r="H291" s="13" t="str">
        <f t="shared" si="14"/>
        <v>Under Budget</v>
      </c>
    </row>
    <row r="292" spans="1:8" x14ac:dyDescent="0.25">
      <c r="A292" s="11">
        <v>45413</v>
      </c>
      <c r="B292" s="10" t="s">
        <v>1786</v>
      </c>
      <c r="C292" s="10" t="s">
        <v>1792</v>
      </c>
      <c r="D292" s="12">
        <v>11184.38</v>
      </c>
      <c r="E292" s="12">
        <v>11075.21</v>
      </c>
      <c r="F292" s="12">
        <f t="shared" si="12"/>
        <v>-109.17000000000007</v>
      </c>
      <c r="G292" s="27">
        <f t="shared" si="13"/>
        <v>-9.7609344460756944E-3</v>
      </c>
      <c r="H292" s="10" t="str">
        <f t="shared" si="14"/>
        <v>Under Budget</v>
      </c>
    </row>
    <row r="293" spans="1:8" x14ac:dyDescent="0.25">
      <c r="A293" s="14">
        <v>45413</v>
      </c>
      <c r="B293" s="13" t="s">
        <v>1786</v>
      </c>
      <c r="C293" s="13" t="s">
        <v>1778</v>
      </c>
      <c r="D293" s="15">
        <v>17154.419999999998</v>
      </c>
      <c r="E293" s="15">
        <v>18151.240000000002</v>
      </c>
      <c r="F293" s="15">
        <f t="shared" si="12"/>
        <v>996.82000000000335</v>
      </c>
      <c r="G293" s="28">
        <f t="shared" si="13"/>
        <v>5.8108639056290066E-2</v>
      </c>
      <c r="H293" s="13" t="str">
        <f t="shared" si="14"/>
        <v>Slightly Over</v>
      </c>
    </row>
    <row r="294" spans="1:8" x14ac:dyDescent="0.25">
      <c r="A294" s="11">
        <v>45413</v>
      </c>
      <c r="B294" s="10" t="s">
        <v>1877</v>
      </c>
      <c r="C294" s="10" t="s">
        <v>1780</v>
      </c>
      <c r="D294" s="12">
        <v>8014.62</v>
      </c>
      <c r="E294" s="12">
        <v>7332.05</v>
      </c>
      <c r="F294" s="12">
        <f t="shared" si="12"/>
        <v>-682.56999999999971</v>
      </c>
      <c r="G294" s="27">
        <f t="shared" si="13"/>
        <v>-8.5165609848002741E-2</v>
      </c>
      <c r="H294" s="10" t="str">
        <f t="shared" si="14"/>
        <v>Under Budget</v>
      </c>
    </row>
    <row r="295" spans="1:8" x14ac:dyDescent="0.25">
      <c r="A295" s="14">
        <v>45413</v>
      </c>
      <c r="B295" s="13" t="s">
        <v>1818</v>
      </c>
      <c r="C295" s="13" t="s">
        <v>1786</v>
      </c>
      <c r="D295" s="15">
        <v>6778.73</v>
      </c>
      <c r="E295" s="15">
        <v>7031.12</v>
      </c>
      <c r="F295" s="15">
        <f t="shared" si="12"/>
        <v>252.39000000000033</v>
      </c>
      <c r="G295" s="28">
        <f t="shared" si="13"/>
        <v>3.7232637972009555E-2</v>
      </c>
      <c r="H295" s="13" t="str">
        <f t="shared" si="14"/>
        <v>Within Budget</v>
      </c>
    </row>
    <row r="296" spans="1:8" x14ac:dyDescent="0.25">
      <c r="A296" s="11">
        <v>45413</v>
      </c>
      <c r="B296" s="10" t="s">
        <v>1786</v>
      </c>
      <c r="C296" s="10" t="s">
        <v>1789</v>
      </c>
      <c r="D296" s="12">
        <v>6929.67</v>
      </c>
      <c r="E296" s="12">
        <v>7198.89</v>
      </c>
      <c r="F296" s="12">
        <f t="shared" si="12"/>
        <v>269.22000000000025</v>
      </c>
      <c r="G296" s="27">
        <f t="shared" si="13"/>
        <v>3.8850334864430812E-2</v>
      </c>
      <c r="H296" s="10" t="str">
        <f t="shared" si="14"/>
        <v>Within Budget</v>
      </c>
    </row>
    <row r="297" spans="1:8" x14ac:dyDescent="0.25">
      <c r="A297" s="14">
        <v>45413</v>
      </c>
      <c r="B297" s="13" t="s">
        <v>1877</v>
      </c>
      <c r="C297" s="13" t="s">
        <v>1778</v>
      </c>
      <c r="D297" s="15">
        <v>12080.6</v>
      </c>
      <c r="E297" s="15">
        <v>12583.82</v>
      </c>
      <c r="F297" s="15">
        <f t="shared" si="12"/>
        <v>503.21999999999935</v>
      </c>
      <c r="G297" s="28">
        <f t="shared" si="13"/>
        <v>4.1655215800539651E-2</v>
      </c>
      <c r="H297" s="13" t="str">
        <f t="shared" si="14"/>
        <v>Within Budget</v>
      </c>
    </row>
    <row r="298" spans="1:8" x14ac:dyDescent="0.25">
      <c r="A298" s="11">
        <v>45413</v>
      </c>
      <c r="B298" s="10" t="s">
        <v>1877</v>
      </c>
      <c r="C298" s="10" t="s">
        <v>1792</v>
      </c>
      <c r="D298" s="12">
        <v>12963.87</v>
      </c>
      <c r="E298" s="12">
        <v>12128.91</v>
      </c>
      <c r="F298" s="12">
        <f t="shared" si="12"/>
        <v>-834.96000000000095</v>
      </c>
      <c r="G298" s="27">
        <f t="shared" si="13"/>
        <v>-6.4406693371655291E-2</v>
      </c>
      <c r="H298" s="10" t="str">
        <f t="shared" si="14"/>
        <v>Under Budget</v>
      </c>
    </row>
    <row r="299" spans="1:8" x14ac:dyDescent="0.25">
      <c r="A299" s="14">
        <v>45413</v>
      </c>
      <c r="B299" s="13" t="s">
        <v>1877</v>
      </c>
      <c r="C299" s="13" t="s">
        <v>1795</v>
      </c>
      <c r="D299" s="15">
        <v>4416.66</v>
      </c>
      <c r="E299" s="15">
        <v>4185.03</v>
      </c>
      <c r="F299" s="15">
        <f t="shared" si="12"/>
        <v>-231.63000000000011</v>
      </c>
      <c r="G299" s="28">
        <f t="shared" si="13"/>
        <v>-5.244460746355846E-2</v>
      </c>
      <c r="H299" s="13" t="str">
        <f t="shared" si="14"/>
        <v>Under Budget</v>
      </c>
    </row>
    <row r="300" spans="1:8" x14ac:dyDescent="0.25">
      <c r="A300" s="11">
        <v>45413</v>
      </c>
      <c r="B300" s="10" t="s">
        <v>1862</v>
      </c>
      <c r="C300" s="10" t="s">
        <v>1792</v>
      </c>
      <c r="D300" s="12">
        <v>8583.64</v>
      </c>
      <c r="E300" s="12">
        <v>7812.6</v>
      </c>
      <c r="F300" s="12">
        <f t="shared" si="12"/>
        <v>-771.03999999999905</v>
      </c>
      <c r="G300" s="27">
        <f t="shared" si="13"/>
        <v>-8.982669357055971E-2</v>
      </c>
      <c r="H300" s="10" t="str">
        <f t="shared" si="14"/>
        <v>Under Budget</v>
      </c>
    </row>
    <row r="301" spans="1:8" x14ac:dyDescent="0.25">
      <c r="A301" s="14">
        <v>45413</v>
      </c>
      <c r="B301" s="13" t="s">
        <v>1862</v>
      </c>
      <c r="C301" s="13" t="s">
        <v>1797</v>
      </c>
      <c r="D301" s="15">
        <v>2341.42</v>
      </c>
      <c r="E301" s="15">
        <v>2463.4699999999998</v>
      </c>
      <c r="F301" s="15">
        <f t="shared" si="12"/>
        <v>122.04999999999973</v>
      </c>
      <c r="G301" s="28">
        <f t="shared" si="13"/>
        <v>5.2126487345286077E-2</v>
      </c>
      <c r="H301" s="13" t="str">
        <f t="shared" si="14"/>
        <v>Slightly Over</v>
      </c>
    </row>
    <row r="302" spans="1:8" x14ac:dyDescent="0.25">
      <c r="A302" s="11">
        <v>45413</v>
      </c>
      <c r="B302" s="10" t="s">
        <v>1862</v>
      </c>
      <c r="C302" s="10" t="s">
        <v>1789</v>
      </c>
      <c r="D302" s="12">
        <v>4997.6099999999997</v>
      </c>
      <c r="E302" s="12">
        <v>4657.6000000000004</v>
      </c>
      <c r="F302" s="12">
        <f t="shared" si="12"/>
        <v>-340.00999999999931</v>
      </c>
      <c r="G302" s="27">
        <f t="shared" si="13"/>
        <v>-6.803452050079925E-2</v>
      </c>
      <c r="H302" s="10" t="str">
        <f t="shared" si="14"/>
        <v>Under Budget</v>
      </c>
    </row>
    <row r="303" spans="1:8" x14ac:dyDescent="0.25">
      <c r="A303" s="14">
        <v>45413</v>
      </c>
      <c r="B303" s="13" t="s">
        <v>1774</v>
      </c>
      <c r="C303" s="13" t="s">
        <v>1797</v>
      </c>
      <c r="D303" s="15">
        <v>7558.56</v>
      </c>
      <c r="E303" s="15">
        <v>7366.51</v>
      </c>
      <c r="F303" s="15">
        <f t="shared" si="12"/>
        <v>-192.05000000000018</v>
      </c>
      <c r="G303" s="28">
        <f t="shared" si="13"/>
        <v>-2.5408278825596431E-2</v>
      </c>
      <c r="H303" s="13" t="str">
        <f t="shared" si="14"/>
        <v>Under Budget</v>
      </c>
    </row>
    <row r="304" spans="1:8" x14ac:dyDescent="0.25">
      <c r="A304" s="11">
        <v>45413</v>
      </c>
      <c r="B304" s="10" t="s">
        <v>1774</v>
      </c>
      <c r="C304" s="10" t="s">
        <v>1780</v>
      </c>
      <c r="D304" s="12">
        <v>10316.17</v>
      </c>
      <c r="E304" s="12">
        <v>10658.2</v>
      </c>
      <c r="F304" s="12">
        <f t="shared" si="12"/>
        <v>342.03000000000065</v>
      </c>
      <c r="G304" s="27">
        <f t="shared" si="13"/>
        <v>3.3154746383590096E-2</v>
      </c>
      <c r="H304" s="10" t="str">
        <f t="shared" si="14"/>
        <v>Within Budget</v>
      </c>
    </row>
    <row r="305" spans="1:8" x14ac:dyDescent="0.25">
      <c r="A305" s="14">
        <v>45413</v>
      </c>
      <c r="B305" s="13" t="s">
        <v>1792</v>
      </c>
      <c r="C305" s="13" t="s">
        <v>1780</v>
      </c>
      <c r="D305" s="15">
        <v>9532.2900000000009</v>
      </c>
      <c r="E305" s="15">
        <v>10500.43</v>
      </c>
      <c r="F305" s="15">
        <f t="shared" si="12"/>
        <v>968.13999999999942</v>
      </c>
      <c r="G305" s="28">
        <f t="shared" si="13"/>
        <v>0.10156426210281048</v>
      </c>
      <c r="H305" s="13" t="str">
        <f t="shared" si="14"/>
        <v>Slightly Over</v>
      </c>
    </row>
    <row r="306" spans="1:8" x14ac:dyDescent="0.25">
      <c r="A306" s="11">
        <v>45413</v>
      </c>
      <c r="B306" s="10" t="s">
        <v>1799</v>
      </c>
      <c r="C306" s="10" t="s">
        <v>1792</v>
      </c>
      <c r="D306" s="12">
        <v>9969.6200000000008</v>
      </c>
      <c r="E306" s="12">
        <v>9229.69</v>
      </c>
      <c r="F306" s="12">
        <f t="shared" si="12"/>
        <v>-739.93000000000029</v>
      </c>
      <c r="G306" s="27">
        <f t="shared" si="13"/>
        <v>-7.4218475729265529E-2</v>
      </c>
      <c r="H306" s="10" t="str">
        <f t="shared" si="14"/>
        <v>Under Budget</v>
      </c>
    </row>
    <row r="307" spans="1:8" x14ac:dyDescent="0.25">
      <c r="A307" s="14">
        <v>45413</v>
      </c>
      <c r="B307" s="13" t="s">
        <v>1786</v>
      </c>
      <c r="C307" s="13" t="s">
        <v>1780</v>
      </c>
      <c r="D307" s="15">
        <v>6856.11</v>
      </c>
      <c r="E307" s="15">
        <v>7193.97</v>
      </c>
      <c r="F307" s="15">
        <f t="shared" si="12"/>
        <v>337.86000000000058</v>
      </c>
      <c r="G307" s="28">
        <f t="shared" si="13"/>
        <v>4.9278672600060469E-2</v>
      </c>
      <c r="H307" s="13" t="str">
        <f t="shared" si="14"/>
        <v>Within Budget</v>
      </c>
    </row>
    <row r="308" spans="1:8" x14ac:dyDescent="0.25">
      <c r="A308" s="11">
        <v>45413</v>
      </c>
      <c r="B308" s="10" t="s">
        <v>1862</v>
      </c>
      <c r="C308" s="10" t="s">
        <v>1778</v>
      </c>
      <c r="D308" s="12">
        <v>10685.3</v>
      </c>
      <c r="E308" s="12">
        <v>10284.379999999999</v>
      </c>
      <c r="F308" s="12">
        <f t="shared" si="12"/>
        <v>-400.92000000000007</v>
      </c>
      <c r="G308" s="27">
        <f t="shared" si="13"/>
        <v>-3.7520706016677126E-2</v>
      </c>
      <c r="H308" s="10" t="str">
        <f t="shared" si="14"/>
        <v>Under Budget</v>
      </c>
    </row>
    <row r="309" spans="1:8" x14ac:dyDescent="0.25">
      <c r="A309" s="14">
        <v>45413</v>
      </c>
      <c r="B309" s="13" t="s">
        <v>1799</v>
      </c>
      <c r="C309" s="13" t="s">
        <v>1797</v>
      </c>
      <c r="D309" s="15">
        <v>3378.3</v>
      </c>
      <c r="E309" s="15">
        <v>3309.62</v>
      </c>
      <c r="F309" s="15">
        <f t="shared" si="12"/>
        <v>-68.680000000000291</v>
      </c>
      <c r="G309" s="28">
        <f t="shared" si="13"/>
        <v>-2.032975165023837E-2</v>
      </c>
      <c r="H309" s="13" t="str">
        <f t="shared" si="14"/>
        <v>Under Budget</v>
      </c>
    </row>
    <row r="310" spans="1:8" x14ac:dyDescent="0.25">
      <c r="A310" s="11">
        <v>45413</v>
      </c>
      <c r="B310" s="10" t="s">
        <v>1786</v>
      </c>
      <c r="C310" s="10" t="s">
        <v>1775</v>
      </c>
      <c r="D310" s="12">
        <v>61152.81</v>
      </c>
      <c r="E310" s="12">
        <v>67873.740000000005</v>
      </c>
      <c r="F310" s="12">
        <f t="shared" si="12"/>
        <v>6720.9300000000076</v>
      </c>
      <c r="G310" s="27">
        <f t="shared" si="13"/>
        <v>0.10990386214468326</v>
      </c>
      <c r="H310" s="10" t="str">
        <f t="shared" si="14"/>
        <v>Slightly Over</v>
      </c>
    </row>
    <row r="311" spans="1:8" x14ac:dyDescent="0.25">
      <c r="A311" s="14">
        <v>45413</v>
      </c>
      <c r="B311" s="13" t="s">
        <v>1862</v>
      </c>
      <c r="C311" s="13" t="s">
        <v>1780</v>
      </c>
      <c r="D311" s="15">
        <v>5521.52</v>
      </c>
      <c r="E311" s="15">
        <v>4935.41</v>
      </c>
      <c r="F311" s="15">
        <f t="shared" si="12"/>
        <v>-586.11000000000058</v>
      </c>
      <c r="G311" s="28">
        <f t="shared" si="13"/>
        <v>-0.10615011808342641</v>
      </c>
      <c r="H311" s="13" t="str">
        <f t="shared" si="14"/>
        <v>Under Budget</v>
      </c>
    </row>
    <row r="312" spans="1:8" x14ac:dyDescent="0.25">
      <c r="A312" s="11">
        <v>45413</v>
      </c>
      <c r="B312" s="10" t="s">
        <v>1862</v>
      </c>
      <c r="C312" s="10" t="s">
        <v>1775</v>
      </c>
      <c r="D312" s="12">
        <v>52683.91</v>
      </c>
      <c r="E312" s="12">
        <v>48819.71</v>
      </c>
      <c r="F312" s="12">
        <f t="shared" si="12"/>
        <v>-3864.2000000000044</v>
      </c>
      <c r="G312" s="27">
        <f t="shared" si="13"/>
        <v>-7.3346871938700153E-2</v>
      </c>
      <c r="H312" s="10" t="str">
        <f t="shared" si="14"/>
        <v>Under Budget</v>
      </c>
    </row>
    <row r="313" spans="1:8" x14ac:dyDescent="0.25">
      <c r="A313" s="14">
        <v>45413</v>
      </c>
      <c r="B313" s="13" t="s">
        <v>1774</v>
      </c>
      <c r="C313" s="13" t="s">
        <v>1778</v>
      </c>
      <c r="D313" s="15">
        <v>21248.639999999999</v>
      </c>
      <c r="E313" s="15">
        <v>21100.44</v>
      </c>
      <c r="F313" s="15">
        <f t="shared" si="12"/>
        <v>-148.20000000000073</v>
      </c>
      <c r="G313" s="28">
        <f t="shared" si="13"/>
        <v>-6.9745640191560838E-3</v>
      </c>
      <c r="H313" s="13" t="str">
        <f t="shared" si="14"/>
        <v>Under Budget</v>
      </c>
    </row>
    <row r="314" spans="1:8" x14ac:dyDescent="0.25">
      <c r="A314" s="11">
        <v>45413</v>
      </c>
      <c r="B314" s="10" t="s">
        <v>1774</v>
      </c>
      <c r="C314" s="10" t="s">
        <v>1789</v>
      </c>
      <c r="D314" s="12">
        <v>10382.879999999999</v>
      </c>
      <c r="E314" s="12">
        <v>9891.52</v>
      </c>
      <c r="F314" s="12">
        <f t="shared" si="12"/>
        <v>-491.35999999999876</v>
      </c>
      <c r="G314" s="27">
        <f t="shared" si="13"/>
        <v>-4.7324056523816015E-2</v>
      </c>
      <c r="H314" s="10" t="str">
        <f t="shared" si="14"/>
        <v>Under Budget</v>
      </c>
    </row>
    <row r="315" spans="1:8" x14ac:dyDescent="0.25">
      <c r="A315" s="14">
        <v>45413</v>
      </c>
      <c r="B315" s="13" t="s">
        <v>1792</v>
      </c>
      <c r="C315" s="13" t="s">
        <v>1797</v>
      </c>
      <c r="D315" s="15">
        <v>5926.39</v>
      </c>
      <c r="E315" s="15">
        <v>5897.78</v>
      </c>
      <c r="F315" s="15">
        <f t="shared" si="12"/>
        <v>-28.610000000000582</v>
      </c>
      <c r="G315" s="28">
        <f t="shared" si="13"/>
        <v>-4.8275594417513156E-3</v>
      </c>
      <c r="H315" s="13" t="str">
        <f t="shared" si="14"/>
        <v>Under Budget</v>
      </c>
    </row>
    <row r="316" spans="1:8" x14ac:dyDescent="0.25">
      <c r="A316" s="11">
        <v>45413</v>
      </c>
      <c r="B316" s="10" t="s">
        <v>1792</v>
      </c>
      <c r="C316" s="10" t="s">
        <v>1789</v>
      </c>
      <c r="D316" s="12">
        <v>10802.33</v>
      </c>
      <c r="E316" s="12">
        <v>10154.39</v>
      </c>
      <c r="F316" s="12">
        <f t="shared" si="12"/>
        <v>-647.94000000000051</v>
      </c>
      <c r="G316" s="27">
        <f t="shared" si="13"/>
        <v>-5.9981503990342869E-2</v>
      </c>
      <c r="H316" s="10" t="str">
        <f t="shared" si="14"/>
        <v>Under Budget</v>
      </c>
    </row>
    <row r="317" spans="1:8" x14ac:dyDescent="0.25">
      <c r="A317" s="14">
        <v>45444</v>
      </c>
      <c r="B317" s="13" t="s">
        <v>1818</v>
      </c>
      <c r="C317" s="13" t="s">
        <v>1792</v>
      </c>
      <c r="D317" s="15">
        <v>6250.53</v>
      </c>
      <c r="E317" s="15">
        <v>6724.24</v>
      </c>
      <c r="F317" s="15">
        <f t="shared" si="12"/>
        <v>473.71000000000004</v>
      </c>
      <c r="G317" s="28">
        <f t="shared" si="13"/>
        <v>7.5787173247708603E-2</v>
      </c>
      <c r="H317" s="13" t="str">
        <f t="shared" si="14"/>
        <v>Slightly Over</v>
      </c>
    </row>
    <row r="318" spans="1:8" x14ac:dyDescent="0.25">
      <c r="A318" s="11">
        <v>45444</v>
      </c>
      <c r="B318" s="10" t="s">
        <v>1786</v>
      </c>
      <c r="C318" s="10" t="s">
        <v>1795</v>
      </c>
      <c r="D318" s="12">
        <v>5165.5200000000004</v>
      </c>
      <c r="E318" s="12">
        <v>5174.8500000000004</v>
      </c>
      <c r="F318" s="12">
        <f t="shared" si="12"/>
        <v>9.3299999999999272</v>
      </c>
      <c r="G318" s="27">
        <f t="shared" si="13"/>
        <v>1.8062073131068946E-3</v>
      </c>
      <c r="H318" s="10" t="str">
        <f t="shared" si="14"/>
        <v>Within Budget</v>
      </c>
    </row>
    <row r="319" spans="1:8" x14ac:dyDescent="0.25">
      <c r="A319" s="14">
        <v>45444</v>
      </c>
      <c r="B319" s="13" t="s">
        <v>1799</v>
      </c>
      <c r="C319" s="13" t="s">
        <v>1795</v>
      </c>
      <c r="D319" s="15">
        <v>2978.09</v>
      </c>
      <c r="E319" s="15">
        <v>3058.16</v>
      </c>
      <c r="F319" s="15">
        <f t="shared" si="12"/>
        <v>80.069999999999709</v>
      </c>
      <c r="G319" s="28">
        <f t="shared" si="13"/>
        <v>2.688636004956187E-2</v>
      </c>
      <c r="H319" s="13" t="str">
        <f t="shared" si="14"/>
        <v>Within Budget</v>
      </c>
    </row>
    <row r="320" spans="1:8" x14ac:dyDescent="0.25">
      <c r="A320" s="11">
        <v>45444</v>
      </c>
      <c r="B320" s="10" t="s">
        <v>1877</v>
      </c>
      <c r="C320" s="10" t="s">
        <v>1797</v>
      </c>
      <c r="D320" s="12">
        <v>4153.08</v>
      </c>
      <c r="E320" s="12">
        <v>4148.42</v>
      </c>
      <c r="F320" s="12">
        <f t="shared" si="12"/>
        <v>-4.6599999999998545</v>
      </c>
      <c r="G320" s="27">
        <f t="shared" si="13"/>
        <v>-1.1220588093655442E-3</v>
      </c>
      <c r="H320" s="10" t="str">
        <f t="shared" si="14"/>
        <v>Under Budget</v>
      </c>
    </row>
    <row r="321" spans="1:8" x14ac:dyDescent="0.25">
      <c r="A321" s="14">
        <v>45444</v>
      </c>
      <c r="B321" s="13" t="s">
        <v>1877</v>
      </c>
      <c r="C321" s="13" t="s">
        <v>1795</v>
      </c>
      <c r="D321" s="15">
        <v>3794.13</v>
      </c>
      <c r="E321" s="15">
        <v>3797.53</v>
      </c>
      <c r="F321" s="15">
        <f t="shared" si="12"/>
        <v>3.4000000000000909</v>
      </c>
      <c r="G321" s="28">
        <f t="shared" si="13"/>
        <v>8.9612111340415081E-4</v>
      </c>
      <c r="H321" s="13" t="str">
        <f t="shared" si="14"/>
        <v>Within Budget</v>
      </c>
    </row>
    <row r="322" spans="1:8" x14ac:dyDescent="0.25">
      <c r="A322" s="11">
        <v>45444</v>
      </c>
      <c r="B322" s="10" t="s">
        <v>1792</v>
      </c>
      <c r="C322" s="10" t="s">
        <v>1789</v>
      </c>
      <c r="D322" s="12">
        <v>7888.4</v>
      </c>
      <c r="E322" s="12">
        <v>8468.67</v>
      </c>
      <c r="F322" s="12">
        <f t="shared" ref="F322:F385" si="15">E322-D322</f>
        <v>580.27000000000044</v>
      </c>
      <c r="G322" s="27">
        <f t="shared" ref="G322:G385" si="16">IFERROR(F322/D322,0)</f>
        <v>7.3559910755032765E-2</v>
      </c>
      <c r="H322" s="10" t="str">
        <f t="shared" ref="H322:H385" si="17">IF(G322&lt;=0,"Under Budget",IF(G322&lt;=5%,"Within Budget",IF(G322&lt;=15%,"Slightly Over","Significantly Over")))</f>
        <v>Slightly Over</v>
      </c>
    </row>
    <row r="323" spans="1:8" x14ac:dyDescent="0.25">
      <c r="A323" s="14">
        <v>45444</v>
      </c>
      <c r="B323" s="13" t="s">
        <v>1877</v>
      </c>
      <c r="C323" s="13" t="s">
        <v>1786</v>
      </c>
      <c r="D323" s="15">
        <v>10789.92</v>
      </c>
      <c r="E323" s="15">
        <v>9678.56</v>
      </c>
      <c r="F323" s="15">
        <f t="shared" si="15"/>
        <v>-1111.3600000000006</v>
      </c>
      <c r="G323" s="28">
        <f t="shared" si="16"/>
        <v>-0.10299983688479623</v>
      </c>
      <c r="H323" s="13" t="str">
        <f t="shared" si="17"/>
        <v>Under Budget</v>
      </c>
    </row>
    <row r="324" spans="1:8" x14ac:dyDescent="0.25">
      <c r="A324" s="11">
        <v>45444</v>
      </c>
      <c r="B324" s="10" t="s">
        <v>1818</v>
      </c>
      <c r="C324" s="10" t="s">
        <v>1775</v>
      </c>
      <c r="D324" s="12">
        <v>41109.949999999997</v>
      </c>
      <c r="E324" s="12">
        <v>45505.4</v>
      </c>
      <c r="F324" s="12">
        <f t="shared" si="15"/>
        <v>4395.4500000000044</v>
      </c>
      <c r="G324" s="27">
        <f t="shared" si="16"/>
        <v>0.10691937110115689</v>
      </c>
      <c r="H324" s="10" t="str">
        <f t="shared" si="17"/>
        <v>Slightly Over</v>
      </c>
    </row>
    <row r="325" spans="1:8" x14ac:dyDescent="0.25">
      <c r="A325" s="14">
        <v>45444</v>
      </c>
      <c r="B325" s="13" t="s">
        <v>1774</v>
      </c>
      <c r="C325" s="13" t="s">
        <v>1797</v>
      </c>
      <c r="D325" s="15">
        <v>6102.29</v>
      </c>
      <c r="E325" s="15">
        <v>6763.67</v>
      </c>
      <c r="F325" s="15">
        <f t="shared" si="15"/>
        <v>661.38000000000011</v>
      </c>
      <c r="G325" s="28">
        <f t="shared" si="16"/>
        <v>0.10838226305206736</v>
      </c>
      <c r="H325" s="13" t="str">
        <f t="shared" si="17"/>
        <v>Slightly Over</v>
      </c>
    </row>
    <row r="326" spans="1:8" x14ac:dyDescent="0.25">
      <c r="A326" s="11">
        <v>45444</v>
      </c>
      <c r="B326" s="10" t="s">
        <v>1786</v>
      </c>
      <c r="C326" s="10" t="s">
        <v>1783</v>
      </c>
      <c r="D326" s="12">
        <v>10353.790000000001</v>
      </c>
      <c r="E326" s="12">
        <v>10541.89</v>
      </c>
      <c r="F326" s="12">
        <f t="shared" si="15"/>
        <v>188.09999999999854</v>
      </c>
      <c r="G326" s="27">
        <f t="shared" si="16"/>
        <v>1.8167260491085732E-2</v>
      </c>
      <c r="H326" s="10" t="str">
        <f t="shared" si="17"/>
        <v>Within Budget</v>
      </c>
    </row>
    <row r="327" spans="1:8" x14ac:dyDescent="0.25">
      <c r="A327" s="14">
        <v>45444</v>
      </c>
      <c r="B327" s="13" t="s">
        <v>1818</v>
      </c>
      <c r="C327" s="13" t="s">
        <v>1783</v>
      </c>
      <c r="D327" s="15">
        <v>6220.44</v>
      </c>
      <c r="E327" s="15">
        <v>6001.49</v>
      </c>
      <c r="F327" s="15">
        <f t="shared" si="15"/>
        <v>-218.94999999999982</v>
      </c>
      <c r="G327" s="28">
        <f t="shared" si="16"/>
        <v>-3.5198474705969325E-2</v>
      </c>
      <c r="H327" s="13" t="str">
        <f t="shared" si="17"/>
        <v>Under Budget</v>
      </c>
    </row>
    <row r="328" spans="1:8" x14ac:dyDescent="0.25">
      <c r="A328" s="11">
        <v>45444</v>
      </c>
      <c r="B328" s="10" t="s">
        <v>1774</v>
      </c>
      <c r="C328" s="10" t="s">
        <v>1795</v>
      </c>
      <c r="D328" s="12">
        <v>6319.4</v>
      </c>
      <c r="E328" s="12">
        <v>6726.17</v>
      </c>
      <c r="F328" s="12">
        <f t="shared" si="15"/>
        <v>406.77000000000044</v>
      </c>
      <c r="G328" s="27">
        <f t="shared" si="16"/>
        <v>6.4368452701205878E-2</v>
      </c>
      <c r="H328" s="10" t="str">
        <f t="shared" si="17"/>
        <v>Slightly Over</v>
      </c>
    </row>
    <row r="329" spans="1:8" x14ac:dyDescent="0.25">
      <c r="A329" s="14">
        <v>45444</v>
      </c>
      <c r="B329" s="13" t="s">
        <v>1862</v>
      </c>
      <c r="C329" s="13" t="s">
        <v>1780</v>
      </c>
      <c r="D329" s="15">
        <v>5157.3599999999997</v>
      </c>
      <c r="E329" s="15">
        <v>5069.6400000000003</v>
      </c>
      <c r="F329" s="15">
        <f t="shared" si="15"/>
        <v>-87.719999999999345</v>
      </c>
      <c r="G329" s="28">
        <f t="shared" si="16"/>
        <v>-1.7008702126669332E-2</v>
      </c>
      <c r="H329" s="13" t="str">
        <f t="shared" si="17"/>
        <v>Under Budget</v>
      </c>
    </row>
    <row r="330" spans="1:8" x14ac:dyDescent="0.25">
      <c r="A330" s="11">
        <v>45444</v>
      </c>
      <c r="B330" s="10" t="s">
        <v>1799</v>
      </c>
      <c r="C330" s="10" t="s">
        <v>1786</v>
      </c>
      <c r="D330" s="12">
        <v>8610.98</v>
      </c>
      <c r="E330" s="12">
        <v>8131.16</v>
      </c>
      <c r="F330" s="12">
        <f t="shared" si="15"/>
        <v>-479.81999999999971</v>
      </c>
      <c r="G330" s="27">
        <f t="shared" si="16"/>
        <v>-5.5721880668634663E-2</v>
      </c>
      <c r="H330" s="10" t="str">
        <f t="shared" si="17"/>
        <v>Under Budget</v>
      </c>
    </row>
    <row r="331" spans="1:8" x14ac:dyDescent="0.25">
      <c r="A331" s="14">
        <v>45444</v>
      </c>
      <c r="B331" s="13" t="s">
        <v>1792</v>
      </c>
      <c r="C331" s="13" t="s">
        <v>1792</v>
      </c>
      <c r="D331" s="15">
        <v>13225.15</v>
      </c>
      <c r="E331" s="15">
        <v>14364.34</v>
      </c>
      <c r="F331" s="15">
        <f t="shared" si="15"/>
        <v>1139.1900000000005</v>
      </c>
      <c r="G331" s="28">
        <f t="shared" si="16"/>
        <v>8.6138153442494078E-2</v>
      </c>
      <c r="H331" s="13" t="str">
        <f t="shared" si="17"/>
        <v>Slightly Over</v>
      </c>
    </row>
    <row r="332" spans="1:8" x14ac:dyDescent="0.25">
      <c r="A332" s="11">
        <v>45444</v>
      </c>
      <c r="B332" s="10" t="s">
        <v>1877</v>
      </c>
      <c r="C332" s="10" t="s">
        <v>1775</v>
      </c>
      <c r="D332" s="12">
        <v>81923.94</v>
      </c>
      <c r="E332" s="12">
        <v>73370.880000000005</v>
      </c>
      <c r="F332" s="12">
        <f t="shared" si="15"/>
        <v>-8553.0599999999977</v>
      </c>
      <c r="G332" s="27">
        <f t="shared" si="16"/>
        <v>-0.1044024493939134</v>
      </c>
      <c r="H332" s="10" t="str">
        <f t="shared" si="17"/>
        <v>Under Budget</v>
      </c>
    </row>
    <row r="333" spans="1:8" x14ac:dyDescent="0.25">
      <c r="A333" s="14">
        <v>45444</v>
      </c>
      <c r="B333" s="13" t="s">
        <v>1862</v>
      </c>
      <c r="C333" s="13" t="s">
        <v>1789</v>
      </c>
      <c r="D333" s="15">
        <v>3977.99</v>
      </c>
      <c r="E333" s="15">
        <v>4083.87</v>
      </c>
      <c r="F333" s="15">
        <f t="shared" si="15"/>
        <v>105.88000000000011</v>
      </c>
      <c r="G333" s="28">
        <f t="shared" si="16"/>
        <v>2.6616457054944864E-2</v>
      </c>
      <c r="H333" s="13" t="str">
        <f t="shared" si="17"/>
        <v>Within Budget</v>
      </c>
    </row>
    <row r="334" spans="1:8" x14ac:dyDescent="0.25">
      <c r="A334" s="11">
        <v>45444</v>
      </c>
      <c r="B334" s="10" t="s">
        <v>1799</v>
      </c>
      <c r="C334" s="10" t="s">
        <v>1775</v>
      </c>
      <c r="D334" s="12">
        <v>46021.279999999999</v>
      </c>
      <c r="E334" s="12">
        <v>44194.65</v>
      </c>
      <c r="F334" s="12">
        <f t="shared" si="15"/>
        <v>-1826.6299999999974</v>
      </c>
      <c r="G334" s="27">
        <f t="shared" si="16"/>
        <v>-3.9690986430625082E-2</v>
      </c>
      <c r="H334" s="10" t="str">
        <f t="shared" si="17"/>
        <v>Under Budget</v>
      </c>
    </row>
    <row r="335" spans="1:8" x14ac:dyDescent="0.25">
      <c r="A335" s="14">
        <v>45444</v>
      </c>
      <c r="B335" s="13" t="s">
        <v>1877</v>
      </c>
      <c r="C335" s="13" t="s">
        <v>1778</v>
      </c>
      <c r="D335" s="15">
        <v>11600.61</v>
      </c>
      <c r="E335" s="15">
        <v>12549.9</v>
      </c>
      <c r="F335" s="15">
        <f t="shared" si="15"/>
        <v>949.28999999999905</v>
      </c>
      <c r="G335" s="28">
        <f t="shared" si="16"/>
        <v>8.1831041643499691E-2</v>
      </c>
      <c r="H335" s="13" t="str">
        <f t="shared" si="17"/>
        <v>Slightly Over</v>
      </c>
    </row>
    <row r="336" spans="1:8" x14ac:dyDescent="0.25">
      <c r="A336" s="11">
        <v>45444</v>
      </c>
      <c r="B336" s="10" t="s">
        <v>1799</v>
      </c>
      <c r="C336" s="10" t="s">
        <v>1789</v>
      </c>
      <c r="D336" s="12">
        <v>4796.75</v>
      </c>
      <c r="E336" s="12">
        <v>4542</v>
      </c>
      <c r="F336" s="12">
        <f t="shared" si="15"/>
        <v>-254.75</v>
      </c>
      <c r="G336" s="27">
        <f t="shared" si="16"/>
        <v>-5.3108875801323813E-2</v>
      </c>
      <c r="H336" s="10" t="str">
        <f t="shared" si="17"/>
        <v>Under Budget</v>
      </c>
    </row>
    <row r="337" spans="1:8" x14ac:dyDescent="0.25">
      <c r="A337" s="14">
        <v>45444</v>
      </c>
      <c r="B337" s="13" t="s">
        <v>1774</v>
      </c>
      <c r="C337" s="13" t="s">
        <v>1789</v>
      </c>
      <c r="D337" s="15">
        <v>12872.76</v>
      </c>
      <c r="E337" s="15">
        <v>11865.38</v>
      </c>
      <c r="F337" s="15">
        <f t="shared" si="15"/>
        <v>-1007.380000000001</v>
      </c>
      <c r="G337" s="28">
        <f t="shared" si="16"/>
        <v>-7.8256721946187227E-2</v>
      </c>
      <c r="H337" s="13" t="str">
        <f t="shared" si="17"/>
        <v>Under Budget</v>
      </c>
    </row>
    <row r="338" spans="1:8" x14ac:dyDescent="0.25">
      <c r="A338" s="11">
        <v>45444</v>
      </c>
      <c r="B338" s="10" t="s">
        <v>1774</v>
      </c>
      <c r="C338" s="10" t="s">
        <v>1780</v>
      </c>
      <c r="D338" s="12">
        <v>11472.78</v>
      </c>
      <c r="E338" s="12">
        <v>12427.69</v>
      </c>
      <c r="F338" s="12">
        <f t="shared" si="15"/>
        <v>954.90999999999985</v>
      </c>
      <c r="G338" s="27">
        <f t="shared" si="16"/>
        <v>8.3232660261941732E-2</v>
      </c>
      <c r="H338" s="10" t="str">
        <f t="shared" si="17"/>
        <v>Slightly Over</v>
      </c>
    </row>
    <row r="339" spans="1:8" x14ac:dyDescent="0.25">
      <c r="A339" s="14">
        <v>45444</v>
      </c>
      <c r="B339" s="13" t="s">
        <v>1877</v>
      </c>
      <c r="C339" s="13" t="s">
        <v>1783</v>
      </c>
      <c r="D339" s="15">
        <v>11578.61</v>
      </c>
      <c r="E339" s="15">
        <v>12481.12</v>
      </c>
      <c r="F339" s="15">
        <f t="shared" si="15"/>
        <v>902.51000000000022</v>
      </c>
      <c r="G339" s="28">
        <f t="shared" si="16"/>
        <v>7.7946316526767909E-2</v>
      </c>
      <c r="H339" s="13" t="str">
        <f t="shared" si="17"/>
        <v>Slightly Over</v>
      </c>
    </row>
    <row r="340" spans="1:8" x14ac:dyDescent="0.25">
      <c r="A340" s="11">
        <v>45444</v>
      </c>
      <c r="B340" s="10" t="s">
        <v>1818</v>
      </c>
      <c r="C340" s="10" t="s">
        <v>1795</v>
      </c>
      <c r="D340" s="12">
        <v>2605.96</v>
      </c>
      <c r="E340" s="12">
        <v>2709.38</v>
      </c>
      <c r="F340" s="12">
        <f t="shared" si="15"/>
        <v>103.42000000000007</v>
      </c>
      <c r="G340" s="27">
        <f t="shared" si="16"/>
        <v>3.968595066693275E-2</v>
      </c>
      <c r="H340" s="10" t="str">
        <f t="shared" si="17"/>
        <v>Within Budget</v>
      </c>
    </row>
    <row r="341" spans="1:8" x14ac:dyDescent="0.25">
      <c r="A341" s="14">
        <v>45444</v>
      </c>
      <c r="B341" s="13" t="s">
        <v>1774</v>
      </c>
      <c r="C341" s="13" t="s">
        <v>1786</v>
      </c>
      <c r="D341" s="15">
        <v>15625.99</v>
      </c>
      <c r="E341" s="15">
        <v>17311.7</v>
      </c>
      <c r="F341" s="15">
        <f t="shared" si="15"/>
        <v>1685.7100000000009</v>
      </c>
      <c r="G341" s="28">
        <f t="shared" si="16"/>
        <v>0.10787860481159919</v>
      </c>
      <c r="H341" s="13" t="str">
        <f t="shared" si="17"/>
        <v>Slightly Over</v>
      </c>
    </row>
    <row r="342" spans="1:8" x14ac:dyDescent="0.25">
      <c r="A342" s="11">
        <v>45444</v>
      </c>
      <c r="B342" s="10" t="s">
        <v>1792</v>
      </c>
      <c r="C342" s="10" t="s">
        <v>1783</v>
      </c>
      <c r="D342" s="12">
        <v>19733.57</v>
      </c>
      <c r="E342" s="12">
        <v>17667.669999999998</v>
      </c>
      <c r="F342" s="12">
        <f t="shared" si="15"/>
        <v>-2065.9000000000015</v>
      </c>
      <c r="G342" s="27">
        <f t="shared" si="16"/>
        <v>-0.10468962281026704</v>
      </c>
      <c r="H342" s="10" t="str">
        <f t="shared" si="17"/>
        <v>Under Budget</v>
      </c>
    </row>
    <row r="343" spans="1:8" x14ac:dyDescent="0.25">
      <c r="A343" s="14">
        <v>45444</v>
      </c>
      <c r="B343" s="13" t="s">
        <v>1799</v>
      </c>
      <c r="C343" s="13" t="s">
        <v>1792</v>
      </c>
      <c r="D343" s="15">
        <v>8114.14</v>
      </c>
      <c r="E343" s="15">
        <v>7865.25</v>
      </c>
      <c r="F343" s="15">
        <f t="shared" si="15"/>
        <v>-248.89000000000033</v>
      </c>
      <c r="G343" s="28">
        <f t="shared" si="16"/>
        <v>-3.0673614209269291E-2</v>
      </c>
      <c r="H343" s="13" t="str">
        <f t="shared" si="17"/>
        <v>Under Budget</v>
      </c>
    </row>
    <row r="344" spans="1:8" x14ac:dyDescent="0.25">
      <c r="A344" s="11">
        <v>45444</v>
      </c>
      <c r="B344" s="10" t="s">
        <v>1862</v>
      </c>
      <c r="C344" s="10" t="s">
        <v>1778</v>
      </c>
      <c r="D344" s="12">
        <v>9380.99</v>
      </c>
      <c r="E344" s="12">
        <v>9075.42</v>
      </c>
      <c r="F344" s="12">
        <f t="shared" si="15"/>
        <v>-305.56999999999971</v>
      </c>
      <c r="G344" s="27">
        <f t="shared" si="16"/>
        <v>-3.2573321152671489E-2</v>
      </c>
      <c r="H344" s="10" t="str">
        <f t="shared" si="17"/>
        <v>Under Budget</v>
      </c>
    </row>
    <row r="345" spans="1:8" x14ac:dyDescent="0.25">
      <c r="A345" s="14">
        <v>45444</v>
      </c>
      <c r="B345" s="13" t="s">
        <v>1774</v>
      </c>
      <c r="C345" s="13" t="s">
        <v>1792</v>
      </c>
      <c r="D345" s="15">
        <v>22306.639999999999</v>
      </c>
      <c r="E345" s="15">
        <v>20078.5</v>
      </c>
      <c r="F345" s="15">
        <f t="shared" si="15"/>
        <v>-2228.1399999999994</v>
      </c>
      <c r="G345" s="28">
        <f t="shared" si="16"/>
        <v>-9.9886849834847358E-2</v>
      </c>
      <c r="H345" s="13" t="str">
        <f t="shared" si="17"/>
        <v>Under Budget</v>
      </c>
    </row>
    <row r="346" spans="1:8" x14ac:dyDescent="0.25">
      <c r="A346" s="11">
        <v>45444</v>
      </c>
      <c r="B346" s="10" t="s">
        <v>1774</v>
      </c>
      <c r="C346" s="10" t="s">
        <v>1778</v>
      </c>
      <c r="D346" s="12">
        <v>24180.45</v>
      </c>
      <c r="E346" s="12">
        <v>22326.33</v>
      </c>
      <c r="F346" s="12">
        <f t="shared" si="15"/>
        <v>-1854.119999999999</v>
      </c>
      <c r="G346" s="27">
        <f t="shared" si="16"/>
        <v>-7.6678473725675031E-2</v>
      </c>
      <c r="H346" s="10" t="str">
        <f t="shared" si="17"/>
        <v>Under Budget</v>
      </c>
    </row>
    <row r="347" spans="1:8" x14ac:dyDescent="0.25">
      <c r="A347" s="14">
        <v>45444</v>
      </c>
      <c r="B347" s="13" t="s">
        <v>1792</v>
      </c>
      <c r="C347" s="13" t="s">
        <v>1780</v>
      </c>
      <c r="D347" s="15">
        <v>11044.79</v>
      </c>
      <c r="E347" s="15">
        <v>10234.870000000001</v>
      </c>
      <c r="F347" s="15">
        <f t="shared" si="15"/>
        <v>-809.92000000000007</v>
      </c>
      <c r="G347" s="28">
        <f t="shared" si="16"/>
        <v>-7.333050243599018E-2</v>
      </c>
      <c r="H347" s="13" t="str">
        <f t="shared" si="17"/>
        <v>Under Budget</v>
      </c>
    </row>
    <row r="348" spans="1:8" x14ac:dyDescent="0.25">
      <c r="A348" s="11">
        <v>45444</v>
      </c>
      <c r="B348" s="10" t="s">
        <v>1799</v>
      </c>
      <c r="C348" s="10" t="s">
        <v>1780</v>
      </c>
      <c r="D348" s="12">
        <v>5202.3100000000004</v>
      </c>
      <c r="E348" s="12">
        <v>5337.4</v>
      </c>
      <c r="F348" s="12">
        <f t="shared" si="15"/>
        <v>135.08999999999924</v>
      </c>
      <c r="G348" s="27">
        <f t="shared" si="16"/>
        <v>2.5967310675449797E-2</v>
      </c>
      <c r="H348" s="10" t="str">
        <f t="shared" si="17"/>
        <v>Within Budget</v>
      </c>
    </row>
    <row r="349" spans="1:8" x14ac:dyDescent="0.25">
      <c r="A349" s="14">
        <v>45444</v>
      </c>
      <c r="B349" s="13" t="s">
        <v>1786</v>
      </c>
      <c r="C349" s="13" t="s">
        <v>1786</v>
      </c>
      <c r="D349" s="15">
        <v>11376.11</v>
      </c>
      <c r="E349" s="15">
        <v>11683.74</v>
      </c>
      <c r="F349" s="15">
        <f t="shared" si="15"/>
        <v>307.6299999999992</v>
      </c>
      <c r="G349" s="28">
        <f t="shared" si="16"/>
        <v>2.7041756804390884E-2</v>
      </c>
      <c r="H349" s="13" t="str">
        <f t="shared" si="17"/>
        <v>Within Budget</v>
      </c>
    </row>
    <row r="350" spans="1:8" x14ac:dyDescent="0.25">
      <c r="A350" s="11">
        <v>45444</v>
      </c>
      <c r="B350" s="10" t="s">
        <v>1786</v>
      </c>
      <c r="C350" s="10" t="s">
        <v>1792</v>
      </c>
      <c r="D350" s="12">
        <v>10946.33</v>
      </c>
      <c r="E350" s="12">
        <v>11352.97</v>
      </c>
      <c r="F350" s="12">
        <f t="shared" si="15"/>
        <v>406.63999999999942</v>
      </c>
      <c r="G350" s="27">
        <f t="shared" si="16"/>
        <v>3.7148523751796211E-2</v>
      </c>
      <c r="H350" s="10" t="str">
        <f t="shared" si="17"/>
        <v>Within Budget</v>
      </c>
    </row>
    <row r="351" spans="1:8" x14ac:dyDescent="0.25">
      <c r="A351" s="14">
        <v>45444</v>
      </c>
      <c r="B351" s="13" t="s">
        <v>1862</v>
      </c>
      <c r="C351" s="13" t="s">
        <v>1792</v>
      </c>
      <c r="D351" s="15">
        <v>5808.37</v>
      </c>
      <c r="E351" s="15">
        <v>5949.53</v>
      </c>
      <c r="F351" s="15">
        <f t="shared" si="15"/>
        <v>141.15999999999985</v>
      </c>
      <c r="G351" s="28">
        <f t="shared" si="16"/>
        <v>2.4302859494143771E-2</v>
      </c>
      <c r="H351" s="13" t="str">
        <f t="shared" si="17"/>
        <v>Within Budget</v>
      </c>
    </row>
    <row r="352" spans="1:8" x14ac:dyDescent="0.25">
      <c r="A352" s="11">
        <v>45444</v>
      </c>
      <c r="B352" s="10" t="s">
        <v>1818</v>
      </c>
      <c r="C352" s="10" t="s">
        <v>1789</v>
      </c>
      <c r="D352" s="12">
        <v>4067.17</v>
      </c>
      <c r="E352" s="12">
        <v>4144.71</v>
      </c>
      <c r="F352" s="12">
        <f t="shared" si="15"/>
        <v>77.539999999999964</v>
      </c>
      <c r="G352" s="27">
        <f t="shared" si="16"/>
        <v>1.9064853448466614E-2</v>
      </c>
      <c r="H352" s="10" t="str">
        <f t="shared" si="17"/>
        <v>Within Budget</v>
      </c>
    </row>
    <row r="353" spans="1:8" x14ac:dyDescent="0.25">
      <c r="A353" s="14">
        <v>45444</v>
      </c>
      <c r="B353" s="13" t="s">
        <v>1774</v>
      </c>
      <c r="C353" s="13" t="s">
        <v>1783</v>
      </c>
      <c r="D353" s="15">
        <v>16642.21</v>
      </c>
      <c r="E353" s="15">
        <v>17879.45</v>
      </c>
      <c r="F353" s="15">
        <f t="shared" si="15"/>
        <v>1237.2400000000016</v>
      </c>
      <c r="G353" s="28">
        <f t="shared" si="16"/>
        <v>7.4343491639632095E-2</v>
      </c>
      <c r="H353" s="13" t="str">
        <f t="shared" si="17"/>
        <v>Slightly Over</v>
      </c>
    </row>
    <row r="354" spans="1:8" x14ac:dyDescent="0.25">
      <c r="A354" s="11">
        <v>45444</v>
      </c>
      <c r="B354" s="10" t="s">
        <v>1792</v>
      </c>
      <c r="C354" s="10" t="s">
        <v>1786</v>
      </c>
      <c r="D354" s="12">
        <v>13603.42</v>
      </c>
      <c r="E354" s="12">
        <v>13905.04</v>
      </c>
      <c r="F354" s="12">
        <f t="shared" si="15"/>
        <v>301.6200000000008</v>
      </c>
      <c r="G354" s="27">
        <f t="shared" si="16"/>
        <v>2.2172365478681157E-2</v>
      </c>
      <c r="H354" s="10" t="str">
        <f t="shared" si="17"/>
        <v>Within Budget</v>
      </c>
    </row>
    <row r="355" spans="1:8" x14ac:dyDescent="0.25">
      <c r="A355" s="14">
        <v>45444</v>
      </c>
      <c r="B355" s="13" t="s">
        <v>1862</v>
      </c>
      <c r="C355" s="13" t="s">
        <v>1775</v>
      </c>
      <c r="D355" s="15">
        <v>38648.959999999999</v>
      </c>
      <c r="E355" s="15">
        <v>38715.379999999997</v>
      </c>
      <c r="F355" s="15">
        <f t="shared" si="15"/>
        <v>66.419999999998254</v>
      </c>
      <c r="G355" s="28">
        <f t="shared" si="16"/>
        <v>1.718545596052216E-3</v>
      </c>
      <c r="H355" s="13" t="str">
        <f t="shared" si="17"/>
        <v>Within Budget</v>
      </c>
    </row>
    <row r="356" spans="1:8" x14ac:dyDescent="0.25">
      <c r="A356" s="11">
        <v>45444</v>
      </c>
      <c r="B356" s="10" t="s">
        <v>1862</v>
      </c>
      <c r="C356" s="10" t="s">
        <v>1795</v>
      </c>
      <c r="D356" s="12">
        <v>3014.62</v>
      </c>
      <c r="E356" s="12">
        <v>3114.1</v>
      </c>
      <c r="F356" s="12">
        <f t="shared" si="15"/>
        <v>99.480000000000018</v>
      </c>
      <c r="G356" s="27">
        <f t="shared" si="16"/>
        <v>3.2999183976753298E-2</v>
      </c>
      <c r="H356" s="10" t="str">
        <f t="shared" si="17"/>
        <v>Within Budget</v>
      </c>
    </row>
    <row r="357" spans="1:8" x14ac:dyDescent="0.25">
      <c r="A357" s="14">
        <v>45444</v>
      </c>
      <c r="B357" s="13" t="s">
        <v>1799</v>
      </c>
      <c r="C357" s="13" t="s">
        <v>1778</v>
      </c>
      <c r="D357" s="15">
        <v>10164.11</v>
      </c>
      <c r="E357" s="15">
        <v>10854.73</v>
      </c>
      <c r="F357" s="15">
        <f t="shared" si="15"/>
        <v>690.61999999999898</v>
      </c>
      <c r="G357" s="28">
        <f t="shared" si="16"/>
        <v>6.7946923045893726E-2</v>
      </c>
      <c r="H357" s="13" t="str">
        <f t="shared" si="17"/>
        <v>Slightly Over</v>
      </c>
    </row>
    <row r="358" spans="1:8" x14ac:dyDescent="0.25">
      <c r="A358" s="11">
        <v>45444</v>
      </c>
      <c r="B358" s="10" t="s">
        <v>1786</v>
      </c>
      <c r="C358" s="10" t="s">
        <v>1797</v>
      </c>
      <c r="D358" s="12">
        <v>4419.09</v>
      </c>
      <c r="E358" s="12">
        <v>4499.3999999999996</v>
      </c>
      <c r="F358" s="12">
        <f t="shared" si="15"/>
        <v>80.309999999999491</v>
      </c>
      <c r="G358" s="27">
        <f t="shared" si="16"/>
        <v>1.8173424845386605E-2</v>
      </c>
      <c r="H358" s="10" t="str">
        <f t="shared" si="17"/>
        <v>Within Budget</v>
      </c>
    </row>
    <row r="359" spans="1:8" x14ac:dyDescent="0.25">
      <c r="A359" s="14">
        <v>45444</v>
      </c>
      <c r="B359" s="13" t="s">
        <v>1862</v>
      </c>
      <c r="C359" s="13" t="s">
        <v>1786</v>
      </c>
      <c r="D359" s="15">
        <v>6767.28</v>
      </c>
      <c r="E359" s="15">
        <v>6728.26</v>
      </c>
      <c r="F359" s="15">
        <f t="shared" si="15"/>
        <v>-39.019999999999527</v>
      </c>
      <c r="G359" s="28">
        <f t="shared" si="16"/>
        <v>-5.7659798323698042E-3</v>
      </c>
      <c r="H359" s="13" t="str">
        <f t="shared" si="17"/>
        <v>Under Budget</v>
      </c>
    </row>
    <row r="360" spans="1:8" x14ac:dyDescent="0.25">
      <c r="A360" s="11">
        <v>45444</v>
      </c>
      <c r="B360" s="10" t="s">
        <v>1862</v>
      </c>
      <c r="C360" s="10" t="s">
        <v>1783</v>
      </c>
      <c r="D360" s="12">
        <v>7052.23</v>
      </c>
      <c r="E360" s="12">
        <v>6662.1</v>
      </c>
      <c r="F360" s="12">
        <f t="shared" si="15"/>
        <v>-390.1299999999992</v>
      </c>
      <c r="G360" s="27">
        <f t="shared" si="16"/>
        <v>-5.532009024095913E-2</v>
      </c>
      <c r="H360" s="10" t="str">
        <f t="shared" si="17"/>
        <v>Under Budget</v>
      </c>
    </row>
    <row r="361" spans="1:8" x14ac:dyDescent="0.25">
      <c r="A361" s="14">
        <v>45444</v>
      </c>
      <c r="B361" s="13" t="s">
        <v>1786</v>
      </c>
      <c r="C361" s="13" t="s">
        <v>1789</v>
      </c>
      <c r="D361" s="15">
        <v>7760.13</v>
      </c>
      <c r="E361" s="15">
        <v>7345.32</v>
      </c>
      <c r="F361" s="15">
        <f t="shared" si="15"/>
        <v>-414.8100000000004</v>
      </c>
      <c r="G361" s="28">
        <f t="shared" si="16"/>
        <v>-5.3454001414924804E-2</v>
      </c>
      <c r="H361" s="13" t="str">
        <f t="shared" si="17"/>
        <v>Under Budget</v>
      </c>
    </row>
    <row r="362" spans="1:8" x14ac:dyDescent="0.25">
      <c r="A362" s="11">
        <v>45444</v>
      </c>
      <c r="B362" s="10" t="s">
        <v>1792</v>
      </c>
      <c r="C362" s="10" t="s">
        <v>1775</v>
      </c>
      <c r="D362" s="12">
        <v>74722.34</v>
      </c>
      <c r="E362" s="12">
        <v>79105.34</v>
      </c>
      <c r="F362" s="12">
        <f t="shared" si="15"/>
        <v>4383</v>
      </c>
      <c r="G362" s="27">
        <f t="shared" si="16"/>
        <v>5.8657156614741995E-2</v>
      </c>
      <c r="H362" s="10" t="str">
        <f t="shared" si="17"/>
        <v>Slightly Over</v>
      </c>
    </row>
    <row r="363" spans="1:8" x14ac:dyDescent="0.25">
      <c r="A363" s="14">
        <v>45444</v>
      </c>
      <c r="B363" s="13" t="s">
        <v>1877</v>
      </c>
      <c r="C363" s="13" t="s">
        <v>1780</v>
      </c>
      <c r="D363" s="15">
        <v>6150.83</v>
      </c>
      <c r="E363" s="15">
        <v>6773.56</v>
      </c>
      <c r="F363" s="15">
        <f t="shared" si="15"/>
        <v>622.73000000000047</v>
      </c>
      <c r="G363" s="28">
        <f t="shared" si="16"/>
        <v>0.10124324684636066</v>
      </c>
      <c r="H363" s="13" t="str">
        <f t="shared" si="17"/>
        <v>Slightly Over</v>
      </c>
    </row>
    <row r="364" spans="1:8" x14ac:dyDescent="0.25">
      <c r="A364" s="11">
        <v>45444</v>
      </c>
      <c r="B364" s="10" t="s">
        <v>1818</v>
      </c>
      <c r="C364" s="10" t="s">
        <v>1797</v>
      </c>
      <c r="D364" s="12">
        <v>2248.2199999999998</v>
      </c>
      <c r="E364" s="12">
        <v>2325.34</v>
      </c>
      <c r="F364" s="12">
        <f t="shared" si="15"/>
        <v>77.120000000000346</v>
      </c>
      <c r="G364" s="27">
        <f t="shared" si="16"/>
        <v>3.4302692796968424E-2</v>
      </c>
      <c r="H364" s="10" t="str">
        <f t="shared" si="17"/>
        <v>Within Budget</v>
      </c>
    </row>
    <row r="365" spans="1:8" x14ac:dyDescent="0.25">
      <c r="A365" s="14">
        <v>45444</v>
      </c>
      <c r="B365" s="13" t="s">
        <v>1799</v>
      </c>
      <c r="C365" s="13" t="s">
        <v>1797</v>
      </c>
      <c r="D365" s="15">
        <v>2323.54</v>
      </c>
      <c r="E365" s="15">
        <v>2486.21</v>
      </c>
      <c r="F365" s="15">
        <f t="shared" si="15"/>
        <v>162.67000000000007</v>
      </c>
      <c r="G365" s="28">
        <f t="shared" si="16"/>
        <v>7.0009554386840797E-2</v>
      </c>
      <c r="H365" s="13" t="str">
        <f t="shared" si="17"/>
        <v>Slightly Over</v>
      </c>
    </row>
    <row r="366" spans="1:8" x14ac:dyDescent="0.25">
      <c r="A366" s="11">
        <v>45444</v>
      </c>
      <c r="B366" s="10" t="s">
        <v>1818</v>
      </c>
      <c r="C366" s="10" t="s">
        <v>1786</v>
      </c>
      <c r="D366" s="12">
        <v>6954.94</v>
      </c>
      <c r="E366" s="12">
        <v>7046.02</v>
      </c>
      <c r="F366" s="12">
        <f t="shared" si="15"/>
        <v>91.080000000000837</v>
      </c>
      <c r="G366" s="27">
        <f t="shared" si="16"/>
        <v>1.3095727641072509E-2</v>
      </c>
      <c r="H366" s="10" t="str">
        <f t="shared" si="17"/>
        <v>Within Budget</v>
      </c>
    </row>
    <row r="367" spans="1:8" x14ac:dyDescent="0.25">
      <c r="A367" s="14">
        <v>45444</v>
      </c>
      <c r="B367" s="13" t="s">
        <v>1786</v>
      </c>
      <c r="C367" s="13" t="s">
        <v>1778</v>
      </c>
      <c r="D367" s="15">
        <v>17174.310000000001</v>
      </c>
      <c r="E367" s="15">
        <v>15396.67</v>
      </c>
      <c r="F367" s="15">
        <f t="shared" si="15"/>
        <v>-1777.6400000000012</v>
      </c>
      <c r="G367" s="28">
        <f t="shared" si="16"/>
        <v>-0.10350575947447095</v>
      </c>
      <c r="H367" s="13" t="str">
        <f t="shared" si="17"/>
        <v>Under Budget</v>
      </c>
    </row>
    <row r="368" spans="1:8" x14ac:dyDescent="0.25">
      <c r="A368" s="11">
        <v>45444</v>
      </c>
      <c r="B368" s="10" t="s">
        <v>1786</v>
      </c>
      <c r="C368" s="10" t="s">
        <v>1780</v>
      </c>
      <c r="D368" s="12">
        <v>6053.66</v>
      </c>
      <c r="E368" s="12">
        <v>6441.19</v>
      </c>
      <c r="F368" s="12">
        <f t="shared" si="15"/>
        <v>387.52999999999975</v>
      </c>
      <c r="G368" s="27">
        <f t="shared" si="16"/>
        <v>6.4015818529616755E-2</v>
      </c>
      <c r="H368" s="10" t="str">
        <f t="shared" si="17"/>
        <v>Slightly Over</v>
      </c>
    </row>
    <row r="369" spans="1:8" x14ac:dyDescent="0.25">
      <c r="A369" s="14">
        <v>45444</v>
      </c>
      <c r="B369" s="13" t="s">
        <v>1877</v>
      </c>
      <c r="C369" s="13" t="s">
        <v>1789</v>
      </c>
      <c r="D369" s="15">
        <v>5833.35</v>
      </c>
      <c r="E369" s="15">
        <v>6012.82</v>
      </c>
      <c r="F369" s="15">
        <f t="shared" si="15"/>
        <v>179.46999999999935</v>
      </c>
      <c r="G369" s="28">
        <f t="shared" si="16"/>
        <v>3.0766197810863285E-2</v>
      </c>
      <c r="H369" s="13" t="str">
        <f t="shared" si="17"/>
        <v>Within Budget</v>
      </c>
    </row>
    <row r="370" spans="1:8" x14ac:dyDescent="0.25">
      <c r="A370" s="11">
        <v>45444</v>
      </c>
      <c r="B370" s="10" t="s">
        <v>1818</v>
      </c>
      <c r="C370" s="10" t="s">
        <v>1780</v>
      </c>
      <c r="D370" s="12">
        <v>4283.43</v>
      </c>
      <c r="E370" s="12">
        <v>4042.78</v>
      </c>
      <c r="F370" s="12">
        <f t="shared" si="15"/>
        <v>-240.65000000000009</v>
      </c>
      <c r="G370" s="27">
        <f t="shared" si="16"/>
        <v>-5.618161146557784E-2</v>
      </c>
      <c r="H370" s="10" t="str">
        <f t="shared" si="17"/>
        <v>Under Budget</v>
      </c>
    </row>
    <row r="371" spans="1:8" x14ac:dyDescent="0.25">
      <c r="A371" s="14">
        <v>45444</v>
      </c>
      <c r="B371" s="13" t="s">
        <v>1862</v>
      </c>
      <c r="C371" s="13" t="s">
        <v>1797</v>
      </c>
      <c r="D371" s="15">
        <v>2698.92</v>
      </c>
      <c r="E371" s="15">
        <v>2666.86</v>
      </c>
      <c r="F371" s="15">
        <f t="shared" si="15"/>
        <v>-32.059999999999945</v>
      </c>
      <c r="G371" s="28">
        <f t="shared" si="16"/>
        <v>-1.1878825604315781E-2</v>
      </c>
      <c r="H371" s="13" t="str">
        <f t="shared" si="17"/>
        <v>Under Budget</v>
      </c>
    </row>
    <row r="372" spans="1:8" x14ac:dyDescent="0.25">
      <c r="A372" s="11">
        <v>45444</v>
      </c>
      <c r="B372" s="10" t="s">
        <v>1799</v>
      </c>
      <c r="C372" s="10" t="s">
        <v>1783</v>
      </c>
      <c r="D372" s="12">
        <v>5691.29</v>
      </c>
      <c r="E372" s="12">
        <v>6256.47</v>
      </c>
      <c r="F372" s="12">
        <f t="shared" si="15"/>
        <v>565.18000000000029</v>
      </c>
      <c r="G372" s="27">
        <f t="shared" si="16"/>
        <v>9.9306132704536282E-2</v>
      </c>
      <c r="H372" s="10" t="str">
        <f t="shared" si="17"/>
        <v>Slightly Over</v>
      </c>
    </row>
    <row r="373" spans="1:8" x14ac:dyDescent="0.25">
      <c r="A373" s="14">
        <v>45444</v>
      </c>
      <c r="B373" s="13" t="s">
        <v>1877</v>
      </c>
      <c r="C373" s="13" t="s">
        <v>1792</v>
      </c>
      <c r="D373" s="15">
        <v>11738.48</v>
      </c>
      <c r="E373" s="15">
        <v>12546.85</v>
      </c>
      <c r="F373" s="15">
        <f t="shared" si="15"/>
        <v>808.3700000000008</v>
      </c>
      <c r="G373" s="28">
        <f t="shared" si="16"/>
        <v>6.8864963777252319E-2</v>
      </c>
      <c r="H373" s="13" t="str">
        <f t="shared" si="17"/>
        <v>Slightly Over</v>
      </c>
    </row>
    <row r="374" spans="1:8" x14ac:dyDescent="0.25">
      <c r="A374" s="11">
        <v>45444</v>
      </c>
      <c r="B374" s="10" t="s">
        <v>1818</v>
      </c>
      <c r="C374" s="10" t="s">
        <v>1778</v>
      </c>
      <c r="D374" s="12">
        <v>9640.15</v>
      </c>
      <c r="E374" s="12">
        <v>8718.16</v>
      </c>
      <c r="F374" s="12">
        <f t="shared" si="15"/>
        <v>-921.98999999999978</v>
      </c>
      <c r="G374" s="27">
        <f t="shared" si="16"/>
        <v>-9.5640627998526975E-2</v>
      </c>
      <c r="H374" s="10" t="str">
        <f t="shared" si="17"/>
        <v>Under Budget</v>
      </c>
    </row>
    <row r="375" spans="1:8" x14ac:dyDescent="0.25">
      <c r="A375" s="14">
        <v>45444</v>
      </c>
      <c r="B375" s="13" t="s">
        <v>1786</v>
      </c>
      <c r="C375" s="13" t="s">
        <v>1775</v>
      </c>
      <c r="D375" s="15">
        <v>79824.960000000006</v>
      </c>
      <c r="E375" s="15">
        <v>86512.71</v>
      </c>
      <c r="F375" s="15">
        <f t="shared" si="15"/>
        <v>6687.75</v>
      </c>
      <c r="G375" s="28">
        <f t="shared" si="16"/>
        <v>8.3780186047070979E-2</v>
      </c>
      <c r="H375" s="13" t="str">
        <f t="shared" si="17"/>
        <v>Slightly Over</v>
      </c>
    </row>
    <row r="376" spans="1:8" x14ac:dyDescent="0.25">
      <c r="A376" s="11">
        <v>45444</v>
      </c>
      <c r="B376" s="10" t="s">
        <v>1792</v>
      </c>
      <c r="C376" s="10" t="s">
        <v>1795</v>
      </c>
      <c r="D376" s="12">
        <v>5659.74</v>
      </c>
      <c r="E376" s="12">
        <v>5443.52</v>
      </c>
      <c r="F376" s="12">
        <f t="shared" si="15"/>
        <v>-216.21999999999935</v>
      </c>
      <c r="G376" s="27">
        <f t="shared" si="16"/>
        <v>-3.8203168343422023E-2</v>
      </c>
      <c r="H376" s="10" t="str">
        <f t="shared" si="17"/>
        <v>Under Budget</v>
      </c>
    </row>
    <row r="377" spans="1:8" x14ac:dyDescent="0.25">
      <c r="A377" s="14">
        <v>45444</v>
      </c>
      <c r="B377" s="13" t="s">
        <v>1774</v>
      </c>
      <c r="C377" s="13" t="s">
        <v>1775</v>
      </c>
      <c r="D377" s="15">
        <v>130669.96</v>
      </c>
      <c r="E377" s="15">
        <v>121631.34</v>
      </c>
      <c r="F377" s="15">
        <f t="shared" si="15"/>
        <v>-9038.6200000000099</v>
      </c>
      <c r="G377" s="28">
        <f t="shared" si="16"/>
        <v>-6.9171368844071046E-2</v>
      </c>
      <c r="H377" s="13" t="str">
        <f t="shared" si="17"/>
        <v>Under Budget</v>
      </c>
    </row>
    <row r="378" spans="1:8" x14ac:dyDescent="0.25">
      <c r="A378" s="11">
        <v>45444</v>
      </c>
      <c r="B378" s="10" t="s">
        <v>1792</v>
      </c>
      <c r="C378" s="10" t="s">
        <v>1797</v>
      </c>
      <c r="D378" s="12">
        <v>5712.65</v>
      </c>
      <c r="E378" s="12">
        <v>5960.63</v>
      </c>
      <c r="F378" s="12">
        <f t="shared" si="15"/>
        <v>247.98000000000047</v>
      </c>
      <c r="G378" s="27">
        <f t="shared" si="16"/>
        <v>4.3408925805011774E-2</v>
      </c>
      <c r="H378" s="10" t="str">
        <f t="shared" si="17"/>
        <v>Within Budget</v>
      </c>
    </row>
    <row r="379" spans="1:8" x14ac:dyDescent="0.25">
      <c r="A379" s="14">
        <v>45444</v>
      </c>
      <c r="B379" s="13" t="s">
        <v>1792</v>
      </c>
      <c r="C379" s="13" t="s">
        <v>1778</v>
      </c>
      <c r="D379" s="15">
        <v>19252.669999999998</v>
      </c>
      <c r="E379" s="15">
        <v>18171.169999999998</v>
      </c>
      <c r="F379" s="15">
        <f t="shared" si="15"/>
        <v>-1081.5</v>
      </c>
      <c r="G379" s="28">
        <f t="shared" si="16"/>
        <v>-5.6174026771351721E-2</v>
      </c>
      <c r="H379" s="13" t="str">
        <f t="shared" si="17"/>
        <v>Under Budget</v>
      </c>
    </row>
    <row r="380" spans="1:8" x14ac:dyDescent="0.25">
      <c r="A380" s="11">
        <v>45474</v>
      </c>
      <c r="B380" s="10" t="s">
        <v>1862</v>
      </c>
      <c r="C380" s="10" t="s">
        <v>1778</v>
      </c>
      <c r="D380" s="12">
        <v>7143.88</v>
      </c>
      <c r="E380" s="12">
        <v>7621.14</v>
      </c>
      <c r="F380" s="12">
        <f t="shared" si="15"/>
        <v>477.26000000000022</v>
      </c>
      <c r="G380" s="27">
        <f t="shared" si="16"/>
        <v>6.6806833261476989E-2</v>
      </c>
      <c r="H380" s="10" t="str">
        <f t="shared" si="17"/>
        <v>Slightly Over</v>
      </c>
    </row>
    <row r="381" spans="1:8" x14ac:dyDescent="0.25">
      <c r="A381" s="14">
        <v>45474</v>
      </c>
      <c r="B381" s="13" t="s">
        <v>1877</v>
      </c>
      <c r="C381" s="13" t="s">
        <v>1778</v>
      </c>
      <c r="D381" s="15">
        <v>11584.48</v>
      </c>
      <c r="E381" s="15">
        <v>12034.01</v>
      </c>
      <c r="F381" s="15">
        <f t="shared" si="15"/>
        <v>449.53000000000065</v>
      </c>
      <c r="G381" s="28">
        <f t="shared" si="16"/>
        <v>3.8804503957018413E-2</v>
      </c>
      <c r="H381" s="13" t="str">
        <f t="shared" si="17"/>
        <v>Within Budget</v>
      </c>
    </row>
    <row r="382" spans="1:8" x14ac:dyDescent="0.25">
      <c r="A382" s="11">
        <v>45474</v>
      </c>
      <c r="B382" s="10" t="s">
        <v>1792</v>
      </c>
      <c r="C382" s="10" t="s">
        <v>1783</v>
      </c>
      <c r="D382" s="12">
        <v>13538.07</v>
      </c>
      <c r="E382" s="12">
        <v>13976.93</v>
      </c>
      <c r="F382" s="12">
        <f t="shared" si="15"/>
        <v>438.86000000000058</v>
      </c>
      <c r="G382" s="27">
        <f t="shared" si="16"/>
        <v>3.2416732961197611E-2</v>
      </c>
      <c r="H382" s="10" t="str">
        <f t="shared" si="17"/>
        <v>Within Budget</v>
      </c>
    </row>
    <row r="383" spans="1:8" x14ac:dyDescent="0.25">
      <c r="A383" s="14">
        <v>45474</v>
      </c>
      <c r="B383" s="13" t="s">
        <v>1877</v>
      </c>
      <c r="C383" s="13" t="s">
        <v>1789</v>
      </c>
      <c r="D383" s="15">
        <v>7961.68</v>
      </c>
      <c r="E383" s="15">
        <v>7113.62</v>
      </c>
      <c r="F383" s="15">
        <f t="shared" si="15"/>
        <v>-848.0600000000004</v>
      </c>
      <c r="G383" s="28">
        <f t="shared" si="16"/>
        <v>-0.1065177198782167</v>
      </c>
      <c r="H383" s="13" t="str">
        <f t="shared" si="17"/>
        <v>Under Budget</v>
      </c>
    </row>
    <row r="384" spans="1:8" x14ac:dyDescent="0.25">
      <c r="A384" s="11">
        <v>45474</v>
      </c>
      <c r="B384" s="10" t="s">
        <v>1818</v>
      </c>
      <c r="C384" s="10" t="s">
        <v>1783</v>
      </c>
      <c r="D384" s="12">
        <v>5081.91</v>
      </c>
      <c r="E384" s="12">
        <v>5365.16</v>
      </c>
      <c r="F384" s="12">
        <f t="shared" si="15"/>
        <v>283.25</v>
      </c>
      <c r="G384" s="27">
        <f t="shared" si="16"/>
        <v>5.5736917812397306E-2</v>
      </c>
      <c r="H384" s="10" t="str">
        <f t="shared" si="17"/>
        <v>Slightly Over</v>
      </c>
    </row>
    <row r="385" spans="1:8" x14ac:dyDescent="0.25">
      <c r="A385" s="14">
        <v>45474</v>
      </c>
      <c r="B385" s="13" t="s">
        <v>1877</v>
      </c>
      <c r="C385" s="13" t="s">
        <v>1783</v>
      </c>
      <c r="D385" s="15">
        <v>8476.31</v>
      </c>
      <c r="E385" s="15">
        <v>9129.77</v>
      </c>
      <c r="F385" s="15">
        <f t="shared" si="15"/>
        <v>653.46000000000095</v>
      </c>
      <c r="G385" s="28">
        <f t="shared" si="16"/>
        <v>7.7092508414628655E-2</v>
      </c>
      <c r="H385" s="13" t="str">
        <f t="shared" si="17"/>
        <v>Slightly Over</v>
      </c>
    </row>
    <row r="386" spans="1:8" x14ac:dyDescent="0.25">
      <c r="A386" s="11">
        <v>45474</v>
      </c>
      <c r="B386" s="10" t="s">
        <v>1818</v>
      </c>
      <c r="C386" s="10" t="s">
        <v>1778</v>
      </c>
      <c r="D386" s="12">
        <v>7071.02</v>
      </c>
      <c r="E386" s="12">
        <v>6406.93</v>
      </c>
      <c r="F386" s="12">
        <f t="shared" ref="F386:F449" si="18">E386-D386</f>
        <v>-664.09000000000015</v>
      </c>
      <c r="G386" s="27">
        <f t="shared" ref="G386:G449" si="19">IFERROR(F386/D386,0)</f>
        <v>-9.3917143495563599E-2</v>
      </c>
      <c r="H386" s="10" t="str">
        <f t="shared" ref="H386:H449" si="20">IF(G386&lt;=0,"Under Budget",IF(G386&lt;=5%,"Within Budget",IF(G386&lt;=15%,"Slightly Over","Significantly Over")))</f>
        <v>Under Budget</v>
      </c>
    </row>
    <row r="387" spans="1:8" x14ac:dyDescent="0.25">
      <c r="A387" s="14">
        <v>45474</v>
      </c>
      <c r="B387" s="13" t="s">
        <v>1792</v>
      </c>
      <c r="C387" s="13" t="s">
        <v>1795</v>
      </c>
      <c r="D387" s="15">
        <v>5019.83</v>
      </c>
      <c r="E387" s="15">
        <v>5365.22</v>
      </c>
      <c r="F387" s="15">
        <f t="shared" si="18"/>
        <v>345.39000000000033</v>
      </c>
      <c r="G387" s="28">
        <f t="shared" si="19"/>
        <v>6.8805118898448814E-2</v>
      </c>
      <c r="H387" s="13" t="str">
        <f t="shared" si="20"/>
        <v>Slightly Over</v>
      </c>
    </row>
    <row r="388" spans="1:8" x14ac:dyDescent="0.25">
      <c r="A388" s="11">
        <v>45474</v>
      </c>
      <c r="B388" s="10" t="s">
        <v>1877</v>
      </c>
      <c r="C388" s="10" t="s">
        <v>1775</v>
      </c>
      <c r="D388" s="12">
        <v>72356.28</v>
      </c>
      <c r="E388" s="12">
        <v>66172.97</v>
      </c>
      <c r="F388" s="12">
        <f t="shared" si="18"/>
        <v>-6183.3099999999977</v>
      </c>
      <c r="G388" s="27">
        <f t="shared" si="19"/>
        <v>-8.5456438611824684E-2</v>
      </c>
      <c r="H388" s="10" t="str">
        <f t="shared" si="20"/>
        <v>Under Budget</v>
      </c>
    </row>
    <row r="389" spans="1:8" x14ac:dyDescent="0.25">
      <c r="A389" s="14">
        <v>45474</v>
      </c>
      <c r="B389" s="13" t="s">
        <v>1818</v>
      </c>
      <c r="C389" s="13" t="s">
        <v>1786</v>
      </c>
      <c r="D389" s="15">
        <v>6171.82</v>
      </c>
      <c r="E389" s="15">
        <v>5916.8</v>
      </c>
      <c r="F389" s="15">
        <f t="shared" si="18"/>
        <v>-255.01999999999953</v>
      </c>
      <c r="G389" s="28">
        <f t="shared" si="19"/>
        <v>-4.1320064421839837E-2</v>
      </c>
      <c r="H389" s="13" t="str">
        <f t="shared" si="20"/>
        <v>Under Budget</v>
      </c>
    </row>
    <row r="390" spans="1:8" x14ac:dyDescent="0.25">
      <c r="A390" s="11">
        <v>45474</v>
      </c>
      <c r="B390" s="10" t="s">
        <v>1799</v>
      </c>
      <c r="C390" s="10" t="s">
        <v>1783</v>
      </c>
      <c r="D390" s="12">
        <v>8724.25</v>
      </c>
      <c r="E390" s="12">
        <v>8495.64</v>
      </c>
      <c r="F390" s="12">
        <f t="shared" si="18"/>
        <v>-228.61000000000058</v>
      </c>
      <c r="G390" s="27">
        <f t="shared" si="19"/>
        <v>-2.6203971688110794E-2</v>
      </c>
      <c r="H390" s="10" t="str">
        <f t="shared" si="20"/>
        <v>Under Budget</v>
      </c>
    </row>
    <row r="391" spans="1:8" x14ac:dyDescent="0.25">
      <c r="A391" s="14">
        <v>45474</v>
      </c>
      <c r="B391" s="13" t="s">
        <v>1774</v>
      </c>
      <c r="C391" s="13" t="s">
        <v>1786</v>
      </c>
      <c r="D391" s="15">
        <v>20764.02</v>
      </c>
      <c r="E391" s="15">
        <v>19491.34</v>
      </c>
      <c r="F391" s="15">
        <f t="shared" si="18"/>
        <v>-1272.6800000000003</v>
      </c>
      <c r="G391" s="28">
        <f t="shared" si="19"/>
        <v>-6.1292562808165293E-2</v>
      </c>
      <c r="H391" s="13" t="str">
        <f t="shared" si="20"/>
        <v>Under Budget</v>
      </c>
    </row>
    <row r="392" spans="1:8" x14ac:dyDescent="0.25">
      <c r="A392" s="11">
        <v>45474</v>
      </c>
      <c r="B392" s="10" t="s">
        <v>1774</v>
      </c>
      <c r="C392" s="10" t="s">
        <v>1797</v>
      </c>
      <c r="D392" s="12">
        <v>6101.36</v>
      </c>
      <c r="E392" s="12">
        <v>5757.52</v>
      </c>
      <c r="F392" s="12">
        <f t="shared" si="18"/>
        <v>-343.83999999999924</v>
      </c>
      <c r="G392" s="27">
        <f t="shared" si="19"/>
        <v>-5.6354648799611766E-2</v>
      </c>
      <c r="H392" s="10" t="str">
        <f t="shared" si="20"/>
        <v>Under Budget</v>
      </c>
    </row>
    <row r="393" spans="1:8" x14ac:dyDescent="0.25">
      <c r="A393" s="14">
        <v>45474</v>
      </c>
      <c r="B393" s="13" t="s">
        <v>1799</v>
      </c>
      <c r="C393" s="13" t="s">
        <v>1775</v>
      </c>
      <c r="D393" s="15">
        <v>37342.980000000003</v>
      </c>
      <c r="E393" s="15">
        <v>40400.67</v>
      </c>
      <c r="F393" s="15">
        <f t="shared" si="18"/>
        <v>3057.6899999999951</v>
      </c>
      <c r="G393" s="28">
        <f t="shared" si="19"/>
        <v>8.1881253183329103E-2</v>
      </c>
      <c r="H393" s="13" t="str">
        <f t="shared" si="20"/>
        <v>Slightly Over</v>
      </c>
    </row>
    <row r="394" spans="1:8" x14ac:dyDescent="0.25">
      <c r="A394" s="11">
        <v>45474</v>
      </c>
      <c r="B394" s="10" t="s">
        <v>1774</v>
      </c>
      <c r="C394" s="10" t="s">
        <v>1789</v>
      </c>
      <c r="D394" s="12">
        <v>10146.19</v>
      </c>
      <c r="E394" s="12">
        <v>9060.0499999999993</v>
      </c>
      <c r="F394" s="12">
        <f t="shared" si="18"/>
        <v>-1086.1400000000012</v>
      </c>
      <c r="G394" s="27">
        <f t="shared" si="19"/>
        <v>-0.10704904993894271</v>
      </c>
      <c r="H394" s="10" t="str">
        <f t="shared" si="20"/>
        <v>Under Budget</v>
      </c>
    </row>
    <row r="395" spans="1:8" x14ac:dyDescent="0.25">
      <c r="A395" s="14">
        <v>45474</v>
      </c>
      <c r="B395" s="13" t="s">
        <v>1862</v>
      </c>
      <c r="C395" s="13" t="s">
        <v>1797</v>
      </c>
      <c r="D395" s="15">
        <v>2826.35</v>
      </c>
      <c r="E395" s="15">
        <v>2552.66</v>
      </c>
      <c r="F395" s="15">
        <f t="shared" si="18"/>
        <v>-273.69000000000005</v>
      </c>
      <c r="G395" s="28">
        <f t="shared" si="19"/>
        <v>-9.6835140729209068E-2</v>
      </c>
      <c r="H395" s="13" t="str">
        <f t="shared" si="20"/>
        <v>Under Budget</v>
      </c>
    </row>
    <row r="396" spans="1:8" x14ac:dyDescent="0.25">
      <c r="A396" s="11">
        <v>45474</v>
      </c>
      <c r="B396" s="10" t="s">
        <v>1862</v>
      </c>
      <c r="C396" s="10" t="s">
        <v>1780</v>
      </c>
      <c r="D396" s="12">
        <v>5135.57</v>
      </c>
      <c r="E396" s="12">
        <v>4680.3999999999996</v>
      </c>
      <c r="F396" s="12">
        <f t="shared" si="18"/>
        <v>-455.17000000000007</v>
      </c>
      <c r="G396" s="27">
        <f t="shared" si="19"/>
        <v>-8.8630862786409317E-2</v>
      </c>
      <c r="H396" s="10" t="str">
        <f t="shared" si="20"/>
        <v>Under Budget</v>
      </c>
    </row>
    <row r="397" spans="1:8" x14ac:dyDescent="0.25">
      <c r="A397" s="14">
        <v>45474</v>
      </c>
      <c r="B397" s="13" t="s">
        <v>1818</v>
      </c>
      <c r="C397" s="13" t="s">
        <v>1775</v>
      </c>
      <c r="D397" s="15">
        <v>42593.23</v>
      </c>
      <c r="E397" s="15">
        <v>41077.33</v>
      </c>
      <c r="F397" s="15">
        <f t="shared" si="18"/>
        <v>-1515.9000000000015</v>
      </c>
      <c r="G397" s="28">
        <f t="shared" si="19"/>
        <v>-3.5590163037647095E-2</v>
      </c>
      <c r="H397" s="13" t="str">
        <f t="shared" si="20"/>
        <v>Under Budget</v>
      </c>
    </row>
    <row r="398" spans="1:8" x14ac:dyDescent="0.25">
      <c r="A398" s="11">
        <v>45474</v>
      </c>
      <c r="B398" s="10" t="s">
        <v>1792</v>
      </c>
      <c r="C398" s="10" t="s">
        <v>1786</v>
      </c>
      <c r="D398" s="12">
        <v>17014.650000000001</v>
      </c>
      <c r="E398" s="12">
        <v>16762.97</v>
      </c>
      <c r="F398" s="12">
        <f t="shared" si="18"/>
        <v>-251.68000000000029</v>
      </c>
      <c r="G398" s="27">
        <f t="shared" si="19"/>
        <v>-1.4791958694419237E-2</v>
      </c>
      <c r="H398" s="10" t="str">
        <f t="shared" si="20"/>
        <v>Under Budget</v>
      </c>
    </row>
    <row r="399" spans="1:8" x14ac:dyDescent="0.25">
      <c r="A399" s="14">
        <v>45474</v>
      </c>
      <c r="B399" s="13" t="s">
        <v>1862</v>
      </c>
      <c r="C399" s="13" t="s">
        <v>1775</v>
      </c>
      <c r="D399" s="15">
        <v>50316.37</v>
      </c>
      <c r="E399" s="15">
        <v>49427.6</v>
      </c>
      <c r="F399" s="15">
        <f t="shared" si="18"/>
        <v>-888.77000000000407</v>
      </c>
      <c r="G399" s="28">
        <f t="shared" si="19"/>
        <v>-1.7663635115172337E-2</v>
      </c>
      <c r="H399" s="13" t="str">
        <f t="shared" si="20"/>
        <v>Under Budget</v>
      </c>
    </row>
    <row r="400" spans="1:8" x14ac:dyDescent="0.25">
      <c r="A400" s="11">
        <v>45474</v>
      </c>
      <c r="B400" s="10" t="s">
        <v>1862</v>
      </c>
      <c r="C400" s="10" t="s">
        <v>1795</v>
      </c>
      <c r="D400" s="12">
        <v>2240.8200000000002</v>
      </c>
      <c r="E400" s="12">
        <v>2480.7399999999998</v>
      </c>
      <c r="F400" s="12">
        <f t="shared" si="18"/>
        <v>239.91999999999962</v>
      </c>
      <c r="G400" s="27">
        <f t="shared" si="19"/>
        <v>0.10706794834033952</v>
      </c>
      <c r="H400" s="10" t="str">
        <f t="shared" si="20"/>
        <v>Slightly Over</v>
      </c>
    </row>
    <row r="401" spans="1:8" x14ac:dyDescent="0.25">
      <c r="A401" s="14">
        <v>45474</v>
      </c>
      <c r="B401" s="13" t="s">
        <v>1799</v>
      </c>
      <c r="C401" s="13" t="s">
        <v>1786</v>
      </c>
      <c r="D401" s="15">
        <v>7368.94</v>
      </c>
      <c r="E401" s="15">
        <v>7296.82</v>
      </c>
      <c r="F401" s="15">
        <f t="shared" si="18"/>
        <v>-72.119999999999891</v>
      </c>
      <c r="G401" s="28">
        <f t="shared" si="19"/>
        <v>-9.7870249995250184E-3</v>
      </c>
      <c r="H401" s="13" t="str">
        <f t="shared" si="20"/>
        <v>Under Budget</v>
      </c>
    </row>
    <row r="402" spans="1:8" x14ac:dyDescent="0.25">
      <c r="A402" s="11">
        <v>45474</v>
      </c>
      <c r="B402" s="10" t="s">
        <v>1792</v>
      </c>
      <c r="C402" s="10" t="s">
        <v>1792</v>
      </c>
      <c r="D402" s="12">
        <v>12857.94</v>
      </c>
      <c r="E402" s="12">
        <v>12396.43</v>
      </c>
      <c r="F402" s="12">
        <f t="shared" si="18"/>
        <v>-461.51000000000022</v>
      </c>
      <c r="G402" s="27">
        <f t="shared" si="19"/>
        <v>-3.5892996856417142E-2</v>
      </c>
      <c r="H402" s="10" t="str">
        <f t="shared" si="20"/>
        <v>Under Budget</v>
      </c>
    </row>
    <row r="403" spans="1:8" x14ac:dyDescent="0.25">
      <c r="A403" s="14">
        <v>45474</v>
      </c>
      <c r="B403" s="13" t="s">
        <v>1792</v>
      </c>
      <c r="C403" s="13" t="s">
        <v>1778</v>
      </c>
      <c r="D403" s="15">
        <v>18623.54</v>
      </c>
      <c r="E403" s="15">
        <v>17823.009999999998</v>
      </c>
      <c r="F403" s="15">
        <f t="shared" si="18"/>
        <v>-800.53000000000247</v>
      </c>
      <c r="G403" s="28">
        <f t="shared" si="19"/>
        <v>-4.2984846060416144E-2</v>
      </c>
      <c r="H403" s="13" t="str">
        <f t="shared" si="20"/>
        <v>Under Budget</v>
      </c>
    </row>
    <row r="404" spans="1:8" x14ac:dyDescent="0.25">
      <c r="A404" s="11">
        <v>45474</v>
      </c>
      <c r="B404" s="10" t="s">
        <v>1792</v>
      </c>
      <c r="C404" s="10" t="s">
        <v>1775</v>
      </c>
      <c r="D404" s="12">
        <v>92061.4</v>
      </c>
      <c r="E404" s="12">
        <v>94609.16</v>
      </c>
      <c r="F404" s="12">
        <f t="shared" si="18"/>
        <v>2547.7600000000093</v>
      </c>
      <c r="G404" s="27">
        <f t="shared" si="19"/>
        <v>2.7674573708416441E-2</v>
      </c>
      <c r="H404" s="10" t="str">
        <f t="shared" si="20"/>
        <v>Within Budget</v>
      </c>
    </row>
    <row r="405" spans="1:8" x14ac:dyDescent="0.25">
      <c r="A405" s="14">
        <v>45474</v>
      </c>
      <c r="B405" s="13" t="s">
        <v>1818</v>
      </c>
      <c r="C405" s="13" t="s">
        <v>1780</v>
      </c>
      <c r="D405" s="15">
        <v>3978.15</v>
      </c>
      <c r="E405" s="15">
        <v>3963.56</v>
      </c>
      <c r="F405" s="15">
        <f t="shared" si="18"/>
        <v>-14.590000000000146</v>
      </c>
      <c r="G405" s="28">
        <f t="shared" si="19"/>
        <v>-3.6675339039503652E-3</v>
      </c>
      <c r="H405" s="13" t="str">
        <f t="shared" si="20"/>
        <v>Under Budget</v>
      </c>
    </row>
    <row r="406" spans="1:8" x14ac:dyDescent="0.25">
      <c r="A406" s="11">
        <v>45474</v>
      </c>
      <c r="B406" s="10" t="s">
        <v>1774</v>
      </c>
      <c r="C406" s="10" t="s">
        <v>1780</v>
      </c>
      <c r="D406" s="12">
        <v>10628.19</v>
      </c>
      <c r="E406" s="12">
        <v>10219.530000000001</v>
      </c>
      <c r="F406" s="12">
        <f t="shared" si="18"/>
        <v>-408.65999999999985</v>
      </c>
      <c r="G406" s="27">
        <f t="shared" si="19"/>
        <v>-3.8450573427836712E-2</v>
      </c>
      <c r="H406" s="10" t="str">
        <f t="shared" si="20"/>
        <v>Under Budget</v>
      </c>
    </row>
    <row r="407" spans="1:8" x14ac:dyDescent="0.25">
      <c r="A407" s="14">
        <v>45474</v>
      </c>
      <c r="B407" s="13" t="s">
        <v>1862</v>
      </c>
      <c r="C407" s="13" t="s">
        <v>1792</v>
      </c>
      <c r="D407" s="15">
        <v>6712.42</v>
      </c>
      <c r="E407" s="15">
        <v>6751.39</v>
      </c>
      <c r="F407" s="15">
        <f t="shared" si="18"/>
        <v>38.970000000000255</v>
      </c>
      <c r="G407" s="28">
        <f t="shared" si="19"/>
        <v>5.8056557843520302E-3</v>
      </c>
      <c r="H407" s="13" t="str">
        <f t="shared" si="20"/>
        <v>Within Budget</v>
      </c>
    </row>
    <row r="408" spans="1:8" x14ac:dyDescent="0.25">
      <c r="A408" s="11">
        <v>45474</v>
      </c>
      <c r="B408" s="10" t="s">
        <v>1786</v>
      </c>
      <c r="C408" s="10" t="s">
        <v>1783</v>
      </c>
      <c r="D408" s="12">
        <v>10619.06</v>
      </c>
      <c r="E408" s="12">
        <v>9552.35</v>
      </c>
      <c r="F408" s="12">
        <f t="shared" si="18"/>
        <v>-1066.7099999999991</v>
      </c>
      <c r="G408" s="27">
        <f t="shared" si="19"/>
        <v>-0.100452394091379</v>
      </c>
      <c r="H408" s="10" t="str">
        <f t="shared" si="20"/>
        <v>Under Budget</v>
      </c>
    </row>
    <row r="409" spans="1:8" x14ac:dyDescent="0.25">
      <c r="A409" s="14">
        <v>45474</v>
      </c>
      <c r="B409" s="13" t="s">
        <v>1786</v>
      </c>
      <c r="C409" s="13" t="s">
        <v>1789</v>
      </c>
      <c r="D409" s="15">
        <v>6889.35</v>
      </c>
      <c r="E409" s="15">
        <v>6528.97</v>
      </c>
      <c r="F409" s="15">
        <f t="shared" si="18"/>
        <v>-360.38000000000011</v>
      </c>
      <c r="G409" s="28">
        <f t="shared" si="19"/>
        <v>-5.2309724429735763E-2</v>
      </c>
      <c r="H409" s="13" t="str">
        <f t="shared" si="20"/>
        <v>Under Budget</v>
      </c>
    </row>
    <row r="410" spans="1:8" x14ac:dyDescent="0.25">
      <c r="A410" s="11">
        <v>45474</v>
      </c>
      <c r="B410" s="10" t="s">
        <v>1862</v>
      </c>
      <c r="C410" s="10" t="s">
        <v>1789</v>
      </c>
      <c r="D410" s="12">
        <v>3670.96</v>
      </c>
      <c r="E410" s="12">
        <v>4077.58</v>
      </c>
      <c r="F410" s="12">
        <f t="shared" si="18"/>
        <v>406.61999999999989</v>
      </c>
      <c r="G410" s="27">
        <f t="shared" si="19"/>
        <v>0.11076666594024448</v>
      </c>
      <c r="H410" s="10" t="str">
        <f t="shared" si="20"/>
        <v>Slightly Over</v>
      </c>
    </row>
    <row r="411" spans="1:8" x14ac:dyDescent="0.25">
      <c r="A411" s="14">
        <v>45474</v>
      </c>
      <c r="B411" s="13" t="s">
        <v>1786</v>
      </c>
      <c r="C411" s="13" t="s">
        <v>1786</v>
      </c>
      <c r="D411" s="15">
        <v>8947.8799999999992</v>
      </c>
      <c r="E411" s="15">
        <v>9885.83</v>
      </c>
      <c r="F411" s="15">
        <f t="shared" si="18"/>
        <v>937.95000000000073</v>
      </c>
      <c r="G411" s="28">
        <f t="shared" si="19"/>
        <v>0.10482371243244219</v>
      </c>
      <c r="H411" s="13" t="str">
        <f t="shared" si="20"/>
        <v>Slightly Over</v>
      </c>
    </row>
    <row r="412" spans="1:8" x14ac:dyDescent="0.25">
      <c r="A412" s="11">
        <v>45474</v>
      </c>
      <c r="B412" s="10" t="s">
        <v>1877</v>
      </c>
      <c r="C412" s="10" t="s">
        <v>1786</v>
      </c>
      <c r="D412" s="12">
        <v>12700.02</v>
      </c>
      <c r="E412" s="12">
        <v>12073.8</v>
      </c>
      <c r="F412" s="12">
        <f t="shared" si="18"/>
        <v>-626.22000000000116</v>
      </c>
      <c r="G412" s="27">
        <f t="shared" si="19"/>
        <v>-4.9308583766009904E-2</v>
      </c>
      <c r="H412" s="10" t="str">
        <f t="shared" si="20"/>
        <v>Under Budget</v>
      </c>
    </row>
    <row r="413" spans="1:8" x14ac:dyDescent="0.25">
      <c r="A413" s="14">
        <v>45474</v>
      </c>
      <c r="B413" s="13" t="s">
        <v>1877</v>
      </c>
      <c r="C413" s="13" t="s">
        <v>1797</v>
      </c>
      <c r="D413" s="15">
        <v>4089.07</v>
      </c>
      <c r="E413" s="15">
        <v>4127.1099999999997</v>
      </c>
      <c r="F413" s="15">
        <f t="shared" si="18"/>
        <v>38.039999999999509</v>
      </c>
      <c r="G413" s="28">
        <f t="shared" si="19"/>
        <v>9.3028488140333883E-3</v>
      </c>
      <c r="H413" s="13" t="str">
        <f t="shared" si="20"/>
        <v>Within Budget</v>
      </c>
    </row>
    <row r="414" spans="1:8" x14ac:dyDescent="0.25">
      <c r="A414" s="11">
        <v>45474</v>
      </c>
      <c r="B414" s="10" t="s">
        <v>1818</v>
      </c>
      <c r="C414" s="10" t="s">
        <v>1795</v>
      </c>
      <c r="D414" s="12">
        <v>2659.09</v>
      </c>
      <c r="E414" s="12">
        <v>2451.4899999999998</v>
      </c>
      <c r="F414" s="12">
        <f t="shared" si="18"/>
        <v>-207.60000000000036</v>
      </c>
      <c r="G414" s="27">
        <f t="shared" si="19"/>
        <v>-7.807182156301605E-2</v>
      </c>
      <c r="H414" s="10" t="str">
        <f t="shared" si="20"/>
        <v>Under Budget</v>
      </c>
    </row>
    <row r="415" spans="1:8" x14ac:dyDescent="0.25">
      <c r="A415" s="14">
        <v>45474</v>
      </c>
      <c r="B415" s="13" t="s">
        <v>1774</v>
      </c>
      <c r="C415" s="13" t="s">
        <v>1795</v>
      </c>
      <c r="D415" s="15">
        <v>4919.3500000000004</v>
      </c>
      <c r="E415" s="15">
        <v>5244.16</v>
      </c>
      <c r="F415" s="15">
        <f t="shared" si="18"/>
        <v>324.80999999999949</v>
      </c>
      <c r="G415" s="28">
        <f t="shared" si="19"/>
        <v>6.6027015764277691E-2</v>
      </c>
      <c r="H415" s="13" t="str">
        <f t="shared" si="20"/>
        <v>Slightly Over</v>
      </c>
    </row>
    <row r="416" spans="1:8" x14ac:dyDescent="0.25">
      <c r="A416" s="11">
        <v>45474</v>
      </c>
      <c r="B416" s="10" t="s">
        <v>1818</v>
      </c>
      <c r="C416" s="10" t="s">
        <v>1797</v>
      </c>
      <c r="D416" s="12">
        <v>2392.1999999999998</v>
      </c>
      <c r="E416" s="12">
        <v>2649.05</v>
      </c>
      <c r="F416" s="12">
        <f t="shared" si="18"/>
        <v>256.85000000000036</v>
      </c>
      <c r="G416" s="27">
        <f t="shared" si="19"/>
        <v>0.10736978513502232</v>
      </c>
      <c r="H416" s="10" t="str">
        <f t="shared" si="20"/>
        <v>Slightly Over</v>
      </c>
    </row>
    <row r="417" spans="1:8" x14ac:dyDescent="0.25">
      <c r="A417" s="14">
        <v>45474</v>
      </c>
      <c r="B417" s="13" t="s">
        <v>1818</v>
      </c>
      <c r="C417" s="13" t="s">
        <v>1789</v>
      </c>
      <c r="D417" s="15">
        <v>3170.54</v>
      </c>
      <c r="E417" s="15">
        <v>3217.59</v>
      </c>
      <c r="F417" s="15">
        <f t="shared" si="18"/>
        <v>47.050000000000182</v>
      </c>
      <c r="G417" s="28">
        <f t="shared" si="19"/>
        <v>1.4839743387561798E-2</v>
      </c>
      <c r="H417" s="13" t="str">
        <f t="shared" si="20"/>
        <v>Within Budget</v>
      </c>
    </row>
    <row r="418" spans="1:8" x14ac:dyDescent="0.25">
      <c r="A418" s="11">
        <v>45474</v>
      </c>
      <c r="B418" s="10" t="s">
        <v>1799</v>
      </c>
      <c r="C418" s="10" t="s">
        <v>1797</v>
      </c>
      <c r="D418" s="12">
        <v>2959.25</v>
      </c>
      <c r="E418" s="12">
        <v>2786.66</v>
      </c>
      <c r="F418" s="12">
        <f t="shared" si="18"/>
        <v>-172.59000000000015</v>
      </c>
      <c r="G418" s="27">
        <f t="shared" si="19"/>
        <v>-5.8322210019430651E-2</v>
      </c>
      <c r="H418" s="10" t="str">
        <f t="shared" si="20"/>
        <v>Under Budget</v>
      </c>
    </row>
    <row r="419" spans="1:8" x14ac:dyDescent="0.25">
      <c r="A419" s="14">
        <v>45474</v>
      </c>
      <c r="B419" s="13" t="s">
        <v>1786</v>
      </c>
      <c r="C419" s="13" t="s">
        <v>1778</v>
      </c>
      <c r="D419" s="15">
        <v>18082.990000000002</v>
      </c>
      <c r="E419" s="15">
        <v>16235.69</v>
      </c>
      <c r="F419" s="15">
        <f t="shared" si="18"/>
        <v>-1847.3000000000011</v>
      </c>
      <c r="G419" s="28">
        <f t="shared" si="19"/>
        <v>-0.10215677827615903</v>
      </c>
      <c r="H419" s="13" t="str">
        <f t="shared" si="20"/>
        <v>Under Budget</v>
      </c>
    </row>
    <row r="420" spans="1:8" x14ac:dyDescent="0.25">
      <c r="A420" s="11">
        <v>45474</v>
      </c>
      <c r="B420" s="10" t="s">
        <v>1792</v>
      </c>
      <c r="C420" s="10" t="s">
        <v>1797</v>
      </c>
      <c r="D420" s="12">
        <v>4927.75</v>
      </c>
      <c r="E420" s="12">
        <v>4502.68</v>
      </c>
      <c r="F420" s="12">
        <f t="shared" si="18"/>
        <v>-425.06999999999971</v>
      </c>
      <c r="G420" s="27">
        <f t="shared" si="19"/>
        <v>-8.6260463700471759E-2</v>
      </c>
      <c r="H420" s="10" t="str">
        <f t="shared" si="20"/>
        <v>Under Budget</v>
      </c>
    </row>
    <row r="421" spans="1:8" x14ac:dyDescent="0.25">
      <c r="A421" s="14">
        <v>45474</v>
      </c>
      <c r="B421" s="13" t="s">
        <v>1774</v>
      </c>
      <c r="C421" s="13" t="s">
        <v>1783</v>
      </c>
      <c r="D421" s="15">
        <v>16034.41</v>
      </c>
      <c r="E421" s="15">
        <v>15930.92</v>
      </c>
      <c r="F421" s="15">
        <f t="shared" si="18"/>
        <v>-103.48999999999978</v>
      </c>
      <c r="G421" s="28">
        <f t="shared" si="19"/>
        <v>-6.4542443407646297E-3</v>
      </c>
      <c r="H421" s="13" t="str">
        <f t="shared" si="20"/>
        <v>Under Budget</v>
      </c>
    </row>
    <row r="422" spans="1:8" x14ac:dyDescent="0.25">
      <c r="A422" s="11">
        <v>45474</v>
      </c>
      <c r="B422" s="10" t="s">
        <v>1792</v>
      </c>
      <c r="C422" s="10" t="s">
        <v>1789</v>
      </c>
      <c r="D422" s="12">
        <v>10517.38</v>
      </c>
      <c r="E422" s="12">
        <v>9748.9699999999993</v>
      </c>
      <c r="F422" s="12">
        <f t="shared" si="18"/>
        <v>-768.40999999999985</v>
      </c>
      <c r="G422" s="27">
        <f t="shared" si="19"/>
        <v>-7.3060971458671256E-2</v>
      </c>
      <c r="H422" s="10" t="str">
        <f t="shared" si="20"/>
        <v>Under Budget</v>
      </c>
    </row>
    <row r="423" spans="1:8" x14ac:dyDescent="0.25">
      <c r="A423" s="14">
        <v>45474</v>
      </c>
      <c r="B423" s="13" t="s">
        <v>1799</v>
      </c>
      <c r="C423" s="13" t="s">
        <v>1780</v>
      </c>
      <c r="D423" s="15">
        <v>3956.36</v>
      </c>
      <c r="E423" s="15">
        <v>4321.66</v>
      </c>
      <c r="F423" s="15">
        <f t="shared" si="18"/>
        <v>365.29999999999973</v>
      </c>
      <c r="G423" s="28">
        <f t="shared" si="19"/>
        <v>9.2332345893700193E-2</v>
      </c>
      <c r="H423" s="13" t="str">
        <f t="shared" si="20"/>
        <v>Slightly Over</v>
      </c>
    </row>
    <row r="424" spans="1:8" x14ac:dyDescent="0.25">
      <c r="A424" s="11">
        <v>45474</v>
      </c>
      <c r="B424" s="10" t="s">
        <v>1774</v>
      </c>
      <c r="C424" s="10" t="s">
        <v>1775</v>
      </c>
      <c r="D424" s="12">
        <v>109595.03</v>
      </c>
      <c r="E424" s="12">
        <v>106828.19</v>
      </c>
      <c r="F424" s="12">
        <f t="shared" si="18"/>
        <v>-2766.8399999999965</v>
      </c>
      <c r="G424" s="27">
        <f t="shared" si="19"/>
        <v>-2.5246035335726415E-2</v>
      </c>
      <c r="H424" s="10" t="str">
        <f t="shared" si="20"/>
        <v>Under Budget</v>
      </c>
    </row>
    <row r="425" spans="1:8" x14ac:dyDescent="0.25">
      <c r="A425" s="14">
        <v>45474</v>
      </c>
      <c r="B425" s="13" t="s">
        <v>1786</v>
      </c>
      <c r="C425" s="13" t="s">
        <v>1780</v>
      </c>
      <c r="D425" s="15">
        <v>8619.82</v>
      </c>
      <c r="E425" s="15">
        <v>7812.44</v>
      </c>
      <c r="F425" s="15">
        <f t="shared" si="18"/>
        <v>-807.38000000000011</v>
      </c>
      <c r="G425" s="28">
        <f t="shared" si="19"/>
        <v>-9.3665528978563367E-2</v>
      </c>
      <c r="H425" s="13" t="str">
        <f t="shared" si="20"/>
        <v>Under Budget</v>
      </c>
    </row>
    <row r="426" spans="1:8" x14ac:dyDescent="0.25">
      <c r="A426" s="11">
        <v>45474</v>
      </c>
      <c r="B426" s="10" t="s">
        <v>1792</v>
      </c>
      <c r="C426" s="10" t="s">
        <v>1780</v>
      </c>
      <c r="D426" s="12">
        <v>8052.99</v>
      </c>
      <c r="E426" s="12">
        <v>8157.37</v>
      </c>
      <c r="F426" s="12">
        <f t="shared" si="18"/>
        <v>104.38000000000011</v>
      </c>
      <c r="G426" s="27">
        <f t="shared" si="19"/>
        <v>1.2961645301931347E-2</v>
      </c>
      <c r="H426" s="10" t="str">
        <f t="shared" si="20"/>
        <v>Within Budget</v>
      </c>
    </row>
    <row r="427" spans="1:8" x14ac:dyDescent="0.25">
      <c r="A427" s="14">
        <v>45474</v>
      </c>
      <c r="B427" s="13" t="s">
        <v>1818</v>
      </c>
      <c r="C427" s="13" t="s">
        <v>1792</v>
      </c>
      <c r="D427" s="15">
        <v>6145.88</v>
      </c>
      <c r="E427" s="15">
        <v>5530.74</v>
      </c>
      <c r="F427" s="15">
        <f t="shared" si="18"/>
        <v>-615.14000000000033</v>
      </c>
      <c r="G427" s="28">
        <f t="shared" si="19"/>
        <v>-0.10008981626715789</v>
      </c>
      <c r="H427" s="13" t="str">
        <f t="shared" si="20"/>
        <v>Under Budget</v>
      </c>
    </row>
    <row r="428" spans="1:8" x14ac:dyDescent="0.25">
      <c r="A428" s="11">
        <v>45474</v>
      </c>
      <c r="B428" s="10" t="s">
        <v>1877</v>
      </c>
      <c r="C428" s="10" t="s">
        <v>1792</v>
      </c>
      <c r="D428" s="12">
        <v>11281.73</v>
      </c>
      <c r="E428" s="12">
        <v>11893.65</v>
      </c>
      <c r="F428" s="12">
        <f t="shared" si="18"/>
        <v>611.92000000000007</v>
      </c>
      <c r="G428" s="27">
        <f t="shared" si="19"/>
        <v>5.423990824102333E-2</v>
      </c>
      <c r="H428" s="10" t="str">
        <f t="shared" si="20"/>
        <v>Slightly Over</v>
      </c>
    </row>
    <row r="429" spans="1:8" x14ac:dyDescent="0.25">
      <c r="A429" s="14">
        <v>45474</v>
      </c>
      <c r="B429" s="13" t="s">
        <v>1786</v>
      </c>
      <c r="C429" s="13" t="s">
        <v>1792</v>
      </c>
      <c r="D429" s="15">
        <v>12174.86</v>
      </c>
      <c r="E429" s="15">
        <v>13187.11</v>
      </c>
      <c r="F429" s="15">
        <f t="shared" si="18"/>
        <v>1012.25</v>
      </c>
      <c r="G429" s="28">
        <f t="shared" si="19"/>
        <v>8.3142639833230114E-2</v>
      </c>
      <c r="H429" s="13" t="str">
        <f t="shared" si="20"/>
        <v>Slightly Over</v>
      </c>
    </row>
    <row r="430" spans="1:8" x14ac:dyDescent="0.25">
      <c r="A430" s="11">
        <v>45474</v>
      </c>
      <c r="B430" s="10" t="s">
        <v>1786</v>
      </c>
      <c r="C430" s="10" t="s">
        <v>1797</v>
      </c>
      <c r="D430" s="12">
        <v>3699.01</v>
      </c>
      <c r="E430" s="12">
        <v>3642.74</v>
      </c>
      <c r="F430" s="12">
        <f t="shared" si="18"/>
        <v>-56.270000000000437</v>
      </c>
      <c r="G430" s="27">
        <f t="shared" si="19"/>
        <v>-1.5212178393678426E-2</v>
      </c>
      <c r="H430" s="10" t="str">
        <f t="shared" si="20"/>
        <v>Under Budget</v>
      </c>
    </row>
    <row r="431" spans="1:8" x14ac:dyDescent="0.25">
      <c r="A431" s="14">
        <v>45474</v>
      </c>
      <c r="B431" s="13" t="s">
        <v>1786</v>
      </c>
      <c r="C431" s="13" t="s">
        <v>1795</v>
      </c>
      <c r="D431" s="15">
        <v>5151.6400000000003</v>
      </c>
      <c r="E431" s="15">
        <v>4685.04</v>
      </c>
      <c r="F431" s="15">
        <f t="shared" si="18"/>
        <v>-466.60000000000036</v>
      </c>
      <c r="G431" s="28">
        <f t="shared" si="19"/>
        <v>-9.0573099051952446E-2</v>
      </c>
      <c r="H431" s="13" t="str">
        <f t="shared" si="20"/>
        <v>Under Budget</v>
      </c>
    </row>
    <row r="432" spans="1:8" x14ac:dyDescent="0.25">
      <c r="A432" s="11">
        <v>45474</v>
      </c>
      <c r="B432" s="10" t="s">
        <v>1877</v>
      </c>
      <c r="C432" s="10" t="s">
        <v>1795</v>
      </c>
      <c r="D432" s="12">
        <v>3548.97</v>
      </c>
      <c r="E432" s="12">
        <v>3664.47</v>
      </c>
      <c r="F432" s="12">
        <f t="shared" si="18"/>
        <v>115.5</v>
      </c>
      <c r="G432" s="27">
        <f t="shared" si="19"/>
        <v>3.254465380096197E-2</v>
      </c>
      <c r="H432" s="10" t="str">
        <f t="shared" si="20"/>
        <v>Within Budget</v>
      </c>
    </row>
    <row r="433" spans="1:8" x14ac:dyDescent="0.25">
      <c r="A433" s="14">
        <v>45474</v>
      </c>
      <c r="B433" s="13" t="s">
        <v>1799</v>
      </c>
      <c r="C433" s="13" t="s">
        <v>1795</v>
      </c>
      <c r="D433" s="15">
        <v>3385.79</v>
      </c>
      <c r="E433" s="15">
        <v>3146.54</v>
      </c>
      <c r="F433" s="15">
        <f t="shared" si="18"/>
        <v>-239.25</v>
      </c>
      <c r="G433" s="28">
        <f t="shared" si="19"/>
        <v>-7.0662976735119426E-2</v>
      </c>
      <c r="H433" s="13" t="str">
        <f t="shared" si="20"/>
        <v>Under Budget</v>
      </c>
    </row>
    <row r="434" spans="1:8" x14ac:dyDescent="0.25">
      <c r="A434" s="11">
        <v>45474</v>
      </c>
      <c r="B434" s="10" t="s">
        <v>1799</v>
      </c>
      <c r="C434" s="10" t="s">
        <v>1789</v>
      </c>
      <c r="D434" s="12">
        <v>3946.19</v>
      </c>
      <c r="E434" s="12">
        <v>4210.51</v>
      </c>
      <c r="F434" s="12">
        <f t="shared" si="18"/>
        <v>264.32000000000016</v>
      </c>
      <c r="G434" s="27">
        <f t="shared" si="19"/>
        <v>6.6981062746598652E-2</v>
      </c>
      <c r="H434" s="10" t="str">
        <f t="shared" si="20"/>
        <v>Slightly Over</v>
      </c>
    </row>
    <row r="435" spans="1:8" x14ac:dyDescent="0.25">
      <c r="A435" s="14">
        <v>45474</v>
      </c>
      <c r="B435" s="13" t="s">
        <v>1774</v>
      </c>
      <c r="C435" s="13" t="s">
        <v>1792</v>
      </c>
      <c r="D435" s="15">
        <v>18193.59</v>
      </c>
      <c r="E435" s="15">
        <v>17098.830000000002</v>
      </c>
      <c r="F435" s="15">
        <f t="shared" si="18"/>
        <v>-1094.7599999999984</v>
      </c>
      <c r="G435" s="28">
        <f t="shared" si="19"/>
        <v>-6.0172841094033577E-2</v>
      </c>
      <c r="H435" s="13" t="str">
        <f t="shared" si="20"/>
        <v>Under Budget</v>
      </c>
    </row>
    <row r="436" spans="1:8" x14ac:dyDescent="0.25">
      <c r="A436" s="11">
        <v>45474</v>
      </c>
      <c r="B436" s="10" t="s">
        <v>1799</v>
      </c>
      <c r="C436" s="10" t="s">
        <v>1792</v>
      </c>
      <c r="D436" s="12">
        <v>7473.87</v>
      </c>
      <c r="E436" s="12">
        <v>7309.08</v>
      </c>
      <c r="F436" s="12">
        <f t="shared" si="18"/>
        <v>-164.78999999999996</v>
      </c>
      <c r="G436" s="27">
        <f t="shared" si="19"/>
        <v>-2.2048818082198374E-2</v>
      </c>
      <c r="H436" s="10" t="str">
        <f t="shared" si="20"/>
        <v>Under Budget</v>
      </c>
    </row>
    <row r="437" spans="1:8" x14ac:dyDescent="0.25">
      <c r="A437" s="14">
        <v>45474</v>
      </c>
      <c r="B437" s="13" t="s">
        <v>1862</v>
      </c>
      <c r="C437" s="13" t="s">
        <v>1786</v>
      </c>
      <c r="D437" s="15">
        <v>6045.19</v>
      </c>
      <c r="E437" s="15">
        <v>6441.31</v>
      </c>
      <c r="F437" s="15">
        <f t="shared" si="18"/>
        <v>396.1200000000008</v>
      </c>
      <c r="G437" s="28">
        <f t="shared" si="19"/>
        <v>6.5526476421750315E-2</v>
      </c>
      <c r="H437" s="13" t="str">
        <f t="shared" si="20"/>
        <v>Slightly Over</v>
      </c>
    </row>
    <row r="438" spans="1:8" x14ac:dyDescent="0.25">
      <c r="A438" s="11">
        <v>45474</v>
      </c>
      <c r="B438" s="10" t="s">
        <v>1877</v>
      </c>
      <c r="C438" s="10" t="s">
        <v>1780</v>
      </c>
      <c r="D438" s="12">
        <v>6293.4</v>
      </c>
      <c r="E438" s="12">
        <v>5948.51</v>
      </c>
      <c r="F438" s="12">
        <f t="shared" si="18"/>
        <v>-344.88999999999942</v>
      </c>
      <c r="G438" s="27">
        <f t="shared" si="19"/>
        <v>-5.4801855912543211E-2</v>
      </c>
      <c r="H438" s="10" t="str">
        <f t="shared" si="20"/>
        <v>Under Budget</v>
      </c>
    </row>
    <row r="439" spans="1:8" x14ac:dyDescent="0.25">
      <c r="A439" s="14">
        <v>45474</v>
      </c>
      <c r="B439" s="13" t="s">
        <v>1799</v>
      </c>
      <c r="C439" s="13" t="s">
        <v>1778</v>
      </c>
      <c r="D439" s="15">
        <v>10730.52</v>
      </c>
      <c r="E439" s="15">
        <v>10151.61</v>
      </c>
      <c r="F439" s="15">
        <f t="shared" si="18"/>
        <v>-578.90999999999985</v>
      </c>
      <c r="G439" s="28">
        <f t="shared" si="19"/>
        <v>-5.3949855179432106E-2</v>
      </c>
      <c r="H439" s="13" t="str">
        <f t="shared" si="20"/>
        <v>Under Budget</v>
      </c>
    </row>
    <row r="440" spans="1:8" x14ac:dyDescent="0.25">
      <c r="A440" s="11">
        <v>45474</v>
      </c>
      <c r="B440" s="10" t="s">
        <v>1774</v>
      </c>
      <c r="C440" s="10" t="s">
        <v>1778</v>
      </c>
      <c r="D440" s="12">
        <v>18057.599999999999</v>
      </c>
      <c r="E440" s="12">
        <v>17818.900000000001</v>
      </c>
      <c r="F440" s="12">
        <f t="shared" si="18"/>
        <v>-238.69999999999709</v>
      </c>
      <c r="G440" s="27">
        <f t="shared" si="19"/>
        <v>-1.3218810916179177E-2</v>
      </c>
      <c r="H440" s="10" t="str">
        <f t="shared" si="20"/>
        <v>Under Budget</v>
      </c>
    </row>
    <row r="441" spans="1:8" x14ac:dyDescent="0.25">
      <c r="A441" s="14">
        <v>45474</v>
      </c>
      <c r="B441" s="13" t="s">
        <v>1862</v>
      </c>
      <c r="C441" s="13" t="s">
        <v>1783</v>
      </c>
      <c r="D441" s="15">
        <v>5707.22</v>
      </c>
      <c r="E441" s="15">
        <v>6010.11</v>
      </c>
      <c r="F441" s="15">
        <f t="shared" si="18"/>
        <v>302.88999999999942</v>
      </c>
      <c r="G441" s="28">
        <f t="shared" si="19"/>
        <v>5.3071372752408245E-2</v>
      </c>
      <c r="H441" s="13" t="str">
        <f t="shared" si="20"/>
        <v>Slightly Over</v>
      </c>
    </row>
    <row r="442" spans="1:8" x14ac:dyDescent="0.25">
      <c r="A442" s="11">
        <v>45474</v>
      </c>
      <c r="B442" s="10" t="s">
        <v>1786</v>
      </c>
      <c r="C442" s="10" t="s">
        <v>1775</v>
      </c>
      <c r="D442" s="12">
        <v>69769.960000000006</v>
      </c>
      <c r="E442" s="12">
        <v>75093.759999999995</v>
      </c>
      <c r="F442" s="12">
        <f t="shared" si="18"/>
        <v>5323.7999999999884</v>
      </c>
      <c r="G442" s="27">
        <f t="shared" si="19"/>
        <v>7.6305045896543272E-2</v>
      </c>
      <c r="H442" s="10" t="str">
        <f t="shared" si="20"/>
        <v>Slightly Over</v>
      </c>
    </row>
    <row r="443" spans="1:8" x14ac:dyDescent="0.25">
      <c r="A443" s="14">
        <v>45505</v>
      </c>
      <c r="B443" s="13" t="s">
        <v>1862</v>
      </c>
      <c r="C443" s="13" t="s">
        <v>1778</v>
      </c>
      <c r="D443" s="15">
        <v>10005.030000000001</v>
      </c>
      <c r="E443" s="15">
        <v>9008.7000000000007</v>
      </c>
      <c r="F443" s="15">
        <f t="shared" si="18"/>
        <v>-996.32999999999993</v>
      </c>
      <c r="G443" s="28">
        <f t="shared" si="19"/>
        <v>-9.958290979637241E-2</v>
      </c>
      <c r="H443" s="13" t="str">
        <f t="shared" si="20"/>
        <v>Under Budget</v>
      </c>
    </row>
    <row r="444" spans="1:8" x14ac:dyDescent="0.25">
      <c r="A444" s="11">
        <v>45505</v>
      </c>
      <c r="B444" s="10" t="s">
        <v>1862</v>
      </c>
      <c r="C444" s="10" t="s">
        <v>1795</v>
      </c>
      <c r="D444" s="12">
        <v>2891.61</v>
      </c>
      <c r="E444" s="12">
        <v>2769</v>
      </c>
      <c r="F444" s="12">
        <f t="shared" si="18"/>
        <v>-122.61000000000013</v>
      </c>
      <c r="G444" s="27">
        <f t="shared" si="19"/>
        <v>-4.2401983669997034E-2</v>
      </c>
      <c r="H444" s="10" t="str">
        <f t="shared" si="20"/>
        <v>Under Budget</v>
      </c>
    </row>
    <row r="445" spans="1:8" x14ac:dyDescent="0.25">
      <c r="A445" s="14">
        <v>45505</v>
      </c>
      <c r="B445" s="13" t="s">
        <v>1774</v>
      </c>
      <c r="C445" s="13" t="s">
        <v>1786</v>
      </c>
      <c r="D445" s="15">
        <v>17958.09</v>
      </c>
      <c r="E445" s="15">
        <v>16658.2</v>
      </c>
      <c r="F445" s="15">
        <f t="shared" si="18"/>
        <v>-1299.8899999999994</v>
      </c>
      <c r="G445" s="28">
        <f t="shared" si="19"/>
        <v>-7.2384646696836877E-2</v>
      </c>
      <c r="H445" s="13" t="str">
        <f t="shared" si="20"/>
        <v>Under Budget</v>
      </c>
    </row>
    <row r="446" spans="1:8" x14ac:dyDescent="0.25">
      <c r="A446" s="11">
        <v>45505</v>
      </c>
      <c r="B446" s="10" t="s">
        <v>1786</v>
      </c>
      <c r="C446" s="10" t="s">
        <v>1786</v>
      </c>
      <c r="D446" s="12">
        <v>10021.1</v>
      </c>
      <c r="E446" s="12">
        <v>9513.7000000000007</v>
      </c>
      <c r="F446" s="12">
        <f t="shared" si="18"/>
        <v>-507.39999999999964</v>
      </c>
      <c r="G446" s="27">
        <f t="shared" si="19"/>
        <v>-5.0633164023909515E-2</v>
      </c>
      <c r="H446" s="10" t="str">
        <f t="shared" si="20"/>
        <v>Under Budget</v>
      </c>
    </row>
    <row r="447" spans="1:8" x14ac:dyDescent="0.25">
      <c r="A447" s="14">
        <v>45505</v>
      </c>
      <c r="B447" s="13" t="s">
        <v>1786</v>
      </c>
      <c r="C447" s="13" t="s">
        <v>1783</v>
      </c>
      <c r="D447" s="15">
        <v>13707.03</v>
      </c>
      <c r="E447" s="15">
        <v>12662.57</v>
      </c>
      <c r="F447" s="15">
        <f t="shared" si="18"/>
        <v>-1044.4600000000009</v>
      </c>
      <c r="G447" s="28">
        <f t="shared" si="19"/>
        <v>-7.6198855623720155E-2</v>
      </c>
      <c r="H447" s="13" t="str">
        <f t="shared" si="20"/>
        <v>Under Budget</v>
      </c>
    </row>
    <row r="448" spans="1:8" x14ac:dyDescent="0.25">
      <c r="A448" s="11">
        <v>45505</v>
      </c>
      <c r="B448" s="10" t="s">
        <v>1877</v>
      </c>
      <c r="C448" s="10" t="s">
        <v>1778</v>
      </c>
      <c r="D448" s="12">
        <v>12672.93</v>
      </c>
      <c r="E448" s="12">
        <v>13543.1</v>
      </c>
      <c r="F448" s="12">
        <f t="shared" si="18"/>
        <v>870.17000000000007</v>
      </c>
      <c r="G448" s="27">
        <f t="shared" si="19"/>
        <v>6.8663679196523622E-2</v>
      </c>
      <c r="H448" s="10" t="str">
        <f t="shared" si="20"/>
        <v>Slightly Over</v>
      </c>
    </row>
    <row r="449" spans="1:8" x14ac:dyDescent="0.25">
      <c r="A449" s="14">
        <v>45505</v>
      </c>
      <c r="B449" s="13" t="s">
        <v>1862</v>
      </c>
      <c r="C449" s="13" t="s">
        <v>1789</v>
      </c>
      <c r="D449" s="15">
        <v>4805.99</v>
      </c>
      <c r="E449" s="15">
        <v>4761.57</v>
      </c>
      <c r="F449" s="15">
        <f t="shared" si="18"/>
        <v>-44.420000000000073</v>
      </c>
      <c r="G449" s="28">
        <f t="shared" si="19"/>
        <v>-9.2426326313621281E-3</v>
      </c>
      <c r="H449" s="13" t="str">
        <f t="shared" si="20"/>
        <v>Under Budget</v>
      </c>
    </row>
    <row r="450" spans="1:8" x14ac:dyDescent="0.25">
      <c r="A450" s="11">
        <v>45505</v>
      </c>
      <c r="B450" s="10" t="s">
        <v>1862</v>
      </c>
      <c r="C450" s="10" t="s">
        <v>1797</v>
      </c>
      <c r="D450" s="12">
        <v>2790.13</v>
      </c>
      <c r="E450" s="12">
        <v>2665.47</v>
      </c>
      <c r="F450" s="12">
        <f t="shared" ref="F450:F513" si="21">E450-D450</f>
        <v>-124.66000000000031</v>
      </c>
      <c r="G450" s="27">
        <f t="shared" ref="G450:G513" si="22">IFERROR(F450/D450,0)</f>
        <v>-4.4678921770670295E-2</v>
      </c>
      <c r="H450" s="10" t="str">
        <f t="shared" ref="H450:H513" si="23">IF(G450&lt;=0,"Under Budget",IF(G450&lt;=5%,"Within Budget",IF(G450&lt;=15%,"Slightly Over","Significantly Over")))</f>
        <v>Under Budget</v>
      </c>
    </row>
    <row r="451" spans="1:8" x14ac:dyDescent="0.25">
      <c r="A451" s="14">
        <v>45505</v>
      </c>
      <c r="B451" s="13" t="s">
        <v>1799</v>
      </c>
      <c r="C451" s="13" t="s">
        <v>1783</v>
      </c>
      <c r="D451" s="15">
        <v>5605.68</v>
      </c>
      <c r="E451" s="15">
        <v>6075</v>
      </c>
      <c r="F451" s="15">
        <f t="shared" si="21"/>
        <v>469.31999999999971</v>
      </c>
      <c r="G451" s="28">
        <f t="shared" si="22"/>
        <v>8.3722224600762021E-2</v>
      </c>
      <c r="H451" s="13" t="str">
        <f t="shared" si="23"/>
        <v>Slightly Over</v>
      </c>
    </row>
    <row r="452" spans="1:8" x14ac:dyDescent="0.25">
      <c r="A452" s="11">
        <v>45505</v>
      </c>
      <c r="B452" s="10" t="s">
        <v>1786</v>
      </c>
      <c r="C452" s="10" t="s">
        <v>1797</v>
      </c>
      <c r="D452" s="12">
        <v>4063.97</v>
      </c>
      <c r="E452" s="12">
        <v>4355.8500000000004</v>
      </c>
      <c r="F452" s="12">
        <f t="shared" si="21"/>
        <v>291.88000000000056</v>
      </c>
      <c r="G452" s="27">
        <f t="shared" si="22"/>
        <v>7.182139631936274E-2</v>
      </c>
      <c r="H452" s="10" t="str">
        <f t="shared" si="23"/>
        <v>Slightly Over</v>
      </c>
    </row>
    <row r="453" spans="1:8" x14ac:dyDescent="0.25">
      <c r="A453" s="14">
        <v>45505</v>
      </c>
      <c r="B453" s="13" t="s">
        <v>1818</v>
      </c>
      <c r="C453" s="13" t="s">
        <v>1778</v>
      </c>
      <c r="D453" s="15">
        <v>6417.8</v>
      </c>
      <c r="E453" s="15">
        <v>6174.07</v>
      </c>
      <c r="F453" s="15">
        <f t="shared" si="21"/>
        <v>-243.73000000000047</v>
      </c>
      <c r="G453" s="28">
        <f t="shared" si="22"/>
        <v>-3.7977188444638425E-2</v>
      </c>
      <c r="H453" s="13" t="str">
        <f t="shared" si="23"/>
        <v>Under Budget</v>
      </c>
    </row>
    <row r="454" spans="1:8" x14ac:dyDescent="0.25">
      <c r="A454" s="11">
        <v>45505</v>
      </c>
      <c r="B454" s="10" t="s">
        <v>1792</v>
      </c>
      <c r="C454" s="10" t="s">
        <v>1775</v>
      </c>
      <c r="D454" s="12">
        <v>79039.08</v>
      </c>
      <c r="E454" s="12">
        <v>72438.8</v>
      </c>
      <c r="F454" s="12">
        <f t="shared" si="21"/>
        <v>-6600.2799999999988</v>
      </c>
      <c r="G454" s="27">
        <f t="shared" si="22"/>
        <v>-8.3506538790684287E-2</v>
      </c>
      <c r="H454" s="10" t="str">
        <f t="shared" si="23"/>
        <v>Under Budget</v>
      </c>
    </row>
    <row r="455" spans="1:8" x14ac:dyDescent="0.25">
      <c r="A455" s="14">
        <v>45505</v>
      </c>
      <c r="B455" s="13" t="s">
        <v>1818</v>
      </c>
      <c r="C455" s="13" t="s">
        <v>1783</v>
      </c>
      <c r="D455" s="15">
        <v>6276.48</v>
      </c>
      <c r="E455" s="15">
        <v>6004.53</v>
      </c>
      <c r="F455" s="15">
        <f t="shared" si="21"/>
        <v>-271.94999999999982</v>
      </c>
      <c r="G455" s="28">
        <f t="shared" si="22"/>
        <v>-4.3328426124196975E-2</v>
      </c>
      <c r="H455" s="13" t="str">
        <f t="shared" si="23"/>
        <v>Under Budget</v>
      </c>
    </row>
    <row r="456" spans="1:8" x14ac:dyDescent="0.25">
      <c r="A456" s="11">
        <v>45505</v>
      </c>
      <c r="B456" s="10" t="s">
        <v>1786</v>
      </c>
      <c r="C456" s="10" t="s">
        <v>1780</v>
      </c>
      <c r="D456" s="12">
        <v>7051.11</v>
      </c>
      <c r="E456" s="12">
        <v>7765.84</v>
      </c>
      <c r="F456" s="12">
        <f t="shared" si="21"/>
        <v>714.73000000000047</v>
      </c>
      <c r="G456" s="27">
        <f t="shared" si="22"/>
        <v>0.10136418237695916</v>
      </c>
      <c r="H456" s="10" t="str">
        <f t="shared" si="23"/>
        <v>Slightly Over</v>
      </c>
    </row>
    <row r="457" spans="1:8" x14ac:dyDescent="0.25">
      <c r="A457" s="14">
        <v>45505</v>
      </c>
      <c r="B457" s="13" t="s">
        <v>1818</v>
      </c>
      <c r="C457" s="13" t="s">
        <v>1789</v>
      </c>
      <c r="D457" s="15">
        <v>4012.45</v>
      </c>
      <c r="E457" s="15">
        <v>3603.47</v>
      </c>
      <c r="F457" s="15">
        <f t="shared" si="21"/>
        <v>-408.98</v>
      </c>
      <c r="G457" s="28">
        <f t="shared" si="22"/>
        <v>-0.10192774987850317</v>
      </c>
      <c r="H457" s="13" t="str">
        <f t="shared" si="23"/>
        <v>Under Budget</v>
      </c>
    </row>
    <row r="458" spans="1:8" x14ac:dyDescent="0.25">
      <c r="A458" s="11">
        <v>45505</v>
      </c>
      <c r="B458" s="10" t="s">
        <v>1792</v>
      </c>
      <c r="C458" s="10" t="s">
        <v>1797</v>
      </c>
      <c r="D458" s="12">
        <v>4977.25</v>
      </c>
      <c r="E458" s="12">
        <v>5347.9</v>
      </c>
      <c r="F458" s="12">
        <f t="shared" si="21"/>
        <v>370.64999999999964</v>
      </c>
      <c r="G458" s="27">
        <f t="shared" si="22"/>
        <v>7.446883319101906E-2</v>
      </c>
      <c r="H458" s="10" t="str">
        <f t="shared" si="23"/>
        <v>Slightly Over</v>
      </c>
    </row>
    <row r="459" spans="1:8" x14ac:dyDescent="0.25">
      <c r="A459" s="14">
        <v>45505</v>
      </c>
      <c r="B459" s="13" t="s">
        <v>1877</v>
      </c>
      <c r="C459" s="13" t="s">
        <v>1792</v>
      </c>
      <c r="D459" s="15">
        <v>8788.15</v>
      </c>
      <c r="E459" s="15">
        <v>9239.3700000000008</v>
      </c>
      <c r="F459" s="15">
        <f t="shared" si="21"/>
        <v>451.22000000000116</v>
      </c>
      <c r="G459" s="28">
        <f t="shared" si="22"/>
        <v>5.1344139551555354E-2</v>
      </c>
      <c r="H459" s="13" t="str">
        <f t="shared" si="23"/>
        <v>Slightly Over</v>
      </c>
    </row>
    <row r="460" spans="1:8" x14ac:dyDescent="0.25">
      <c r="A460" s="11">
        <v>45505</v>
      </c>
      <c r="B460" s="10" t="s">
        <v>1818</v>
      </c>
      <c r="C460" s="10" t="s">
        <v>1775</v>
      </c>
      <c r="D460" s="12">
        <v>39811.08</v>
      </c>
      <c r="E460" s="12">
        <v>35721.25</v>
      </c>
      <c r="F460" s="12">
        <f t="shared" si="21"/>
        <v>-4089.8300000000017</v>
      </c>
      <c r="G460" s="27">
        <f t="shared" si="22"/>
        <v>-0.10273094826867298</v>
      </c>
      <c r="H460" s="10" t="str">
        <f t="shared" si="23"/>
        <v>Under Budget</v>
      </c>
    </row>
    <row r="461" spans="1:8" x14ac:dyDescent="0.25">
      <c r="A461" s="14">
        <v>45505</v>
      </c>
      <c r="B461" s="13" t="s">
        <v>1774</v>
      </c>
      <c r="C461" s="13" t="s">
        <v>1778</v>
      </c>
      <c r="D461" s="15">
        <v>18943.990000000002</v>
      </c>
      <c r="E461" s="15">
        <v>17710.830000000002</v>
      </c>
      <c r="F461" s="15">
        <f t="shared" si="21"/>
        <v>-1233.1599999999999</v>
      </c>
      <c r="G461" s="28">
        <f t="shared" si="22"/>
        <v>-6.5095051253722142E-2</v>
      </c>
      <c r="H461" s="13" t="str">
        <f t="shared" si="23"/>
        <v>Under Budget</v>
      </c>
    </row>
    <row r="462" spans="1:8" x14ac:dyDescent="0.25">
      <c r="A462" s="11">
        <v>45505</v>
      </c>
      <c r="B462" s="10" t="s">
        <v>1877</v>
      </c>
      <c r="C462" s="10" t="s">
        <v>1797</v>
      </c>
      <c r="D462" s="12">
        <v>3975.95</v>
      </c>
      <c r="E462" s="12">
        <v>3594.74</v>
      </c>
      <c r="F462" s="12">
        <f t="shared" si="21"/>
        <v>-381.21000000000004</v>
      </c>
      <c r="G462" s="27">
        <f t="shared" si="22"/>
        <v>-9.5878972321080516E-2</v>
      </c>
      <c r="H462" s="10" t="str">
        <f t="shared" si="23"/>
        <v>Under Budget</v>
      </c>
    </row>
    <row r="463" spans="1:8" x14ac:dyDescent="0.25">
      <c r="A463" s="14">
        <v>45505</v>
      </c>
      <c r="B463" s="13" t="s">
        <v>1862</v>
      </c>
      <c r="C463" s="13" t="s">
        <v>1786</v>
      </c>
      <c r="D463" s="15">
        <v>6720.94</v>
      </c>
      <c r="E463" s="15">
        <v>6237.78</v>
      </c>
      <c r="F463" s="15">
        <f t="shared" si="21"/>
        <v>-483.15999999999985</v>
      </c>
      <c r="G463" s="28">
        <f t="shared" si="22"/>
        <v>-7.1888753656482562E-2</v>
      </c>
      <c r="H463" s="13" t="str">
        <f t="shared" si="23"/>
        <v>Under Budget</v>
      </c>
    </row>
    <row r="464" spans="1:8" x14ac:dyDescent="0.25">
      <c r="A464" s="11">
        <v>45505</v>
      </c>
      <c r="B464" s="10" t="s">
        <v>1786</v>
      </c>
      <c r="C464" s="10" t="s">
        <v>1795</v>
      </c>
      <c r="D464" s="12">
        <v>4942.2700000000004</v>
      </c>
      <c r="E464" s="12">
        <v>4736.78</v>
      </c>
      <c r="F464" s="12">
        <f t="shared" si="21"/>
        <v>-205.49000000000069</v>
      </c>
      <c r="G464" s="27">
        <f t="shared" si="22"/>
        <v>-4.157806028403966E-2</v>
      </c>
      <c r="H464" s="10" t="str">
        <f t="shared" si="23"/>
        <v>Under Budget</v>
      </c>
    </row>
    <row r="465" spans="1:8" x14ac:dyDescent="0.25">
      <c r="A465" s="14">
        <v>45505</v>
      </c>
      <c r="B465" s="13" t="s">
        <v>1877</v>
      </c>
      <c r="C465" s="13" t="s">
        <v>1780</v>
      </c>
      <c r="D465" s="15">
        <v>6303.39</v>
      </c>
      <c r="E465" s="15">
        <v>6548.29</v>
      </c>
      <c r="F465" s="15">
        <f t="shared" si="21"/>
        <v>244.89999999999964</v>
      </c>
      <c r="G465" s="28">
        <f t="shared" si="22"/>
        <v>3.8852109737775961E-2</v>
      </c>
      <c r="H465" s="13" t="str">
        <f t="shared" si="23"/>
        <v>Within Budget</v>
      </c>
    </row>
    <row r="466" spans="1:8" x14ac:dyDescent="0.25">
      <c r="A466" s="11">
        <v>45505</v>
      </c>
      <c r="B466" s="10" t="s">
        <v>1862</v>
      </c>
      <c r="C466" s="10" t="s">
        <v>1792</v>
      </c>
      <c r="D466" s="12">
        <v>6307.09</v>
      </c>
      <c r="E466" s="12">
        <v>6489.35</v>
      </c>
      <c r="F466" s="12">
        <f t="shared" si="21"/>
        <v>182.26000000000022</v>
      </c>
      <c r="G466" s="27">
        <f t="shared" si="22"/>
        <v>2.8897637420743992E-2</v>
      </c>
      <c r="H466" s="10" t="str">
        <f t="shared" si="23"/>
        <v>Within Budget</v>
      </c>
    </row>
    <row r="467" spans="1:8" x14ac:dyDescent="0.25">
      <c r="A467" s="14">
        <v>45505</v>
      </c>
      <c r="B467" s="13" t="s">
        <v>1774</v>
      </c>
      <c r="C467" s="13" t="s">
        <v>1797</v>
      </c>
      <c r="D467" s="15">
        <v>7518.32</v>
      </c>
      <c r="E467" s="15">
        <v>6783.04</v>
      </c>
      <c r="F467" s="15">
        <f t="shared" si="21"/>
        <v>-735.27999999999975</v>
      </c>
      <c r="G467" s="28">
        <f t="shared" si="22"/>
        <v>-9.7798444333308476E-2</v>
      </c>
      <c r="H467" s="13" t="str">
        <f t="shared" si="23"/>
        <v>Under Budget</v>
      </c>
    </row>
    <row r="468" spans="1:8" x14ac:dyDescent="0.25">
      <c r="A468" s="11">
        <v>45505</v>
      </c>
      <c r="B468" s="10" t="s">
        <v>1877</v>
      </c>
      <c r="C468" s="10" t="s">
        <v>1786</v>
      </c>
      <c r="D468" s="12">
        <v>9963.65</v>
      </c>
      <c r="E468" s="12">
        <v>9146.52</v>
      </c>
      <c r="F468" s="12">
        <f t="shared" si="21"/>
        <v>-817.1299999999992</v>
      </c>
      <c r="G468" s="27">
        <f t="shared" si="22"/>
        <v>-8.2011110386253958E-2</v>
      </c>
      <c r="H468" s="10" t="str">
        <f t="shared" si="23"/>
        <v>Under Budget</v>
      </c>
    </row>
    <row r="469" spans="1:8" x14ac:dyDescent="0.25">
      <c r="A469" s="14">
        <v>45505</v>
      </c>
      <c r="B469" s="13" t="s">
        <v>1862</v>
      </c>
      <c r="C469" s="13" t="s">
        <v>1783</v>
      </c>
      <c r="D469" s="15">
        <v>5867.87</v>
      </c>
      <c r="E469" s="15">
        <v>5993.2</v>
      </c>
      <c r="F469" s="15">
        <f t="shared" si="21"/>
        <v>125.32999999999993</v>
      </c>
      <c r="G469" s="28">
        <f t="shared" si="22"/>
        <v>2.135868722381374E-2</v>
      </c>
      <c r="H469" s="13" t="str">
        <f t="shared" si="23"/>
        <v>Within Budget</v>
      </c>
    </row>
    <row r="470" spans="1:8" x14ac:dyDescent="0.25">
      <c r="A470" s="11">
        <v>45505</v>
      </c>
      <c r="B470" s="10" t="s">
        <v>1799</v>
      </c>
      <c r="C470" s="10" t="s">
        <v>1778</v>
      </c>
      <c r="D470" s="12">
        <v>7064.48</v>
      </c>
      <c r="E470" s="12">
        <v>7193.1</v>
      </c>
      <c r="F470" s="12">
        <f t="shared" si="21"/>
        <v>128.6200000000008</v>
      </c>
      <c r="G470" s="27">
        <f t="shared" si="22"/>
        <v>1.8206577129526988E-2</v>
      </c>
      <c r="H470" s="10" t="str">
        <f t="shared" si="23"/>
        <v>Within Budget</v>
      </c>
    </row>
    <row r="471" spans="1:8" x14ac:dyDescent="0.25">
      <c r="A471" s="14">
        <v>45505</v>
      </c>
      <c r="B471" s="13" t="s">
        <v>1786</v>
      </c>
      <c r="C471" s="13" t="s">
        <v>1778</v>
      </c>
      <c r="D471" s="15">
        <v>12337.96</v>
      </c>
      <c r="E471" s="15">
        <v>12778.93</v>
      </c>
      <c r="F471" s="15">
        <f t="shared" si="21"/>
        <v>440.97000000000116</v>
      </c>
      <c r="G471" s="28">
        <f t="shared" si="22"/>
        <v>3.5740916650726796E-2</v>
      </c>
      <c r="H471" s="13" t="str">
        <f t="shared" si="23"/>
        <v>Within Budget</v>
      </c>
    </row>
    <row r="472" spans="1:8" x14ac:dyDescent="0.25">
      <c r="A472" s="11">
        <v>45505</v>
      </c>
      <c r="B472" s="10" t="s">
        <v>1818</v>
      </c>
      <c r="C472" s="10" t="s">
        <v>1795</v>
      </c>
      <c r="D472" s="12">
        <v>2364.41</v>
      </c>
      <c r="E472" s="12">
        <v>2433.15</v>
      </c>
      <c r="F472" s="12">
        <f t="shared" si="21"/>
        <v>68.740000000000236</v>
      </c>
      <c r="G472" s="27">
        <f t="shared" si="22"/>
        <v>2.9072791943867707E-2</v>
      </c>
      <c r="H472" s="10" t="str">
        <f t="shared" si="23"/>
        <v>Within Budget</v>
      </c>
    </row>
    <row r="473" spans="1:8" x14ac:dyDescent="0.25">
      <c r="A473" s="14">
        <v>45505</v>
      </c>
      <c r="B473" s="13" t="s">
        <v>1774</v>
      </c>
      <c r="C473" s="13" t="s">
        <v>1775</v>
      </c>
      <c r="D473" s="15">
        <v>108722.62</v>
      </c>
      <c r="E473" s="15">
        <v>99805.33</v>
      </c>
      <c r="F473" s="15">
        <f t="shared" si="21"/>
        <v>-8917.2899999999936</v>
      </c>
      <c r="G473" s="28">
        <f t="shared" si="22"/>
        <v>-8.2018718827783901E-2</v>
      </c>
      <c r="H473" s="13" t="str">
        <f t="shared" si="23"/>
        <v>Under Budget</v>
      </c>
    </row>
    <row r="474" spans="1:8" x14ac:dyDescent="0.25">
      <c r="A474" s="11">
        <v>45505</v>
      </c>
      <c r="B474" s="10" t="s">
        <v>1862</v>
      </c>
      <c r="C474" s="10" t="s">
        <v>1775</v>
      </c>
      <c r="D474" s="12">
        <v>34740.65</v>
      </c>
      <c r="E474" s="12">
        <v>38501.839999999997</v>
      </c>
      <c r="F474" s="12">
        <f t="shared" si="21"/>
        <v>3761.1899999999951</v>
      </c>
      <c r="G474" s="27">
        <f t="shared" si="22"/>
        <v>0.10826481369807402</v>
      </c>
      <c r="H474" s="10" t="str">
        <f t="shared" si="23"/>
        <v>Slightly Over</v>
      </c>
    </row>
    <row r="475" spans="1:8" x14ac:dyDescent="0.25">
      <c r="A475" s="14">
        <v>45505</v>
      </c>
      <c r="B475" s="13" t="s">
        <v>1799</v>
      </c>
      <c r="C475" s="13" t="s">
        <v>1775</v>
      </c>
      <c r="D475" s="15">
        <v>40471.08</v>
      </c>
      <c r="E475" s="15">
        <v>40636.410000000003</v>
      </c>
      <c r="F475" s="15">
        <f t="shared" si="21"/>
        <v>165.33000000000175</v>
      </c>
      <c r="G475" s="28">
        <f t="shared" si="22"/>
        <v>4.0851393142955841E-3</v>
      </c>
      <c r="H475" s="13" t="str">
        <f t="shared" si="23"/>
        <v>Within Budget</v>
      </c>
    </row>
    <row r="476" spans="1:8" x14ac:dyDescent="0.25">
      <c r="A476" s="11">
        <v>45505</v>
      </c>
      <c r="B476" s="10" t="s">
        <v>1792</v>
      </c>
      <c r="C476" s="10" t="s">
        <v>1795</v>
      </c>
      <c r="D476" s="12">
        <v>4956.5200000000004</v>
      </c>
      <c r="E476" s="12">
        <v>4475.72</v>
      </c>
      <c r="F476" s="12">
        <f t="shared" si="21"/>
        <v>-480.80000000000018</v>
      </c>
      <c r="G476" s="27">
        <f t="shared" si="22"/>
        <v>-9.7003542808260665E-2</v>
      </c>
      <c r="H476" s="10" t="str">
        <f t="shared" si="23"/>
        <v>Under Budget</v>
      </c>
    </row>
    <row r="477" spans="1:8" x14ac:dyDescent="0.25">
      <c r="A477" s="14">
        <v>45505</v>
      </c>
      <c r="B477" s="13" t="s">
        <v>1818</v>
      </c>
      <c r="C477" s="13" t="s">
        <v>1797</v>
      </c>
      <c r="D477" s="15">
        <v>2020.73</v>
      </c>
      <c r="E477" s="15">
        <v>1982.31</v>
      </c>
      <c r="F477" s="15">
        <f t="shared" si="21"/>
        <v>-38.420000000000073</v>
      </c>
      <c r="G477" s="28">
        <f t="shared" si="22"/>
        <v>-1.9012930970490897E-2</v>
      </c>
      <c r="H477" s="13" t="str">
        <f t="shared" si="23"/>
        <v>Under Budget</v>
      </c>
    </row>
    <row r="478" spans="1:8" x14ac:dyDescent="0.25">
      <c r="A478" s="11">
        <v>45505</v>
      </c>
      <c r="B478" s="10" t="s">
        <v>1818</v>
      </c>
      <c r="C478" s="10" t="s">
        <v>1780</v>
      </c>
      <c r="D478" s="12">
        <v>4131.47</v>
      </c>
      <c r="E478" s="12">
        <v>4135.2</v>
      </c>
      <c r="F478" s="12">
        <f t="shared" si="21"/>
        <v>3.7299999999995634</v>
      </c>
      <c r="G478" s="27">
        <f t="shared" si="22"/>
        <v>9.0282635478402683E-4</v>
      </c>
      <c r="H478" s="10" t="str">
        <f t="shared" si="23"/>
        <v>Within Budget</v>
      </c>
    </row>
    <row r="479" spans="1:8" x14ac:dyDescent="0.25">
      <c r="A479" s="14">
        <v>45505</v>
      </c>
      <c r="B479" s="13" t="s">
        <v>1774</v>
      </c>
      <c r="C479" s="13" t="s">
        <v>1780</v>
      </c>
      <c r="D479" s="15">
        <v>9776.16</v>
      </c>
      <c r="E479" s="15">
        <v>10091.82</v>
      </c>
      <c r="F479" s="15">
        <f t="shared" si="21"/>
        <v>315.65999999999985</v>
      </c>
      <c r="G479" s="28">
        <f t="shared" si="22"/>
        <v>3.2288751411597177E-2</v>
      </c>
      <c r="H479" s="13" t="str">
        <f t="shared" si="23"/>
        <v>Within Budget</v>
      </c>
    </row>
    <row r="480" spans="1:8" x14ac:dyDescent="0.25">
      <c r="A480" s="11">
        <v>45505</v>
      </c>
      <c r="B480" s="10" t="s">
        <v>1786</v>
      </c>
      <c r="C480" s="10" t="s">
        <v>1792</v>
      </c>
      <c r="D480" s="12">
        <v>8412.8700000000008</v>
      </c>
      <c r="E480" s="12">
        <v>9181.74</v>
      </c>
      <c r="F480" s="12">
        <f t="shared" si="21"/>
        <v>768.86999999999898</v>
      </c>
      <c r="G480" s="27">
        <f t="shared" si="22"/>
        <v>9.1392117077762874E-2</v>
      </c>
      <c r="H480" s="10" t="str">
        <f t="shared" si="23"/>
        <v>Slightly Over</v>
      </c>
    </row>
    <row r="481" spans="1:8" x14ac:dyDescent="0.25">
      <c r="A481" s="14">
        <v>45505</v>
      </c>
      <c r="B481" s="13" t="s">
        <v>1792</v>
      </c>
      <c r="C481" s="13" t="s">
        <v>1780</v>
      </c>
      <c r="D481" s="15">
        <v>9294.11</v>
      </c>
      <c r="E481" s="15">
        <v>9789.59</v>
      </c>
      <c r="F481" s="15">
        <f t="shared" si="21"/>
        <v>495.47999999999956</v>
      </c>
      <c r="G481" s="28">
        <f t="shared" si="22"/>
        <v>5.3311183104137946E-2</v>
      </c>
      <c r="H481" s="13" t="str">
        <f t="shared" si="23"/>
        <v>Slightly Over</v>
      </c>
    </row>
    <row r="482" spans="1:8" x14ac:dyDescent="0.25">
      <c r="A482" s="11">
        <v>45505</v>
      </c>
      <c r="B482" s="10" t="s">
        <v>1818</v>
      </c>
      <c r="C482" s="10" t="s">
        <v>1792</v>
      </c>
      <c r="D482" s="12">
        <v>4511.7299999999996</v>
      </c>
      <c r="E482" s="12">
        <v>4904.58</v>
      </c>
      <c r="F482" s="12">
        <f t="shared" si="21"/>
        <v>392.85000000000036</v>
      </c>
      <c r="G482" s="27">
        <f t="shared" si="22"/>
        <v>8.7073029636082031E-2</v>
      </c>
      <c r="H482" s="10" t="str">
        <f t="shared" si="23"/>
        <v>Slightly Over</v>
      </c>
    </row>
    <row r="483" spans="1:8" x14ac:dyDescent="0.25">
      <c r="A483" s="14">
        <v>45505</v>
      </c>
      <c r="B483" s="13" t="s">
        <v>1799</v>
      </c>
      <c r="C483" s="13" t="s">
        <v>1786</v>
      </c>
      <c r="D483" s="15">
        <v>6987.58</v>
      </c>
      <c r="E483" s="15">
        <v>7530.74</v>
      </c>
      <c r="F483" s="15">
        <f t="shared" si="21"/>
        <v>543.15999999999985</v>
      </c>
      <c r="G483" s="28">
        <f t="shared" si="22"/>
        <v>7.7732204854899678E-2</v>
      </c>
      <c r="H483" s="13" t="str">
        <f t="shared" si="23"/>
        <v>Slightly Over</v>
      </c>
    </row>
    <row r="484" spans="1:8" x14ac:dyDescent="0.25">
      <c r="A484" s="11">
        <v>45505</v>
      </c>
      <c r="B484" s="10" t="s">
        <v>1799</v>
      </c>
      <c r="C484" s="10" t="s">
        <v>1795</v>
      </c>
      <c r="D484" s="12">
        <v>2306.81</v>
      </c>
      <c r="E484" s="12">
        <v>2464.61</v>
      </c>
      <c r="F484" s="12">
        <f t="shared" si="21"/>
        <v>157.80000000000018</v>
      </c>
      <c r="G484" s="27">
        <f t="shared" si="22"/>
        <v>6.8406153952861384E-2</v>
      </c>
      <c r="H484" s="10" t="str">
        <f t="shared" si="23"/>
        <v>Slightly Over</v>
      </c>
    </row>
    <row r="485" spans="1:8" x14ac:dyDescent="0.25">
      <c r="A485" s="14">
        <v>45505</v>
      </c>
      <c r="B485" s="13" t="s">
        <v>1774</v>
      </c>
      <c r="C485" s="13" t="s">
        <v>1792</v>
      </c>
      <c r="D485" s="15">
        <v>12977.71</v>
      </c>
      <c r="E485" s="15">
        <v>13428.28</v>
      </c>
      <c r="F485" s="15">
        <f t="shared" si="21"/>
        <v>450.57000000000153</v>
      </c>
      <c r="G485" s="28">
        <f t="shared" si="22"/>
        <v>3.471876008941497E-2</v>
      </c>
      <c r="H485" s="13" t="str">
        <f t="shared" si="23"/>
        <v>Within Budget</v>
      </c>
    </row>
    <row r="486" spans="1:8" x14ac:dyDescent="0.25">
      <c r="A486" s="11">
        <v>45505</v>
      </c>
      <c r="B486" s="10" t="s">
        <v>1774</v>
      </c>
      <c r="C486" s="10" t="s">
        <v>1783</v>
      </c>
      <c r="D486" s="12">
        <v>16810.86</v>
      </c>
      <c r="E486" s="12">
        <v>18628.57</v>
      </c>
      <c r="F486" s="12">
        <f t="shared" si="21"/>
        <v>1817.7099999999991</v>
      </c>
      <c r="G486" s="27">
        <f t="shared" si="22"/>
        <v>0.10812712734506141</v>
      </c>
      <c r="H486" s="10" t="str">
        <f t="shared" si="23"/>
        <v>Slightly Over</v>
      </c>
    </row>
    <row r="487" spans="1:8" x14ac:dyDescent="0.25">
      <c r="A487" s="14">
        <v>45505</v>
      </c>
      <c r="B487" s="13" t="s">
        <v>1774</v>
      </c>
      <c r="C487" s="13" t="s">
        <v>1789</v>
      </c>
      <c r="D487" s="15">
        <v>11473.53</v>
      </c>
      <c r="E487" s="15">
        <v>10345.540000000001</v>
      </c>
      <c r="F487" s="15">
        <f t="shared" si="21"/>
        <v>-1127.9899999999998</v>
      </c>
      <c r="G487" s="28">
        <f t="shared" si="22"/>
        <v>-9.8312376400288295E-2</v>
      </c>
      <c r="H487" s="13" t="str">
        <f t="shared" si="23"/>
        <v>Under Budget</v>
      </c>
    </row>
    <row r="488" spans="1:8" x14ac:dyDescent="0.25">
      <c r="A488" s="11">
        <v>45505</v>
      </c>
      <c r="B488" s="10" t="s">
        <v>1792</v>
      </c>
      <c r="C488" s="10" t="s">
        <v>1786</v>
      </c>
      <c r="D488" s="12">
        <v>11582.02</v>
      </c>
      <c r="E488" s="12">
        <v>12490.85</v>
      </c>
      <c r="F488" s="12">
        <f t="shared" si="21"/>
        <v>908.82999999999993</v>
      </c>
      <c r="G488" s="27">
        <f t="shared" si="22"/>
        <v>7.8469040806353293E-2</v>
      </c>
      <c r="H488" s="10" t="str">
        <f t="shared" si="23"/>
        <v>Slightly Over</v>
      </c>
    </row>
    <row r="489" spans="1:8" x14ac:dyDescent="0.25">
      <c r="A489" s="14">
        <v>45505</v>
      </c>
      <c r="B489" s="13" t="s">
        <v>1877</v>
      </c>
      <c r="C489" s="13" t="s">
        <v>1795</v>
      </c>
      <c r="D489" s="15">
        <v>3130.19</v>
      </c>
      <c r="E489" s="15">
        <v>3180.14</v>
      </c>
      <c r="F489" s="15">
        <f t="shared" si="21"/>
        <v>49.949999999999818</v>
      </c>
      <c r="G489" s="28">
        <f t="shared" si="22"/>
        <v>1.5957497787674173E-2</v>
      </c>
      <c r="H489" s="13" t="str">
        <f t="shared" si="23"/>
        <v>Within Budget</v>
      </c>
    </row>
    <row r="490" spans="1:8" x14ac:dyDescent="0.25">
      <c r="A490" s="11">
        <v>45505</v>
      </c>
      <c r="B490" s="10" t="s">
        <v>1799</v>
      </c>
      <c r="C490" s="10" t="s">
        <v>1797</v>
      </c>
      <c r="D490" s="12">
        <v>2636.83</v>
      </c>
      <c r="E490" s="12">
        <v>2411.38</v>
      </c>
      <c r="F490" s="12">
        <f t="shared" si="21"/>
        <v>-225.44999999999982</v>
      </c>
      <c r="G490" s="27">
        <f t="shared" si="22"/>
        <v>-8.5500392516771967E-2</v>
      </c>
      <c r="H490" s="10" t="str">
        <f t="shared" si="23"/>
        <v>Under Budget</v>
      </c>
    </row>
    <row r="491" spans="1:8" x14ac:dyDescent="0.25">
      <c r="A491" s="14">
        <v>45505</v>
      </c>
      <c r="B491" s="13" t="s">
        <v>1799</v>
      </c>
      <c r="C491" s="13" t="s">
        <v>1792</v>
      </c>
      <c r="D491" s="15">
        <v>5431.61</v>
      </c>
      <c r="E491" s="15">
        <v>5881.9</v>
      </c>
      <c r="F491" s="15">
        <f t="shared" si="21"/>
        <v>450.28999999999996</v>
      </c>
      <c r="G491" s="28">
        <f t="shared" si="22"/>
        <v>8.2901754728340216E-2</v>
      </c>
      <c r="H491" s="13" t="str">
        <f t="shared" si="23"/>
        <v>Slightly Over</v>
      </c>
    </row>
    <row r="492" spans="1:8" x14ac:dyDescent="0.25">
      <c r="A492" s="11">
        <v>45505</v>
      </c>
      <c r="B492" s="10" t="s">
        <v>1774</v>
      </c>
      <c r="C492" s="10" t="s">
        <v>1795</v>
      </c>
      <c r="D492" s="12">
        <v>6492.36</v>
      </c>
      <c r="E492" s="12">
        <v>6451.12</v>
      </c>
      <c r="F492" s="12">
        <f t="shared" si="21"/>
        <v>-41.239999999999782</v>
      </c>
      <c r="G492" s="27">
        <f t="shared" si="22"/>
        <v>-6.3520815235137583E-3</v>
      </c>
      <c r="H492" s="10" t="str">
        <f t="shared" si="23"/>
        <v>Under Budget</v>
      </c>
    </row>
    <row r="493" spans="1:8" x14ac:dyDescent="0.25">
      <c r="A493" s="14">
        <v>45505</v>
      </c>
      <c r="B493" s="13" t="s">
        <v>1877</v>
      </c>
      <c r="C493" s="13" t="s">
        <v>1775</v>
      </c>
      <c r="D493" s="15">
        <v>62770.17</v>
      </c>
      <c r="E493" s="15">
        <v>57807.28</v>
      </c>
      <c r="F493" s="15">
        <f t="shared" si="21"/>
        <v>-4962.8899999999994</v>
      </c>
      <c r="G493" s="28">
        <f t="shared" si="22"/>
        <v>-7.9064466449589019E-2</v>
      </c>
      <c r="H493" s="13" t="str">
        <f t="shared" si="23"/>
        <v>Under Budget</v>
      </c>
    </row>
    <row r="494" spans="1:8" x14ac:dyDescent="0.25">
      <c r="A494" s="11">
        <v>45505</v>
      </c>
      <c r="B494" s="10" t="s">
        <v>1792</v>
      </c>
      <c r="C494" s="10" t="s">
        <v>1783</v>
      </c>
      <c r="D494" s="12">
        <v>11561.66</v>
      </c>
      <c r="E494" s="12">
        <v>11306.9</v>
      </c>
      <c r="F494" s="12">
        <f t="shared" si="21"/>
        <v>-254.76000000000022</v>
      </c>
      <c r="G494" s="27">
        <f t="shared" si="22"/>
        <v>-2.2034898102867601E-2</v>
      </c>
      <c r="H494" s="10" t="str">
        <f t="shared" si="23"/>
        <v>Under Budget</v>
      </c>
    </row>
    <row r="495" spans="1:8" x14ac:dyDescent="0.25">
      <c r="A495" s="14">
        <v>45505</v>
      </c>
      <c r="B495" s="13" t="s">
        <v>1786</v>
      </c>
      <c r="C495" s="13" t="s">
        <v>1775</v>
      </c>
      <c r="D495" s="15">
        <v>69470.240000000005</v>
      </c>
      <c r="E495" s="15">
        <v>73414.38</v>
      </c>
      <c r="F495" s="15">
        <f t="shared" si="21"/>
        <v>3944.1399999999994</v>
      </c>
      <c r="G495" s="28">
        <f t="shared" si="22"/>
        <v>5.6774526761387306E-2</v>
      </c>
      <c r="H495" s="13" t="str">
        <f t="shared" si="23"/>
        <v>Slightly Over</v>
      </c>
    </row>
    <row r="496" spans="1:8" x14ac:dyDescent="0.25">
      <c r="A496" s="11">
        <v>45505</v>
      </c>
      <c r="B496" s="10" t="s">
        <v>1877</v>
      </c>
      <c r="C496" s="10" t="s">
        <v>1783</v>
      </c>
      <c r="D496" s="12">
        <v>10125.280000000001</v>
      </c>
      <c r="E496" s="12">
        <v>9535.85</v>
      </c>
      <c r="F496" s="12">
        <f t="shared" si="21"/>
        <v>-589.43000000000029</v>
      </c>
      <c r="G496" s="27">
        <f t="shared" si="22"/>
        <v>-5.8213698781663346E-2</v>
      </c>
      <c r="H496" s="10" t="str">
        <f t="shared" si="23"/>
        <v>Under Budget</v>
      </c>
    </row>
    <row r="497" spans="1:8" x14ac:dyDescent="0.25">
      <c r="A497" s="14">
        <v>45505</v>
      </c>
      <c r="B497" s="13" t="s">
        <v>1818</v>
      </c>
      <c r="C497" s="13" t="s">
        <v>1786</v>
      </c>
      <c r="D497" s="15">
        <v>6093.82</v>
      </c>
      <c r="E497" s="15">
        <v>5804.22</v>
      </c>
      <c r="F497" s="15">
        <f t="shared" si="21"/>
        <v>-289.59999999999945</v>
      </c>
      <c r="G497" s="28">
        <f t="shared" si="22"/>
        <v>-4.7523556652477338E-2</v>
      </c>
      <c r="H497" s="13" t="str">
        <f t="shared" si="23"/>
        <v>Under Budget</v>
      </c>
    </row>
    <row r="498" spans="1:8" x14ac:dyDescent="0.25">
      <c r="A498" s="11">
        <v>45505</v>
      </c>
      <c r="B498" s="10" t="s">
        <v>1799</v>
      </c>
      <c r="C498" s="10" t="s">
        <v>1789</v>
      </c>
      <c r="D498" s="12">
        <v>4011.64</v>
      </c>
      <c r="E498" s="12">
        <v>4094.84</v>
      </c>
      <c r="F498" s="12">
        <f t="shared" si="21"/>
        <v>83.200000000000273</v>
      </c>
      <c r="G498" s="27">
        <f t="shared" si="22"/>
        <v>2.0739647625410126E-2</v>
      </c>
      <c r="H498" s="10" t="str">
        <f t="shared" si="23"/>
        <v>Within Budget</v>
      </c>
    </row>
    <row r="499" spans="1:8" x14ac:dyDescent="0.25">
      <c r="A499" s="14">
        <v>45505</v>
      </c>
      <c r="B499" s="13" t="s">
        <v>1792</v>
      </c>
      <c r="C499" s="13" t="s">
        <v>1778</v>
      </c>
      <c r="D499" s="15">
        <v>12811.44</v>
      </c>
      <c r="E499" s="15">
        <v>14075.65</v>
      </c>
      <c r="F499" s="15">
        <f t="shared" si="21"/>
        <v>1264.2099999999991</v>
      </c>
      <c r="G499" s="28">
        <f t="shared" si="22"/>
        <v>9.8678212597490919E-2</v>
      </c>
      <c r="H499" s="13" t="str">
        <f t="shared" si="23"/>
        <v>Slightly Over</v>
      </c>
    </row>
    <row r="500" spans="1:8" x14ac:dyDescent="0.25">
      <c r="A500" s="11">
        <v>45505</v>
      </c>
      <c r="B500" s="10" t="s">
        <v>1792</v>
      </c>
      <c r="C500" s="10" t="s">
        <v>1789</v>
      </c>
      <c r="D500" s="12">
        <v>6767.46</v>
      </c>
      <c r="E500" s="12">
        <v>7504.97</v>
      </c>
      <c r="F500" s="12">
        <f t="shared" si="21"/>
        <v>737.51000000000022</v>
      </c>
      <c r="G500" s="27">
        <f t="shared" si="22"/>
        <v>0.10897884878521634</v>
      </c>
      <c r="H500" s="10" t="str">
        <f t="shared" si="23"/>
        <v>Slightly Over</v>
      </c>
    </row>
    <row r="501" spans="1:8" x14ac:dyDescent="0.25">
      <c r="A501" s="14">
        <v>45505</v>
      </c>
      <c r="B501" s="13" t="s">
        <v>1862</v>
      </c>
      <c r="C501" s="13" t="s">
        <v>1780</v>
      </c>
      <c r="D501" s="15">
        <v>4549.57</v>
      </c>
      <c r="E501" s="15">
        <v>4206.3900000000003</v>
      </c>
      <c r="F501" s="15">
        <f t="shared" si="21"/>
        <v>-343.17999999999938</v>
      </c>
      <c r="G501" s="28">
        <f t="shared" si="22"/>
        <v>-7.5431304496908366E-2</v>
      </c>
      <c r="H501" s="13" t="str">
        <f t="shared" si="23"/>
        <v>Under Budget</v>
      </c>
    </row>
    <row r="502" spans="1:8" x14ac:dyDescent="0.25">
      <c r="A502" s="11">
        <v>45505</v>
      </c>
      <c r="B502" s="10" t="s">
        <v>1799</v>
      </c>
      <c r="C502" s="10" t="s">
        <v>1780</v>
      </c>
      <c r="D502" s="12">
        <v>4093.31</v>
      </c>
      <c r="E502" s="12">
        <v>4216.68</v>
      </c>
      <c r="F502" s="12">
        <f t="shared" si="21"/>
        <v>123.37000000000035</v>
      </c>
      <c r="G502" s="27">
        <f t="shared" si="22"/>
        <v>3.0139422618858661E-2</v>
      </c>
      <c r="H502" s="10" t="str">
        <f t="shared" si="23"/>
        <v>Within Budget</v>
      </c>
    </row>
    <row r="503" spans="1:8" x14ac:dyDescent="0.25">
      <c r="A503" s="14">
        <v>45505</v>
      </c>
      <c r="B503" s="13" t="s">
        <v>1877</v>
      </c>
      <c r="C503" s="13" t="s">
        <v>1789</v>
      </c>
      <c r="D503" s="15">
        <v>6212.48</v>
      </c>
      <c r="E503" s="15">
        <v>6677.86</v>
      </c>
      <c r="F503" s="15">
        <f t="shared" si="21"/>
        <v>465.38000000000011</v>
      </c>
      <c r="G503" s="28">
        <f t="shared" si="22"/>
        <v>7.4910502729988684E-2</v>
      </c>
      <c r="H503" s="13" t="str">
        <f t="shared" si="23"/>
        <v>Slightly Over</v>
      </c>
    </row>
    <row r="504" spans="1:8" x14ac:dyDescent="0.25">
      <c r="A504" s="11">
        <v>45505</v>
      </c>
      <c r="B504" s="10" t="s">
        <v>1786</v>
      </c>
      <c r="C504" s="10" t="s">
        <v>1789</v>
      </c>
      <c r="D504" s="12">
        <v>6470.95</v>
      </c>
      <c r="E504" s="12">
        <v>6381.1</v>
      </c>
      <c r="F504" s="12">
        <f t="shared" si="21"/>
        <v>-89.849999999999454</v>
      </c>
      <c r="G504" s="27">
        <f t="shared" si="22"/>
        <v>-1.3885132785757804E-2</v>
      </c>
      <c r="H504" s="10" t="str">
        <f t="shared" si="23"/>
        <v>Under Budget</v>
      </c>
    </row>
    <row r="505" spans="1:8" x14ac:dyDescent="0.25">
      <c r="A505" s="14">
        <v>45505</v>
      </c>
      <c r="B505" s="13" t="s">
        <v>1792</v>
      </c>
      <c r="C505" s="13" t="s">
        <v>1792</v>
      </c>
      <c r="D505" s="15">
        <v>15379.05</v>
      </c>
      <c r="E505" s="15">
        <v>13948.2</v>
      </c>
      <c r="F505" s="15">
        <f t="shared" si="21"/>
        <v>-1430.8499999999985</v>
      </c>
      <c r="G505" s="28">
        <f t="shared" si="22"/>
        <v>-9.3038906824543688E-2</v>
      </c>
      <c r="H505" s="13" t="str">
        <f t="shared" si="23"/>
        <v>Under Budget</v>
      </c>
    </row>
    <row r="506" spans="1:8" x14ac:dyDescent="0.25">
      <c r="A506" s="11">
        <v>45536</v>
      </c>
      <c r="B506" s="10" t="s">
        <v>1877</v>
      </c>
      <c r="C506" s="10" t="s">
        <v>1778</v>
      </c>
      <c r="D506" s="12">
        <v>11628.29</v>
      </c>
      <c r="E506" s="12">
        <v>12893.59</v>
      </c>
      <c r="F506" s="12">
        <f t="shared" si="21"/>
        <v>1265.2999999999993</v>
      </c>
      <c r="G506" s="27">
        <f t="shared" si="22"/>
        <v>0.10881221572561393</v>
      </c>
      <c r="H506" s="10" t="str">
        <f t="shared" si="23"/>
        <v>Slightly Over</v>
      </c>
    </row>
    <row r="507" spans="1:8" x14ac:dyDescent="0.25">
      <c r="A507" s="14">
        <v>45536</v>
      </c>
      <c r="B507" s="13" t="s">
        <v>1877</v>
      </c>
      <c r="C507" s="13" t="s">
        <v>1780</v>
      </c>
      <c r="D507" s="15">
        <v>4620.84</v>
      </c>
      <c r="E507" s="15">
        <v>5064.76</v>
      </c>
      <c r="F507" s="15">
        <f t="shared" si="21"/>
        <v>443.92000000000007</v>
      </c>
      <c r="G507" s="28">
        <f t="shared" si="22"/>
        <v>9.6069112975130072E-2</v>
      </c>
      <c r="H507" s="13" t="str">
        <f t="shared" si="23"/>
        <v>Slightly Over</v>
      </c>
    </row>
    <row r="508" spans="1:8" x14ac:dyDescent="0.25">
      <c r="A508" s="11">
        <v>45536</v>
      </c>
      <c r="B508" s="10" t="s">
        <v>1818</v>
      </c>
      <c r="C508" s="10" t="s">
        <v>1792</v>
      </c>
      <c r="D508" s="12">
        <v>5372.55</v>
      </c>
      <c r="E508" s="12">
        <v>5417.24</v>
      </c>
      <c r="F508" s="12">
        <f t="shared" si="21"/>
        <v>44.6899999999996</v>
      </c>
      <c r="G508" s="27">
        <f t="shared" si="22"/>
        <v>8.3182101609104806E-3</v>
      </c>
      <c r="H508" s="10" t="str">
        <f t="shared" si="23"/>
        <v>Within Budget</v>
      </c>
    </row>
    <row r="509" spans="1:8" x14ac:dyDescent="0.25">
      <c r="A509" s="14">
        <v>45536</v>
      </c>
      <c r="B509" s="13" t="s">
        <v>1792</v>
      </c>
      <c r="C509" s="13" t="s">
        <v>1778</v>
      </c>
      <c r="D509" s="15">
        <v>15131.89</v>
      </c>
      <c r="E509" s="15">
        <v>14429.02</v>
      </c>
      <c r="F509" s="15">
        <f t="shared" si="21"/>
        <v>-702.86999999999898</v>
      </c>
      <c r="G509" s="28">
        <f t="shared" si="22"/>
        <v>-4.6449584288545516E-2</v>
      </c>
      <c r="H509" s="13" t="str">
        <f t="shared" si="23"/>
        <v>Under Budget</v>
      </c>
    </row>
    <row r="510" spans="1:8" x14ac:dyDescent="0.25">
      <c r="A510" s="11">
        <v>45536</v>
      </c>
      <c r="B510" s="10" t="s">
        <v>1799</v>
      </c>
      <c r="C510" s="10" t="s">
        <v>1775</v>
      </c>
      <c r="D510" s="12">
        <v>44185.56</v>
      </c>
      <c r="E510" s="12">
        <v>43977.02</v>
      </c>
      <c r="F510" s="12">
        <f t="shared" si="21"/>
        <v>-208.54000000000087</v>
      </c>
      <c r="G510" s="27">
        <f t="shared" si="22"/>
        <v>-4.7196414394205001E-3</v>
      </c>
      <c r="H510" s="10" t="str">
        <f t="shared" si="23"/>
        <v>Under Budget</v>
      </c>
    </row>
    <row r="511" spans="1:8" x14ac:dyDescent="0.25">
      <c r="A511" s="14">
        <v>45536</v>
      </c>
      <c r="B511" s="13" t="s">
        <v>1786</v>
      </c>
      <c r="C511" s="13" t="s">
        <v>1789</v>
      </c>
      <c r="D511" s="15">
        <v>6042.35</v>
      </c>
      <c r="E511" s="15">
        <v>5505.76</v>
      </c>
      <c r="F511" s="15">
        <f t="shared" si="21"/>
        <v>-536.59000000000015</v>
      </c>
      <c r="G511" s="28">
        <f t="shared" si="22"/>
        <v>-8.8804852416692198E-2</v>
      </c>
      <c r="H511" s="13" t="str">
        <f t="shared" si="23"/>
        <v>Under Budget</v>
      </c>
    </row>
    <row r="512" spans="1:8" x14ac:dyDescent="0.25">
      <c r="A512" s="11">
        <v>45536</v>
      </c>
      <c r="B512" s="10" t="s">
        <v>1799</v>
      </c>
      <c r="C512" s="10" t="s">
        <v>1797</v>
      </c>
      <c r="D512" s="12">
        <v>2181.0500000000002</v>
      </c>
      <c r="E512" s="12">
        <v>2397.5500000000002</v>
      </c>
      <c r="F512" s="12">
        <f t="shared" si="21"/>
        <v>216.5</v>
      </c>
      <c r="G512" s="27">
        <f t="shared" si="22"/>
        <v>9.9264115907475747E-2</v>
      </c>
      <c r="H512" s="10" t="str">
        <f t="shared" si="23"/>
        <v>Slightly Over</v>
      </c>
    </row>
    <row r="513" spans="1:8" x14ac:dyDescent="0.25">
      <c r="A513" s="14">
        <v>45536</v>
      </c>
      <c r="B513" s="13" t="s">
        <v>1799</v>
      </c>
      <c r="C513" s="13" t="s">
        <v>1789</v>
      </c>
      <c r="D513" s="15">
        <v>3594.66</v>
      </c>
      <c r="E513" s="15">
        <v>3687.47</v>
      </c>
      <c r="F513" s="15">
        <f t="shared" si="21"/>
        <v>92.809999999999945</v>
      </c>
      <c r="G513" s="28">
        <f t="shared" si="22"/>
        <v>2.58188535216126E-2</v>
      </c>
      <c r="H513" s="13" t="str">
        <f t="shared" si="23"/>
        <v>Within Budget</v>
      </c>
    </row>
    <row r="514" spans="1:8" x14ac:dyDescent="0.25">
      <c r="A514" s="11">
        <v>45536</v>
      </c>
      <c r="B514" s="10" t="s">
        <v>1862</v>
      </c>
      <c r="C514" s="10" t="s">
        <v>1775</v>
      </c>
      <c r="D514" s="12">
        <v>38483.26</v>
      </c>
      <c r="E514" s="12">
        <v>39377.26</v>
      </c>
      <c r="F514" s="12">
        <f t="shared" ref="F514:F577" si="24">E514-D514</f>
        <v>894</v>
      </c>
      <c r="G514" s="27">
        <f t="shared" ref="G514:G577" si="25">IFERROR(F514/D514,0)</f>
        <v>2.3230880128138832E-2</v>
      </c>
      <c r="H514" s="10" t="str">
        <f t="shared" ref="H514:H577" si="26">IF(G514&lt;=0,"Under Budget",IF(G514&lt;=5%,"Within Budget",IF(G514&lt;=15%,"Slightly Over","Significantly Over")))</f>
        <v>Within Budget</v>
      </c>
    </row>
    <row r="515" spans="1:8" x14ac:dyDescent="0.25">
      <c r="A515" s="14">
        <v>45536</v>
      </c>
      <c r="B515" s="13" t="s">
        <v>1818</v>
      </c>
      <c r="C515" s="13" t="s">
        <v>1786</v>
      </c>
      <c r="D515" s="15">
        <v>6288.55</v>
      </c>
      <c r="E515" s="15">
        <v>6450.93</v>
      </c>
      <c r="F515" s="15">
        <f t="shared" si="24"/>
        <v>162.38000000000011</v>
      </c>
      <c r="G515" s="28">
        <f t="shared" si="25"/>
        <v>2.5821532785777344E-2</v>
      </c>
      <c r="H515" s="13" t="str">
        <f t="shared" si="26"/>
        <v>Within Budget</v>
      </c>
    </row>
    <row r="516" spans="1:8" x14ac:dyDescent="0.25">
      <c r="A516" s="11">
        <v>45536</v>
      </c>
      <c r="B516" s="10" t="s">
        <v>1792</v>
      </c>
      <c r="C516" s="10" t="s">
        <v>1775</v>
      </c>
      <c r="D516" s="12">
        <v>71220.570000000007</v>
      </c>
      <c r="E516" s="12">
        <v>70705.070000000007</v>
      </c>
      <c r="F516" s="12">
        <f t="shared" si="24"/>
        <v>-515.5</v>
      </c>
      <c r="G516" s="27">
        <f t="shared" si="25"/>
        <v>-7.2380774262267196E-3</v>
      </c>
      <c r="H516" s="10" t="str">
        <f t="shared" si="26"/>
        <v>Under Budget</v>
      </c>
    </row>
    <row r="517" spans="1:8" x14ac:dyDescent="0.25">
      <c r="A517" s="14">
        <v>45536</v>
      </c>
      <c r="B517" s="13" t="s">
        <v>1792</v>
      </c>
      <c r="C517" s="13" t="s">
        <v>1795</v>
      </c>
      <c r="D517" s="15">
        <v>5155.8500000000004</v>
      </c>
      <c r="E517" s="15">
        <v>4800.93</v>
      </c>
      <c r="F517" s="15">
        <f t="shared" si="24"/>
        <v>-354.92000000000007</v>
      </c>
      <c r="G517" s="28">
        <f t="shared" si="25"/>
        <v>-6.8838309881008961E-2</v>
      </c>
      <c r="H517" s="13" t="str">
        <f t="shared" si="26"/>
        <v>Under Budget</v>
      </c>
    </row>
    <row r="518" spans="1:8" x14ac:dyDescent="0.25">
      <c r="A518" s="11">
        <v>45536</v>
      </c>
      <c r="B518" s="10" t="s">
        <v>1786</v>
      </c>
      <c r="C518" s="10" t="s">
        <v>1795</v>
      </c>
      <c r="D518" s="12">
        <v>3503.27</v>
      </c>
      <c r="E518" s="12">
        <v>3611.86</v>
      </c>
      <c r="F518" s="12">
        <f t="shared" si="24"/>
        <v>108.59000000000015</v>
      </c>
      <c r="G518" s="27">
        <f t="shared" si="25"/>
        <v>3.0996754460832349E-2</v>
      </c>
      <c r="H518" s="10" t="str">
        <f t="shared" si="26"/>
        <v>Within Budget</v>
      </c>
    </row>
    <row r="519" spans="1:8" x14ac:dyDescent="0.25">
      <c r="A519" s="14">
        <v>45536</v>
      </c>
      <c r="B519" s="13" t="s">
        <v>1862</v>
      </c>
      <c r="C519" s="13" t="s">
        <v>1792</v>
      </c>
      <c r="D519" s="15">
        <v>6845.22</v>
      </c>
      <c r="E519" s="15">
        <v>6434.77</v>
      </c>
      <c r="F519" s="15">
        <f t="shared" si="24"/>
        <v>-410.44999999999982</v>
      </c>
      <c r="G519" s="28">
        <f t="shared" si="25"/>
        <v>-5.9961549811401213E-2</v>
      </c>
      <c r="H519" s="13" t="str">
        <f t="shared" si="26"/>
        <v>Under Budget</v>
      </c>
    </row>
    <row r="520" spans="1:8" x14ac:dyDescent="0.25">
      <c r="A520" s="11">
        <v>45536</v>
      </c>
      <c r="B520" s="10" t="s">
        <v>1799</v>
      </c>
      <c r="C520" s="10" t="s">
        <v>1778</v>
      </c>
      <c r="D520" s="12">
        <v>6459.95</v>
      </c>
      <c r="E520" s="12">
        <v>6929.62</v>
      </c>
      <c r="F520" s="12">
        <f t="shared" si="24"/>
        <v>469.67000000000007</v>
      </c>
      <c r="G520" s="27">
        <f t="shared" si="25"/>
        <v>7.270489709672677E-2</v>
      </c>
      <c r="H520" s="10" t="str">
        <f t="shared" si="26"/>
        <v>Slightly Over</v>
      </c>
    </row>
    <row r="521" spans="1:8" x14ac:dyDescent="0.25">
      <c r="A521" s="14">
        <v>45536</v>
      </c>
      <c r="B521" s="13" t="s">
        <v>1786</v>
      </c>
      <c r="C521" s="13" t="s">
        <v>1783</v>
      </c>
      <c r="D521" s="15">
        <v>10832.32</v>
      </c>
      <c r="E521" s="15">
        <v>10585.06</v>
      </c>
      <c r="F521" s="15">
        <f t="shared" si="24"/>
        <v>-247.26000000000022</v>
      </c>
      <c r="G521" s="28">
        <f t="shared" si="25"/>
        <v>-2.2826135121562161E-2</v>
      </c>
      <c r="H521" s="13" t="str">
        <f t="shared" si="26"/>
        <v>Under Budget</v>
      </c>
    </row>
    <row r="522" spans="1:8" x14ac:dyDescent="0.25">
      <c r="A522" s="11">
        <v>45536</v>
      </c>
      <c r="B522" s="10" t="s">
        <v>1792</v>
      </c>
      <c r="C522" s="10" t="s">
        <v>1789</v>
      </c>
      <c r="D522" s="12">
        <v>7707.69</v>
      </c>
      <c r="E522" s="12">
        <v>7844.82</v>
      </c>
      <c r="F522" s="12">
        <f t="shared" si="24"/>
        <v>137.13000000000011</v>
      </c>
      <c r="G522" s="27">
        <f t="shared" si="25"/>
        <v>1.7791322692012796E-2</v>
      </c>
      <c r="H522" s="10" t="str">
        <f t="shared" si="26"/>
        <v>Within Budget</v>
      </c>
    </row>
    <row r="523" spans="1:8" x14ac:dyDescent="0.25">
      <c r="A523" s="14">
        <v>45536</v>
      </c>
      <c r="B523" s="13" t="s">
        <v>1862</v>
      </c>
      <c r="C523" s="13" t="s">
        <v>1789</v>
      </c>
      <c r="D523" s="15">
        <v>3410.28</v>
      </c>
      <c r="E523" s="15">
        <v>3347.92</v>
      </c>
      <c r="F523" s="15">
        <f t="shared" si="24"/>
        <v>-62.360000000000127</v>
      </c>
      <c r="G523" s="28">
        <f t="shared" si="25"/>
        <v>-1.8285888548740904E-2</v>
      </c>
      <c r="H523" s="13" t="str">
        <f t="shared" si="26"/>
        <v>Under Budget</v>
      </c>
    </row>
    <row r="524" spans="1:8" x14ac:dyDescent="0.25">
      <c r="A524" s="11">
        <v>45536</v>
      </c>
      <c r="B524" s="10" t="s">
        <v>1774</v>
      </c>
      <c r="C524" s="10" t="s">
        <v>1778</v>
      </c>
      <c r="D524" s="12">
        <v>14840.81</v>
      </c>
      <c r="E524" s="12">
        <v>16066.61</v>
      </c>
      <c r="F524" s="12">
        <f t="shared" si="24"/>
        <v>1225.8000000000011</v>
      </c>
      <c r="G524" s="27">
        <f t="shared" si="25"/>
        <v>8.2596569863774352E-2</v>
      </c>
      <c r="H524" s="10" t="str">
        <f t="shared" si="26"/>
        <v>Slightly Over</v>
      </c>
    </row>
    <row r="525" spans="1:8" x14ac:dyDescent="0.25">
      <c r="A525" s="14">
        <v>45536</v>
      </c>
      <c r="B525" s="13" t="s">
        <v>1786</v>
      </c>
      <c r="C525" s="13" t="s">
        <v>1786</v>
      </c>
      <c r="D525" s="15">
        <v>11225.22</v>
      </c>
      <c r="E525" s="15">
        <v>10114.98</v>
      </c>
      <c r="F525" s="15">
        <f t="shared" si="24"/>
        <v>-1110.2399999999998</v>
      </c>
      <c r="G525" s="28">
        <f t="shared" si="25"/>
        <v>-9.8905856633544814E-2</v>
      </c>
      <c r="H525" s="13" t="str">
        <f t="shared" si="26"/>
        <v>Under Budget</v>
      </c>
    </row>
    <row r="526" spans="1:8" x14ac:dyDescent="0.25">
      <c r="A526" s="11">
        <v>45536</v>
      </c>
      <c r="B526" s="10" t="s">
        <v>1792</v>
      </c>
      <c r="C526" s="10" t="s">
        <v>1792</v>
      </c>
      <c r="D526" s="12">
        <v>14120.6</v>
      </c>
      <c r="E526" s="12">
        <v>12844.3</v>
      </c>
      <c r="F526" s="12">
        <f t="shared" si="24"/>
        <v>-1276.3000000000011</v>
      </c>
      <c r="G526" s="27">
        <f t="shared" si="25"/>
        <v>-9.0385677662422351E-2</v>
      </c>
      <c r="H526" s="10" t="str">
        <f t="shared" si="26"/>
        <v>Under Budget</v>
      </c>
    </row>
    <row r="527" spans="1:8" x14ac:dyDescent="0.25">
      <c r="A527" s="14">
        <v>45536</v>
      </c>
      <c r="B527" s="13" t="s">
        <v>1799</v>
      </c>
      <c r="C527" s="13" t="s">
        <v>1795</v>
      </c>
      <c r="D527" s="15">
        <v>2324.46</v>
      </c>
      <c r="E527" s="15">
        <v>2148.6799999999998</v>
      </c>
      <c r="F527" s="15">
        <f t="shared" si="24"/>
        <v>-175.7800000000002</v>
      </c>
      <c r="G527" s="28">
        <f t="shared" si="25"/>
        <v>-7.5621864863237132E-2</v>
      </c>
      <c r="H527" s="13" t="str">
        <f t="shared" si="26"/>
        <v>Under Budget</v>
      </c>
    </row>
    <row r="528" spans="1:8" x14ac:dyDescent="0.25">
      <c r="A528" s="11">
        <v>45536</v>
      </c>
      <c r="B528" s="10" t="s">
        <v>1862</v>
      </c>
      <c r="C528" s="10" t="s">
        <v>1778</v>
      </c>
      <c r="D528" s="12">
        <v>9337.09</v>
      </c>
      <c r="E528" s="12">
        <v>8516.0400000000009</v>
      </c>
      <c r="F528" s="12">
        <f t="shared" si="24"/>
        <v>-821.04999999999927</v>
      </c>
      <c r="G528" s="27">
        <f t="shared" si="25"/>
        <v>-8.7934249321790753E-2</v>
      </c>
      <c r="H528" s="10" t="str">
        <f t="shared" si="26"/>
        <v>Under Budget</v>
      </c>
    </row>
    <row r="529" spans="1:8" x14ac:dyDescent="0.25">
      <c r="A529" s="14">
        <v>45536</v>
      </c>
      <c r="B529" s="13" t="s">
        <v>1818</v>
      </c>
      <c r="C529" s="13" t="s">
        <v>1780</v>
      </c>
      <c r="D529" s="15">
        <v>3505.49</v>
      </c>
      <c r="E529" s="15">
        <v>3760.16</v>
      </c>
      <c r="F529" s="15">
        <f t="shared" si="24"/>
        <v>254.67000000000007</v>
      </c>
      <c r="G529" s="28">
        <f t="shared" si="25"/>
        <v>7.264890215062661E-2</v>
      </c>
      <c r="H529" s="13" t="str">
        <f t="shared" si="26"/>
        <v>Slightly Over</v>
      </c>
    </row>
    <row r="530" spans="1:8" x14ac:dyDescent="0.25">
      <c r="A530" s="11">
        <v>45536</v>
      </c>
      <c r="B530" s="10" t="s">
        <v>1774</v>
      </c>
      <c r="C530" s="10" t="s">
        <v>1792</v>
      </c>
      <c r="D530" s="12">
        <v>15916.62</v>
      </c>
      <c r="E530" s="12">
        <v>15746.26</v>
      </c>
      <c r="F530" s="12">
        <f t="shared" si="24"/>
        <v>-170.36000000000058</v>
      </c>
      <c r="G530" s="27">
        <f t="shared" si="25"/>
        <v>-1.0703277454635505E-2</v>
      </c>
      <c r="H530" s="10" t="str">
        <f t="shared" si="26"/>
        <v>Under Budget</v>
      </c>
    </row>
    <row r="531" spans="1:8" x14ac:dyDescent="0.25">
      <c r="A531" s="14">
        <v>45536</v>
      </c>
      <c r="B531" s="13" t="s">
        <v>1818</v>
      </c>
      <c r="C531" s="13" t="s">
        <v>1797</v>
      </c>
      <c r="D531" s="15">
        <v>2288.65</v>
      </c>
      <c r="E531" s="15">
        <v>2359.58</v>
      </c>
      <c r="F531" s="15">
        <f t="shared" si="24"/>
        <v>70.929999999999836</v>
      </c>
      <c r="G531" s="28">
        <f t="shared" si="25"/>
        <v>3.0992069560657958E-2</v>
      </c>
      <c r="H531" s="13" t="str">
        <f t="shared" si="26"/>
        <v>Within Budget</v>
      </c>
    </row>
    <row r="532" spans="1:8" x14ac:dyDescent="0.25">
      <c r="A532" s="11">
        <v>45536</v>
      </c>
      <c r="B532" s="10" t="s">
        <v>1774</v>
      </c>
      <c r="C532" s="10" t="s">
        <v>1775</v>
      </c>
      <c r="D532" s="12">
        <v>121968.8</v>
      </c>
      <c r="E532" s="12">
        <v>111364.16</v>
      </c>
      <c r="F532" s="12">
        <f t="shared" si="24"/>
        <v>-10604.64</v>
      </c>
      <c r="G532" s="27">
        <f t="shared" si="25"/>
        <v>-8.6945513934711172E-2</v>
      </c>
      <c r="H532" s="10" t="str">
        <f t="shared" si="26"/>
        <v>Under Budget</v>
      </c>
    </row>
    <row r="533" spans="1:8" x14ac:dyDescent="0.25">
      <c r="A533" s="14">
        <v>45536</v>
      </c>
      <c r="B533" s="13" t="s">
        <v>1786</v>
      </c>
      <c r="C533" s="13" t="s">
        <v>1778</v>
      </c>
      <c r="D533" s="15">
        <v>12254.88</v>
      </c>
      <c r="E533" s="15">
        <v>13013.9</v>
      </c>
      <c r="F533" s="15">
        <f t="shared" si="24"/>
        <v>759.02000000000044</v>
      </c>
      <c r="G533" s="28">
        <f t="shared" si="25"/>
        <v>6.1936142989568274E-2</v>
      </c>
      <c r="H533" s="13" t="str">
        <f t="shared" si="26"/>
        <v>Slightly Over</v>
      </c>
    </row>
    <row r="534" spans="1:8" x14ac:dyDescent="0.25">
      <c r="A534" s="11">
        <v>45536</v>
      </c>
      <c r="B534" s="10" t="s">
        <v>1877</v>
      </c>
      <c r="C534" s="10" t="s">
        <v>1775</v>
      </c>
      <c r="D534" s="12">
        <v>62860.61</v>
      </c>
      <c r="E534" s="12">
        <v>66281.53</v>
      </c>
      <c r="F534" s="12">
        <f t="shared" si="24"/>
        <v>3420.9199999999983</v>
      </c>
      <c r="G534" s="27">
        <f t="shared" si="25"/>
        <v>5.4420725474983431E-2</v>
      </c>
      <c r="H534" s="10" t="str">
        <f t="shared" si="26"/>
        <v>Slightly Over</v>
      </c>
    </row>
    <row r="535" spans="1:8" x14ac:dyDescent="0.25">
      <c r="A535" s="14">
        <v>45536</v>
      </c>
      <c r="B535" s="13" t="s">
        <v>1862</v>
      </c>
      <c r="C535" s="13" t="s">
        <v>1783</v>
      </c>
      <c r="D535" s="15">
        <v>5486.7</v>
      </c>
      <c r="E535" s="15">
        <v>5220.07</v>
      </c>
      <c r="F535" s="15">
        <f t="shared" si="24"/>
        <v>-266.63000000000011</v>
      </c>
      <c r="G535" s="28">
        <f t="shared" si="25"/>
        <v>-4.859569504438007E-2</v>
      </c>
      <c r="H535" s="13" t="str">
        <f t="shared" si="26"/>
        <v>Under Budget</v>
      </c>
    </row>
    <row r="536" spans="1:8" x14ac:dyDescent="0.25">
      <c r="A536" s="11">
        <v>45536</v>
      </c>
      <c r="B536" s="10" t="s">
        <v>1862</v>
      </c>
      <c r="C536" s="10" t="s">
        <v>1780</v>
      </c>
      <c r="D536" s="12">
        <v>3179.16</v>
      </c>
      <c r="E536" s="12">
        <v>3457.27</v>
      </c>
      <c r="F536" s="12">
        <f t="shared" si="24"/>
        <v>278.11000000000013</v>
      </c>
      <c r="G536" s="27">
        <f t="shared" si="25"/>
        <v>8.7479082524943741E-2</v>
      </c>
      <c r="H536" s="10" t="str">
        <f t="shared" si="26"/>
        <v>Slightly Over</v>
      </c>
    </row>
    <row r="537" spans="1:8" x14ac:dyDescent="0.25">
      <c r="A537" s="14">
        <v>45536</v>
      </c>
      <c r="B537" s="13" t="s">
        <v>1818</v>
      </c>
      <c r="C537" s="13" t="s">
        <v>1795</v>
      </c>
      <c r="D537" s="15">
        <v>1996.55</v>
      </c>
      <c r="E537" s="15">
        <v>1881.55</v>
      </c>
      <c r="F537" s="15">
        <f t="shared" si="24"/>
        <v>-115</v>
      </c>
      <c r="G537" s="28">
        <f t="shared" si="25"/>
        <v>-5.759935889409231E-2</v>
      </c>
      <c r="H537" s="13" t="str">
        <f t="shared" si="26"/>
        <v>Under Budget</v>
      </c>
    </row>
    <row r="538" spans="1:8" x14ac:dyDescent="0.25">
      <c r="A538" s="11">
        <v>45536</v>
      </c>
      <c r="B538" s="10" t="s">
        <v>1774</v>
      </c>
      <c r="C538" s="10" t="s">
        <v>1780</v>
      </c>
      <c r="D538" s="12">
        <v>9226.7199999999993</v>
      </c>
      <c r="E538" s="12">
        <v>9621.31</v>
      </c>
      <c r="F538" s="12">
        <f t="shared" si="24"/>
        <v>394.59000000000015</v>
      </c>
      <c r="G538" s="27">
        <f t="shared" si="25"/>
        <v>4.2766010023063468E-2</v>
      </c>
      <c r="H538" s="10" t="str">
        <f t="shared" si="26"/>
        <v>Within Budget</v>
      </c>
    </row>
    <row r="539" spans="1:8" x14ac:dyDescent="0.25">
      <c r="A539" s="14">
        <v>45536</v>
      </c>
      <c r="B539" s="13" t="s">
        <v>1877</v>
      </c>
      <c r="C539" s="13" t="s">
        <v>1795</v>
      </c>
      <c r="D539" s="15">
        <v>3439.55</v>
      </c>
      <c r="E539" s="15">
        <v>3290.16</v>
      </c>
      <c r="F539" s="15">
        <f t="shared" si="24"/>
        <v>-149.39000000000033</v>
      </c>
      <c r="G539" s="28">
        <f t="shared" si="25"/>
        <v>-4.3433007224782404E-2</v>
      </c>
      <c r="H539" s="13" t="str">
        <f t="shared" si="26"/>
        <v>Under Budget</v>
      </c>
    </row>
    <row r="540" spans="1:8" x14ac:dyDescent="0.25">
      <c r="A540" s="11">
        <v>45536</v>
      </c>
      <c r="B540" s="10" t="s">
        <v>1862</v>
      </c>
      <c r="C540" s="10" t="s">
        <v>1797</v>
      </c>
      <c r="D540" s="12">
        <v>2391.96</v>
      </c>
      <c r="E540" s="12">
        <v>2190.3000000000002</v>
      </c>
      <c r="F540" s="12">
        <f t="shared" si="24"/>
        <v>-201.65999999999985</v>
      </c>
      <c r="G540" s="27">
        <f t="shared" si="25"/>
        <v>-8.4307429890131874E-2</v>
      </c>
      <c r="H540" s="10" t="str">
        <f t="shared" si="26"/>
        <v>Under Budget</v>
      </c>
    </row>
    <row r="541" spans="1:8" x14ac:dyDescent="0.25">
      <c r="A541" s="14">
        <v>45536</v>
      </c>
      <c r="B541" s="13" t="s">
        <v>1818</v>
      </c>
      <c r="C541" s="13" t="s">
        <v>1778</v>
      </c>
      <c r="D541" s="15">
        <v>6179.71</v>
      </c>
      <c r="E541" s="15">
        <v>5975.85</v>
      </c>
      <c r="F541" s="15">
        <f t="shared" si="24"/>
        <v>-203.85999999999967</v>
      </c>
      <c r="G541" s="28">
        <f t="shared" si="25"/>
        <v>-3.2988603025060993E-2</v>
      </c>
      <c r="H541" s="13" t="str">
        <f t="shared" si="26"/>
        <v>Under Budget</v>
      </c>
    </row>
    <row r="542" spans="1:8" x14ac:dyDescent="0.25">
      <c r="A542" s="11">
        <v>45536</v>
      </c>
      <c r="B542" s="10" t="s">
        <v>1818</v>
      </c>
      <c r="C542" s="10" t="s">
        <v>1789</v>
      </c>
      <c r="D542" s="12">
        <v>3751.24</v>
      </c>
      <c r="E542" s="12">
        <v>3962.06</v>
      </c>
      <c r="F542" s="12">
        <f t="shared" si="24"/>
        <v>210.82000000000016</v>
      </c>
      <c r="G542" s="27">
        <f t="shared" si="25"/>
        <v>5.6200083172497674E-2</v>
      </c>
      <c r="H542" s="10" t="str">
        <f t="shared" si="26"/>
        <v>Slightly Over</v>
      </c>
    </row>
    <row r="543" spans="1:8" x14ac:dyDescent="0.25">
      <c r="A543" s="14">
        <v>45536</v>
      </c>
      <c r="B543" s="13" t="s">
        <v>1774</v>
      </c>
      <c r="C543" s="13" t="s">
        <v>1797</v>
      </c>
      <c r="D543" s="15">
        <v>4915.08</v>
      </c>
      <c r="E543" s="15">
        <v>5396.34</v>
      </c>
      <c r="F543" s="15">
        <f t="shared" si="24"/>
        <v>481.26000000000022</v>
      </c>
      <c r="G543" s="28">
        <f t="shared" si="25"/>
        <v>9.7914988158890645E-2</v>
      </c>
      <c r="H543" s="13" t="str">
        <f t="shared" si="26"/>
        <v>Slightly Over</v>
      </c>
    </row>
    <row r="544" spans="1:8" x14ac:dyDescent="0.25">
      <c r="A544" s="11">
        <v>45536</v>
      </c>
      <c r="B544" s="10" t="s">
        <v>1774</v>
      </c>
      <c r="C544" s="10" t="s">
        <v>1783</v>
      </c>
      <c r="D544" s="12">
        <v>15905.91</v>
      </c>
      <c r="E544" s="12">
        <v>17482.57</v>
      </c>
      <c r="F544" s="12">
        <f t="shared" si="24"/>
        <v>1576.6599999999999</v>
      </c>
      <c r="G544" s="27">
        <f t="shared" si="25"/>
        <v>9.9124162025310075E-2</v>
      </c>
      <c r="H544" s="10" t="str">
        <f t="shared" si="26"/>
        <v>Slightly Over</v>
      </c>
    </row>
    <row r="545" spans="1:8" x14ac:dyDescent="0.25">
      <c r="A545" s="14">
        <v>45536</v>
      </c>
      <c r="B545" s="13" t="s">
        <v>1818</v>
      </c>
      <c r="C545" s="13" t="s">
        <v>1783</v>
      </c>
      <c r="D545" s="15">
        <v>5279.83</v>
      </c>
      <c r="E545" s="15">
        <v>5741.82</v>
      </c>
      <c r="F545" s="15">
        <f t="shared" si="24"/>
        <v>461.98999999999978</v>
      </c>
      <c r="G545" s="28">
        <f t="shared" si="25"/>
        <v>8.7500923325182778E-2</v>
      </c>
      <c r="H545" s="13" t="str">
        <f t="shared" si="26"/>
        <v>Slightly Over</v>
      </c>
    </row>
    <row r="546" spans="1:8" x14ac:dyDescent="0.25">
      <c r="A546" s="11">
        <v>45536</v>
      </c>
      <c r="B546" s="10" t="s">
        <v>1786</v>
      </c>
      <c r="C546" s="10" t="s">
        <v>1775</v>
      </c>
      <c r="D546" s="12">
        <v>80219.259999999995</v>
      </c>
      <c r="E546" s="12">
        <v>78067.72</v>
      </c>
      <c r="F546" s="12">
        <f t="shared" si="24"/>
        <v>-2151.5399999999936</v>
      </c>
      <c r="G546" s="27">
        <f t="shared" si="25"/>
        <v>-2.6820741053956289E-2</v>
      </c>
      <c r="H546" s="10" t="str">
        <f t="shared" si="26"/>
        <v>Under Budget</v>
      </c>
    </row>
    <row r="547" spans="1:8" x14ac:dyDescent="0.25">
      <c r="A547" s="14">
        <v>45536</v>
      </c>
      <c r="B547" s="13" t="s">
        <v>1792</v>
      </c>
      <c r="C547" s="13" t="s">
        <v>1786</v>
      </c>
      <c r="D547" s="15">
        <v>11369.88</v>
      </c>
      <c r="E547" s="15">
        <v>11642.22</v>
      </c>
      <c r="F547" s="15">
        <f t="shared" si="24"/>
        <v>272.34000000000015</v>
      </c>
      <c r="G547" s="28">
        <f t="shared" si="25"/>
        <v>2.3952759395877543E-2</v>
      </c>
      <c r="H547" s="13" t="str">
        <f t="shared" si="26"/>
        <v>Within Budget</v>
      </c>
    </row>
    <row r="548" spans="1:8" x14ac:dyDescent="0.25">
      <c r="A548" s="11">
        <v>45536</v>
      </c>
      <c r="B548" s="10" t="s">
        <v>1877</v>
      </c>
      <c r="C548" s="10" t="s">
        <v>1786</v>
      </c>
      <c r="D548" s="12">
        <v>10088.620000000001</v>
      </c>
      <c r="E548" s="12">
        <v>10580.8</v>
      </c>
      <c r="F548" s="12">
        <f t="shared" si="24"/>
        <v>492.17999999999847</v>
      </c>
      <c r="G548" s="27">
        <f t="shared" si="25"/>
        <v>4.8785661468069806E-2</v>
      </c>
      <c r="H548" s="10" t="str">
        <f t="shared" si="26"/>
        <v>Within Budget</v>
      </c>
    </row>
    <row r="549" spans="1:8" x14ac:dyDescent="0.25">
      <c r="A549" s="14">
        <v>45536</v>
      </c>
      <c r="B549" s="13" t="s">
        <v>1818</v>
      </c>
      <c r="C549" s="13" t="s">
        <v>1775</v>
      </c>
      <c r="D549" s="15">
        <v>34281.25</v>
      </c>
      <c r="E549" s="15">
        <v>36152.22</v>
      </c>
      <c r="F549" s="15">
        <f t="shared" si="24"/>
        <v>1870.9700000000012</v>
      </c>
      <c r="G549" s="28">
        <f t="shared" si="25"/>
        <v>5.4577064721969042E-2</v>
      </c>
      <c r="H549" s="13" t="str">
        <f t="shared" si="26"/>
        <v>Slightly Over</v>
      </c>
    </row>
    <row r="550" spans="1:8" x14ac:dyDescent="0.25">
      <c r="A550" s="11">
        <v>45536</v>
      </c>
      <c r="B550" s="10" t="s">
        <v>1786</v>
      </c>
      <c r="C550" s="10" t="s">
        <v>1797</v>
      </c>
      <c r="D550" s="12">
        <v>4116.1400000000003</v>
      </c>
      <c r="E550" s="12">
        <v>3712.62</v>
      </c>
      <c r="F550" s="12">
        <f t="shared" si="24"/>
        <v>-403.52000000000044</v>
      </c>
      <c r="G550" s="27">
        <f t="shared" si="25"/>
        <v>-9.8033594581331152E-2</v>
      </c>
      <c r="H550" s="10" t="str">
        <f t="shared" si="26"/>
        <v>Under Budget</v>
      </c>
    </row>
    <row r="551" spans="1:8" x14ac:dyDescent="0.25">
      <c r="A551" s="14">
        <v>45536</v>
      </c>
      <c r="B551" s="13" t="s">
        <v>1786</v>
      </c>
      <c r="C551" s="13" t="s">
        <v>1780</v>
      </c>
      <c r="D551" s="15">
        <v>5081.6400000000003</v>
      </c>
      <c r="E551" s="15">
        <v>5486.9</v>
      </c>
      <c r="F551" s="15">
        <f t="shared" si="24"/>
        <v>405.25999999999931</v>
      </c>
      <c r="G551" s="28">
        <f t="shared" si="25"/>
        <v>7.9749844538377232E-2</v>
      </c>
      <c r="H551" s="13" t="str">
        <f t="shared" si="26"/>
        <v>Slightly Over</v>
      </c>
    </row>
    <row r="552" spans="1:8" x14ac:dyDescent="0.25">
      <c r="A552" s="11">
        <v>45536</v>
      </c>
      <c r="B552" s="10" t="s">
        <v>1877</v>
      </c>
      <c r="C552" s="10" t="s">
        <v>1789</v>
      </c>
      <c r="D552" s="12">
        <v>6334.27</v>
      </c>
      <c r="E552" s="12">
        <v>6550.03</v>
      </c>
      <c r="F552" s="12">
        <f t="shared" si="24"/>
        <v>215.75999999999931</v>
      </c>
      <c r="G552" s="27">
        <f t="shared" si="25"/>
        <v>3.4062330781605345E-2</v>
      </c>
      <c r="H552" s="10" t="str">
        <f t="shared" si="26"/>
        <v>Within Budget</v>
      </c>
    </row>
    <row r="553" spans="1:8" x14ac:dyDescent="0.25">
      <c r="A553" s="14">
        <v>45536</v>
      </c>
      <c r="B553" s="13" t="s">
        <v>1774</v>
      </c>
      <c r="C553" s="13" t="s">
        <v>1786</v>
      </c>
      <c r="D553" s="15">
        <v>13274.85</v>
      </c>
      <c r="E553" s="15">
        <v>13225.58</v>
      </c>
      <c r="F553" s="15">
        <f t="shared" si="24"/>
        <v>-49.270000000000437</v>
      </c>
      <c r="G553" s="28">
        <f t="shared" si="25"/>
        <v>-3.7115296971340869E-3</v>
      </c>
      <c r="H553" s="13" t="str">
        <f t="shared" si="26"/>
        <v>Under Budget</v>
      </c>
    </row>
    <row r="554" spans="1:8" x14ac:dyDescent="0.25">
      <c r="A554" s="11">
        <v>45536</v>
      </c>
      <c r="B554" s="10" t="s">
        <v>1774</v>
      </c>
      <c r="C554" s="10" t="s">
        <v>1795</v>
      </c>
      <c r="D554" s="12">
        <v>4304.88</v>
      </c>
      <c r="E554" s="12">
        <v>4782.67</v>
      </c>
      <c r="F554" s="12">
        <f t="shared" si="24"/>
        <v>477.78999999999996</v>
      </c>
      <c r="G554" s="27">
        <f t="shared" si="25"/>
        <v>0.11098799501960564</v>
      </c>
      <c r="H554" s="10" t="str">
        <f t="shared" si="26"/>
        <v>Slightly Over</v>
      </c>
    </row>
    <row r="555" spans="1:8" x14ac:dyDescent="0.25">
      <c r="A555" s="14">
        <v>45536</v>
      </c>
      <c r="B555" s="13" t="s">
        <v>1792</v>
      </c>
      <c r="C555" s="13" t="s">
        <v>1797</v>
      </c>
      <c r="D555" s="15">
        <v>4995.37</v>
      </c>
      <c r="E555" s="15">
        <v>4530.5</v>
      </c>
      <c r="F555" s="15">
        <f t="shared" si="24"/>
        <v>-464.86999999999989</v>
      </c>
      <c r="G555" s="28">
        <f t="shared" si="25"/>
        <v>-9.3060173720865502E-2</v>
      </c>
      <c r="H555" s="13" t="str">
        <f t="shared" si="26"/>
        <v>Under Budget</v>
      </c>
    </row>
    <row r="556" spans="1:8" x14ac:dyDescent="0.25">
      <c r="A556" s="11">
        <v>45536</v>
      </c>
      <c r="B556" s="10" t="s">
        <v>1792</v>
      </c>
      <c r="C556" s="10" t="s">
        <v>1783</v>
      </c>
      <c r="D556" s="12">
        <v>11807.62</v>
      </c>
      <c r="E556" s="12">
        <v>12809.28</v>
      </c>
      <c r="F556" s="12">
        <f t="shared" si="24"/>
        <v>1001.6599999999999</v>
      </c>
      <c r="G556" s="27">
        <f t="shared" si="25"/>
        <v>8.4831659555439601E-2</v>
      </c>
      <c r="H556" s="10" t="str">
        <f t="shared" si="26"/>
        <v>Slightly Over</v>
      </c>
    </row>
    <row r="557" spans="1:8" x14ac:dyDescent="0.25">
      <c r="A557" s="14">
        <v>45536</v>
      </c>
      <c r="B557" s="13" t="s">
        <v>1774</v>
      </c>
      <c r="C557" s="13" t="s">
        <v>1789</v>
      </c>
      <c r="D557" s="15">
        <v>10060.42</v>
      </c>
      <c r="E557" s="15">
        <v>9580.0400000000009</v>
      </c>
      <c r="F557" s="15">
        <f t="shared" si="24"/>
        <v>-480.3799999999992</v>
      </c>
      <c r="G557" s="28">
        <f t="shared" si="25"/>
        <v>-4.7749497535888086E-2</v>
      </c>
      <c r="H557" s="13" t="str">
        <f t="shared" si="26"/>
        <v>Under Budget</v>
      </c>
    </row>
    <row r="558" spans="1:8" x14ac:dyDescent="0.25">
      <c r="A558" s="11">
        <v>45536</v>
      </c>
      <c r="B558" s="10" t="s">
        <v>1877</v>
      </c>
      <c r="C558" s="10" t="s">
        <v>1797</v>
      </c>
      <c r="D558" s="12">
        <v>4174.04</v>
      </c>
      <c r="E558" s="12">
        <v>4019.88</v>
      </c>
      <c r="F558" s="12">
        <f t="shared" si="24"/>
        <v>-154.15999999999985</v>
      </c>
      <c r="G558" s="27">
        <f t="shared" si="25"/>
        <v>-3.6933043286599999E-2</v>
      </c>
      <c r="H558" s="10" t="str">
        <f t="shared" si="26"/>
        <v>Under Budget</v>
      </c>
    </row>
    <row r="559" spans="1:8" x14ac:dyDescent="0.25">
      <c r="A559" s="14">
        <v>45536</v>
      </c>
      <c r="B559" s="13" t="s">
        <v>1877</v>
      </c>
      <c r="C559" s="13" t="s">
        <v>1783</v>
      </c>
      <c r="D559" s="15">
        <v>10268.56</v>
      </c>
      <c r="E559" s="15">
        <v>9525.6200000000008</v>
      </c>
      <c r="F559" s="15">
        <f t="shared" si="24"/>
        <v>-742.93999999999869</v>
      </c>
      <c r="G559" s="28">
        <f t="shared" si="25"/>
        <v>-7.2350943072835794E-2</v>
      </c>
      <c r="H559" s="13" t="str">
        <f t="shared" si="26"/>
        <v>Under Budget</v>
      </c>
    </row>
    <row r="560" spans="1:8" x14ac:dyDescent="0.25">
      <c r="A560" s="11">
        <v>45536</v>
      </c>
      <c r="B560" s="10" t="s">
        <v>1799</v>
      </c>
      <c r="C560" s="10" t="s">
        <v>1783</v>
      </c>
      <c r="D560" s="12">
        <v>7651.14</v>
      </c>
      <c r="E560" s="12">
        <v>7333.56</v>
      </c>
      <c r="F560" s="12">
        <f t="shared" si="24"/>
        <v>-317.57999999999993</v>
      </c>
      <c r="G560" s="27">
        <f t="shared" si="25"/>
        <v>-4.1507540052854855E-2</v>
      </c>
      <c r="H560" s="10" t="str">
        <f t="shared" si="26"/>
        <v>Under Budget</v>
      </c>
    </row>
    <row r="561" spans="1:8" x14ac:dyDescent="0.25">
      <c r="A561" s="14">
        <v>45536</v>
      </c>
      <c r="B561" s="13" t="s">
        <v>1862</v>
      </c>
      <c r="C561" s="13" t="s">
        <v>1795</v>
      </c>
      <c r="D561" s="15">
        <v>2629.41</v>
      </c>
      <c r="E561" s="15">
        <v>2459.08</v>
      </c>
      <c r="F561" s="15">
        <f t="shared" si="24"/>
        <v>-170.32999999999993</v>
      </c>
      <c r="G561" s="28">
        <f t="shared" si="25"/>
        <v>-6.4778790679277831E-2</v>
      </c>
      <c r="H561" s="13" t="str">
        <f t="shared" si="26"/>
        <v>Under Budget</v>
      </c>
    </row>
    <row r="562" spans="1:8" x14ac:dyDescent="0.25">
      <c r="A562" s="11">
        <v>45536</v>
      </c>
      <c r="B562" s="10" t="s">
        <v>1877</v>
      </c>
      <c r="C562" s="10" t="s">
        <v>1792</v>
      </c>
      <c r="D562" s="12">
        <v>9570.4599999999991</v>
      </c>
      <c r="E562" s="12">
        <v>9641.08</v>
      </c>
      <c r="F562" s="12">
        <f t="shared" si="24"/>
        <v>70.6200000000008</v>
      </c>
      <c r="G562" s="27">
        <f t="shared" si="25"/>
        <v>7.3789556614834405E-3</v>
      </c>
      <c r="H562" s="10" t="str">
        <f t="shared" si="26"/>
        <v>Within Budget</v>
      </c>
    </row>
    <row r="563" spans="1:8" x14ac:dyDescent="0.25">
      <c r="A563" s="14">
        <v>45536</v>
      </c>
      <c r="B563" s="13" t="s">
        <v>1792</v>
      </c>
      <c r="C563" s="13" t="s">
        <v>1780</v>
      </c>
      <c r="D563" s="15">
        <v>8439.0300000000007</v>
      </c>
      <c r="E563" s="15">
        <v>8376.08</v>
      </c>
      <c r="F563" s="15">
        <f t="shared" si="24"/>
        <v>-62.950000000000728</v>
      </c>
      <c r="G563" s="28">
        <f t="shared" si="25"/>
        <v>-7.459388105031114E-3</v>
      </c>
      <c r="H563" s="13" t="str">
        <f t="shared" si="26"/>
        <v>Under Budget</v>
      </c>
    </row>
    <row r="564" spans="1:8" x14ac:dyDescent="0.25">
      <c r="A564" s="11">
        <v>45536</v>
      </c>
      <c r="B564" s="10" t="s">
        <v>1862</v>
      </c>
      <c r="C564" s="10" t="s">
        <v>1786</v>
      </c>
      <c r="D564" s="12">
        <v>7389.51</v>
      </c>
      <c r="E564" s="12">
        <v>7008.49</v>
      </c>
      <c r="F564" s="12">
        <f t="shared" si="24"/>
        <v>-381.02000000000044</v>
      </c>
      <c r="G564" s="27">
        <f t="shared" si="25"/>
        <v>-5.1562282208157298E-2</v>
      </c>
      <c r="H564" s="10" t="str">
        <f t="shared" si="26"/>
        <v>Under Budget</v>
      </c>
    </row>
    <row r="565" spans="1:8" x14ac:dyDescent="0.25">
      <c r="A565" s="14">
        <v>45536</v>
      </c>
      <c r="B565" s="13" t="s">
        <v>1786</v>
      </c>
      <c r="C565" s="13" t="s">
        <v>1792</v>
      </c>
      <c r="D565" s="15">
        <v>10502.54</v>
      </c>
      <c r="E565" s="15">
        <v>10245.84</v>
      </c>
      <c r="F565" s="15">
        <f t="shared" si="24"/>
        <v>-256.70000000000073</v>
      </c>
      <c r="G565" s="28">
        <f t="shared" si="25"/>
        <v>-2.4441706482431935E-2</v>
      </c>
      <c r="H565" s="13" t="str">
        <f t="shared" si="26"/>
        <v>Under Budget</v>
      </c>
    </row>
    <row r="566" spans="1:8" x14ac:dyDescent="0.25">
      <c r="A566" s="11">
        <v>45536</v>
      </c>
      <c r="B566" s="10" t="s">
        <v>1799</v>
      </c>
      <c r="C566" s="10" t="s">
        <v>1786</v>
      </c>
      <c r="D566" s="12">
        <v>6726.6</v>
      </c>
      <c r="E566" s="12">
        <v>6643.3</v>
      </c>
      <c r="F566" s="12">
        <f t="shared" si="24"/>
        <v>-83.300000000000182</v>
      </c>
      <c r="G566" s="27">
        <f t="shared" si="25"/>
        <v>-1.2383670799512411E-2</v>
      </c>
      <c r="H566" s="10" t="str">
        <f t="shared" si="26"/>
        <v>Under Budget</v>
      </c>
    </row>
    <row r="567" spans="1:8" x14ac:dyDescent="0.25">
      <c r="A567" s="14">
        <v>45536</v>
      </c>
      <c r="B567" s="13" t="s">
        <v>1799</v>
      </c>
      <c r="C567" s="13" t="s">
        <v>1792</v>
      </c>
      <c r="D567" s="15">
        <v>6872.8</v>
      </c>
      <c r="E567" s="15">
        <v>7271.09</v>
      </c>
      <c r="F567" s="15">
        <f t="shared" si="24"/>
        <v>398.28999999999996</v>
      </c>
      <c r="G567" s="28">
        <f t="shared" si="25"/>
        <v>5.7951635432429281E-2</v>
      </c>
      <c r="H567" s="13" t="str">
        <f t="shared" si="26"/>
        <v>Slightly Over</v>
      </c>
    </row>
    <row r="568" spans="1:8" x14ac:dyDescent="0.25">
      <c r="A568" s="11">
        <v>45536</v>
      </c>
      <c r="B568" s="10" t="s">
        <v>1799</v>
      </c>
      <c r="C568" s="10" t="s">
        <v>1780</v>
      </c>
      <c r="D568" s="12">
        <v>3673.76</v>
      </c>
      <c r="E568" s="12">
        <v>3839.7</v>
      </c>
      <c r="F568" s="12">
        <f t="shared" si="24"/>
        <v>165.9399999999996</v>
      </c>
      <c r="G568" s="27">
        <f t="shared" si="25"/>
        <v>4.516898218718686E-2</v>
      </c>
      <c r="H568" s="10" t="str">
        <f t="shared" si="26"/>
        <v>Within Budget</v>
      </c>
    </row>
    <row r="569" spans="1:8" x14ac:dyDescent="0.25">
      <c r="A569" s="14">
        <v>45566</v>
      </c>
      <c r="B569" s="13" t="s">
        <v>1862</v>
      </c>
      <c r="C569" s="13" t="s">
        <v>1778</v>
      </c>
      <c r="D569" s="15">
        <v>6429.09</v>
      </c>
      <c r="E569" s="15">
        <v>6567.87</v>
      </c>
      <c r="F569" s="15">
        <f t="shared" si="24"/>
        <v>138.77999999999975</v>
      </c>
      <c r="G569" s="28">
        <f t="shared" si="25"/>
        <v>2.1586258708464146E-2</v>
      </c>
      <c r="H569" s="13" t="str">
        <f t="shared" si="26"/>
        <v>Within Budget</v>
      </c>
    </row>
    <row r="570" spans="1:8" x14ac:dyDescent="0.25">
      <c r="A570" s="11">
        <v>45566</v>
      </c>
      <c r="B570" s="10" t="s">
        <v>1818</v>
      </c>
      <c r="C570" s="10" t="s">
        <v>1778</v>
      </c>
      <c r="D570" s="12">
        <v>6555.41</v>
      </c>
      <c r="E570" s="12">
        <v>7267.3</v>
      </c>
      <c r="F570" s="12">
        <f t="shared" si="24"/>
        <v>711.89000000000033</v>
      </c>
      <c r="G570" s="27">
        <f t="shared" si="25"/>
        <v>0.10859580102541265</v>
      </c>
      <c r="H570" s="10" t="str">
        <f t="shared" si="26"/>
        <v>Slightly Over</v>
      </c>
    </row>
    <row r="571" spans="1:8" x14ac:dyDescent="0.25">
      <c r="A571" s="14">
        <v>45566</v>
      </c>
      <c r="B571" s="13" t="s">
        <v>1862</v>
      </c>
      <c r="C571" s="13" t="s">
        <v>1797</v>
      </c>
      <c r="D571" s="15">
        <v>2556.14</v>
      </c>
      <c r="E571" s="15">
        <v>2577.2199999999998</v>
      </c>
      <c r="F571" s="15">
        <f t="shared" si="24"/>
        <v>21.079999999999927</v>
      </c>
      <c r="G571" s="28">
        <f t="shared" si="25"/>
        <v>8.246809642664301E-3</v>
      </c>
      <c r="H571" s="13" t="str">
        <f t="shared" si="26"/>
        <v>Within Budget</v>
      </c>
    </row>
    <row r="572" spans="1:8" x14ac:dyDescent="0.25">
      <c r="A572" s="11">
        <v>45566</v>
      </c>
      <c r="B572" s="10" t="s">
        <v>1862</v>
      </c>
      <c r="C572" s="10" t="s">
        <v>1783</v>
      </c>
      <c r="D572" s="12">
        <v>4946.22</v>
      </c>
      <c r="E572" s="12">
        <v>5492.08</v>
      </c>
      <c r="F572" s="12">
        <f t="shared" si="24"/>
        <v>545.85999999999967</v>
      </c>
      <c r="G572" s="27">
        <f t="shared" si="25"/>
        <v>0.11035902163672454</v>
      </c>
      <c r="H572" s="10" t="str">
        <f t="shared" si="26"/>
        <v>Slightly Over</v>
      </c>
    </row>
    <row r="573" spans="1:8" x14ac:dyDescent="0.25">
      <c r="A573" s="14">
        <v>45566</v>
      </c>
      <c r="B573" s="13" t="s">
        <v>1774</v>
      </c>
      <c r="C573" s="13" t="s">
        <v>1778</v>
      </c>
      <c r="D573" s="15">
        <v>18833.060000000001</v>
      </c>
      <c r="E573" s="15">
        <v>18386.21</v>
      </c>
      <c r="F573" s="15">
        <f t="shared" si="24"/>
        <v>-446.85000000000218</v>
      </c>
      <c r="G573" s="28">
        <f t="shared" si="25"/>
        <v>-2.372689302747414E-2</v>
      </c>
      <c r="H573" s="13" t="str">
        <f t="shared" si="26"/>
        <v>Under Budget</v>
      </c>
    </row>
    <row r="574" spans="1:8" x14ac:dyDescent="0.25">
      <c r="A574" s="11">
        <v>45566</v>
      </c>
      <c r="B574" s="10" t="s">
        <v>1877</v>
      </c>
      <c r="C574" s="10" t="s">
        <v>1797</v>
      </c>
      <c r="D574" s="12">
        <v>3900.22</v>
      </c>
      <c r="E574" s="12">
        <v>3697.29</v>
      </c>
      <c r="F574" s="12">
        <f t="shared" si="24"/>
        <v>-202.92999999999984</v>
      </c>
      <c r="G574" s="27">
        <f t="shared" si="25"/>
        <v>-5.2030398285224898E-2</v>
      </c>
      <c r="H574" s="10" t="str">
        <f t="shared" si="26"/>
        <v>Under Budget</v>
      </c>
    </row>
    <row r="575" spans="1:8" x14ac:dyDescent="0.25">
      <c r="A575" s="14">
        <v>45566</v>
      </c>
      <c r="B575" s="13" t="s">
        <v>1818</v>
      </c>
      <c r="C575" s="13" t="s">
        <v>1789</v>
      </c>
      <c r="D575" s="15">
        <v>3305.08</v>
      </c>
      <c r="E575" s="15">
        <v>3228.65</v>
      </c>
      <c r="F575" s="15">
        <f t="shared" si="24"/>
        <v>-76.429999999999836</v>
      </c>
      <c r="G575" s="28">
        <f t="shared" si="25"/>
        <v>-2.3125007564113377E-2</v>
      </c>
      <c r="H575" s="13" t="str">
        <f t="shared" si="26"/>
        <v>Under Budget</v>
      </c>
    </row>
    <row r="576" spans="1:8" x14ac:dyDescent="0.25">
      <c r="A576" s="11">
        <v>45566</v>
      </c>
      <c r="B576" s="10" t="s">
        <v>1774</v>
      </c>
      <c r="C576" s="10" t="s">
        <v>1795</v>
      </c>
      <c r="D576" s="12">
        <v>6457.01</v>
      </c>
      <c r="E576" s="12">
        <v>6134.49</v>
      </c>
      <c r="F576" s="12">
        <f t="shared" si="24"/>
        <v>-322.52000000000044</v>
      </c>
      <c r="G576" s="27">
        <f t="shared" si="25"/>
        <v>-4.9948815318545337E-2</v>
      </c>
      <c r="H576" s="10" t="str">
        <f t="shared" si="26"/>
        <v>Under Budget</v>
      </c>
    </row>
    <row r="577" spans="1:8" x14ac:dyDescent="0.25">
      <c r="A577" s="14">
        <v>45566</v>
      </c>
      <c r="B577" s="13" t="s">
        <v>1818</v>
      </c>
      <c r="C577" s="13" t="s">
        <v>1783</v>
      </c>
      <c r="D577" s="15">
        <v>5095.93</v>
      </c>
      <c r="E577" s="15">
        <v>5662.13</v>
      </c>
      <c r="F577" s="15">
        <f t="shared" si="24"/>
        <v>566.19999999999982</v>
      </c>
      <c r="G577" s="28">
        <f t="shared" si="25"/>
        <v>0.11110827660505536</v>
      </c>
      <c r="H577" s="13" t="str">
        <f t="shared" si="26"/>
        <v>Slightly Over</v>
      </c>
    </row>
    <row r="578" spans="1:8" x14ac:dyDescent="0.25">
      <c r="A578" s="11">
        <v>45566</v>
      </c>
      <c r="B578" s="10" t="s">
        <v>1799</v>
      </c>
      <c r="C578" s="10" t="s">
        <v>1789</v>
      </c>
      <c r="D578" s="12">
        <v>4048.52</v>
      </c>
      <c r="E578" s="12">
        <v>4433.93</v>
      </c>
      <c r="F578" s="12">
        <f t="shared" ref="F578:F641" si="27">E578-D578</f>
        <v>385.41000000000031</v>
      </c>
      <c r="G578" s="27">
        <f t="shared" ref="G578:G641" si="28">IFERROR(F578/D578,0)</f>
        <v>9.5197751277009954E-2</v>
      </c>
      <c r="H578" s="10" t="str">
        <f t="shared" ref="H578:H641" si="29">IF(G578&lt;=0,"Under Budget",IF(G578&lt;=5%,"Within Budget",IF(G578&lt;=15%,"Slightly Over","Significantly Over")))</f>
        <v>Slightly Over</v>
      </c>
    </row>
    <row r="579" spans="1:8" x14ac:dyDescent="0.25">
      <c r="A579" s="14">
        <v>45566</v>
      </c>
      <c r="B579" s="13" t="s">
        <v>1799</v>
      </c>
      <c r="C579" s="13" t="s">
        <v>1775</v>
      </c>
      <c r="D579" s="15">
        <v>35794.25</v>
      </c>
      <c r="E579" s="15">
        <v>33971.29</v>
      </c>
      <c r="F579" s="15">
        <f t="shared" si="27"/>
        <v>-1822.9599999999991</v>
      </c>
      <c r="G579" s="28">
        <f t="shared" si="28"/>
        <v>-5.0928850304168945E-2</v>
      </c>
      <c r="H579" s="13" t="str">
        <f t="shared" si="29"/>
        <v>Under Budget</v>
      </c>
    </row>
    <row r="580" spans="1:8" x14ac:dyDescent="0.25">
      <c r="A580" s="11">
        <v>45566</v>
      </c>
      <c r="B580" s="10" t="s">
        <v>1792</v>
      </c>
      <c r="C580" s="10" t="s">
        <v>1792</v>
      </c>
      <c r="D580" s="12">
        <v>12751.37</v>
      </c>
      <c r="E580" s="12">
        <v>11843.69</v>
      </c>
      <c r="F580" s="12">
        <f t="shared" si="27"/>
        <v>-907.68000000000029</v>
      </c>
      <c r="G580" s="27">
        <f t="shared" si="28"/>
        <v>-7.1182939558651362E-2</v>
      </c>
      <c r="H580" s="10" t="str">
        <f t="shared" si="29"/>
        <v>Under Budget</v>
      </c>
    </row>
    <row r="581" spans="1:8" x14ac:dyDescent="0.25">
      <c r="A581" s="14">
        <v>45566</v>
      </c>
      <c r="B581" s="13" t="s">
        <v>1862</v>
      </c>
      <c r="C581" s="13" t="s">
        <v>1795</v>
      </c>
      <c r="D581" s="15">
        <v>2162.92</v>
      </c>
      <c r="E581" s="15">
        <v>2044.55</v>
      </c>
      <c r="F581" s="15">
        <f t="shared" si="27"/>
        <v>-118.37000000000012</v>
      </c>
      <c r="G581" s="28">
        <f t="shared" si="28"/>
        <v>-5.4726943206406205E-2</v>
      </c>
      <c r="H581" s="13" t="str">
        <f t="shared" si="29"/>
        <v>Under Budget</v>
      </c>
    </row>
    <row r="582" spans="1:8" x14ac:dyDescent="0.25">
      <c r="A582" s="11">
        <v>45566</v>
      </c>
      <c r="B582" s="10" t="s">
        <v>1774</v>
      </c>
      <c r="C582" s="10" t="s">
        <v>1792</v>
      </c>
      <c r="D582" s="12">
        <v>16580.990000000002</v>
      </c>
      <c r="E582" s="12">
        <v>15853.89</v>
      </c>
      <c r="F582" s="12">
        <f t="shared" si="27"/>
        <v>-727.10000000000218</v>
      </c>
      <c r="G582" s="27">
        <f t="shared" si="28"/>
        <v>-4.385142262313662E-2</v>
      </c>
      <c r="H582" s="10" t="str">
        <f t="shared" si="29"/>
        <v>Under Budget</v>
      </c>
    </row>
    <row r="583" spans="1:8" x14ac:dyDescent="0.25">
      <c r="A583" s="14">
        <v>45566</v>
      </c>
      <c r="B583" s="13" t="s">
        <v>1792</v>
      </c>
      <c r="C583" s="13" t="s">
        <v>1795</v>
      </c>
      <c r="D583" s="15">
        <v>5576.11</v>
      </c>
      <c r="E583" s="15">
        <v>5282.29</v>
      </c>
      <c r="F583" s="15">
        <f t="shared" si="27"/>
        <v>-293.81999999999971</v>
      </c>
      <c r="G583" s="28">
        <f t="shared" si="28"/>
        <v>-5.2692647741884528E-2</v>
      </c>
      <c r="H583" s="13" t="str">
        <f t="shared" si="29"/>
        <v>Under Budget</v>
      </c>
    </row>
    <row r="584" spans="1:8" x14ac:dyDescent="0.25">
      <c r="A584" s="11">
        <v>45566</v>
      </c>
      <c r="B584" s="10" t="s">
        <v>1786</v>
      </c>
      <c r="C584" s="10" t="s">
        <v>1789</v>
      </c>
      <c r="D584" s="12">
        <v>7069.21</v>
      </c>
      <c r="E584" s="12">
        <v>6652.06</v>
      </c>
      <c r="F584" s="12">
        <f t="shared" si="27"/>
        <v>-417.14999999999964</v>
      </c>
      <c r="G584" s="27">
        <f t="shared" si="28"/>
        <v>-5.9009422552166312E-2</v>
      </c>
      <c r="H584" s="10" t="str">
        <f t="shared" si="29"/>
        <v>Under Budget</v>
      </c>
    </row>
    <row r="585" spans="1:8" x14ac:dyDescent="0.25">
      <c r="A585" s="14">
        <v>45566</v>
      </c>
      <c r="B585" s="13" t="s">
        <v>1792</v>
      </c>
      <c r="C585" s="13" t="s">
        <v>1797</v>
      </c>
      <c r="D585" s="15">
        <v>5845.83</v>
      </c>
      <c r="E585" s="15">
        <v>5518.25</v>
      </c>
      <c r="F585" s="15">
        <f t="shared" si="27"/>
        <v>-327.57999999999993</v>
      </c>
      <c r="G585" s="28">
        <f t="shared" si="28"/>
        <v>-5.6036525181197526E-2</v>
      </c>
      <c r="H585" s="13" t="str">
        <f t="shared" si="29"/>
        <v>Under Budget</v>
      </c>
    </row>
    <row r="586" spans="1:8" x14ac:dyDescent="0.25">
      <c r="A586" s="11">
        <v>45566</v>
      </c>
      <c r="B586" s="10" t="s">
        <v>1799</v>
      </c>
      <c r="C586" s="10" t="s">
        <v>1783</v>
      </c>
      <c r="D586" s="12">
        <v>6141.82</v>
      </c>
      <c r="E586" s="12">
        <v>5781.29</v>
      </c>
      <c r="F586" s="12">
        <f t="shared" si="27"/>
        <v>-360.52999999999975</v>
      </c>
      <c r="G586" s="27">
        <f t="shared" si="28"/>
        <v>-5.8700841118756293E-2</v>
      </c>
      <c r="H586" s="10" t="str">
        <f t="shared" si="29"/>
        <v>Under Budget</v>
      </c>
    </row>
    <row r="587" spans="1:8" x14ac:dyDescent="0.25">
      <c r="A587" s="14">
        <v>45566</v>
      </c>
      <c r="B587" s="13" t="s">
        <v>1786</v>
      </c>
      <c r="C587" s="13" t="s">
        <v>1797</v>
      </c>
      <c r="D587" s="15">
        <v>3351.64</v>
      </c>
      <c r="E587" s="15">
        <v>3657.86</v>
      </c>
      <c r="F587" s="15">
        <f t="shared" si="27"/>
        <v>306.22000000000025</v>
      </c>
      <c r="G587" s="28">
        <f t="shared" si="28"/>
        <v>9.1364227661682118E-2</v>
      </c>
      <c r="H587" s="13" t="str">
        <f t="shared" si="29"/>
        <v>Slightly Over</v>
      </c>
    </row>
    <row r="588" spans="1:8" x14ac:dyDescent="0.25">
      <c r="A588" s="11">
        <v>45566</v>
      </c>
      <c r="B588" s="10" t="s">
        <v>1792</v>
      </c>
      <c r="C588" s="10" t="s">
        <v>1786</v>
      </c>
      <c r="D588" s="12">
        <v>10096.67</v>
      </c>
      <c r="E588" s="12">
        <v>11047.66</v>
      </c>
      <c r="F588" s="12">
        <f t="shared" si="27"/>
        <v>950.98999999999978</v>
      </c>
      <c r="G588" s="27">
        <f t="shared" si="28"/>
        <v>9.4188479964186195E-2</v>
      </c>
      <c r="H588" s="10" t="str">
        <f t="shared" si="29"/>
        <v>Slightly Over</v>
      </c>
    </row>
    <row r="589" spans="1:8" x14ac:dyDescent="0.25">
      <c r="A589" s="14">
        <v>45566</v>
      </c>
      <c r="B589" s="13" t="s">
        <v>1792</v>
      </c>
      <c r="C589" s="13" t="s">
        <v>1778</v>
      </c>
      <c r="D589" s="15">
        <v>17525.13</v>
      </c>
      <c r="E589" s="15">
        <v>17892.89</v>
      </c>
      <c r="F589" s="15">
        <f t="shared" si="27"/>
        <v>367.7599999999984</v>
      </c>
      <c r="G589" s="28">
        <f t="shared" si="28"/>
        <v>2.0984723080513433E-2</v>
      </c>
      <c r="H589" s="13" t="str">
        <f t="shared" si="29"/>
        <v>Within Budget</v>
      </c>
    </row>
    <row r="590" spans="1:8" x14ac:dyDescent="0.25">
      <c r="A590" s="11">
        <v>45566</v>
      </c>
      <c r="B590" s="10" t="s">
        <v>1792</v>
      </c>
      <c r="C590" s="10" t="s">
        <v>1789</v>
      </c>
      <c r="D590" s="12">
        <v>8537.19</v>
      </c>
      <c r="E590" s="12">
        <v>8402.16</v>
      </c>
      <c r="F590" s="12">
        <f t="shared" si="27"/>
        <v>-135.03000000000065</v>
      </c>
      <c r="G590" s="27">
        <f t="shared" si="28"/>
        <v>-1.5816679727170258E-2</v>
      </c>
      <c r="H590" s="10" t="str">
        <f t="shared" si="29"/>
        <v>Under Budget</v>
      </c>
    </row>
    <row r="591" spans="1:8" x14ac:dyDescent="0.25">
      <c r="A591" s="14">
        <v>45566</v>
      </c>
      <c r="B591" s="13" t="s">
        <v>1862</v>
      </c>
      <c r="C591" s="13" t="s">
        <v>1775</v>
      </c>
      <c r="D591" s="15">
        <v>34518.03</v>
      </c>
      <c r="E591" s="15">
        <v>32327.03</v>
      </c>
      <c r="F591" s="15">
        <f t="shared" si="27"/>
        <v>-2191</v>
      </c>
      <c r="G591" s="28">
        <f t="shared" si="28"/>
        <v>-6.3474074273647721E-2</v>
      </c>
      <c r="H591" s="13" t="str">
        <f t="shared" si="29"/>
        <v>Under Budget</v>
      </c>
    </row>
    <row r="592" spans="1:8" x14ac:dyDescent="0.25">
      <c r="A592" s="11">
        <v>45566</v>
      </c>
      <c r="B592" s="10" t="s">
        <v>1774</v>
      </c>
      <c r="C592" s="10" t="s">
        <v>1783</v>
      </c>
      <c r="D592" s="12">
        <v>13915.11</v>
      </c>
      <c r="E592" s="12">
        <v>14291.91</v>
      </c>
      <c r="F592" s="12">
        <f t="shared" si="27"/>
        <v>376.79999999999927</v>
      </c>
      <c r="G592" s="27">
        <f t="shared" si="28"/>
        <v>2.7078477999814537E-2</v>
      </c>
      <c r="H592" s="10" t="str">
        <f t="shared" si="29"/>
        <v>Within Budget</v>
      </c>
    </row>
    <row r="593" spans="1:8" x14ac:dyDescent="0.25">
      <c r="A593" s="14">
        <v>45566</v>
      </c>
      <c r="B593" s="13" t="s">
        <v>1792</v>
      </c>
      <c r="C593" s="13" t="s">
        <v>1783</v>
      </c>
      <c r="D593" s="15">
        <v>14541.95</v>
      </c>
      <c r="E593" s="15">
        <v>15139.57</v>
      </c>
      <c r="F593" s="15">
        <f t="shared" si="27"/>
        <v>597.61999999999898</v>
      </c>
      <c r="G593" s="28">
        <f t="shared" si="28"/>
        <v>4.1096276634151468E-2</v>
      </c>
      <c r="H593" s="13" t="str">
        <f t="shared" si="29"/>
        <v>Within Budget</v>
      </c>
    </row>
    <row r="594" spans="1:8" x14ac:dyDescent="0.25">
      <c r="A594" s="11">
        <v>45566</v>
      </c>
      <c r="B594" s="10" t="s">
        <v>1799</v>
      </c>
      <c r="C594" s="10" t="s">
        <v>1786</v>
      </c>
      <c r="D594" s="12">
        <v>6199.75</v>
      </c>
      <c r="E594" s="12">
        <v>5783.79</v>
      </c>
      <c r="F594" s="12">
        <f t="shared" si="27"/>
        <v>-415.96000000000004</v>
      </c>
      <c r="G594" s="27">
        <f t="shared" si="28"/>
        <v>-6.7093027944675199E-2</v>
      </c>
      <c r="H594" s="10" t="str">
        <f t="shared" si="29"/>
        <v>Under Budget</v>
      </c>
    </row>
    <row r="595" spans="1:8" x14ac:dyDescent="0.25">
      <c r="A595" s="14">
        <v>45566</v>
      </c>
      <c r="B595" s="13" t="s">
        <v>1774</v>
      </c>
      <c r="C595" s="13" t="s">
        <v>1780</v>
      </c>
      <c r="D595" s="15">
        <v>7790.4</v>
      </c>
      <c r="E595" s="15">
        <v>8158.73</v>
      </c>
      <c r="F595" s="15">
        <f t="shared" si="27"/>
        <v>368.32999999999993</v>
      </c>
      <c r="G595" s="28">
        <f t="shared" si="28"/>
        <v>4.7279985623331272E-2</v>
      </c>
      <c r="H595" s="13" t="str">
        <f t="shared" si="29"/>
        <v>Within Budget</v>
      </c>
    </row>
    <row r="596" spans="1:8" x14ac:dyDescent="0.25">
      <c r="A596" s="11">
        <v>45566</v>
      </c>
      <c r="B596" s="10" t="s">
        <v>1786</v>
      </c>
      <c r="C596" s="10" t="s">
        <v>1786</v>
      </c>
      <c r="D596" s="12">
        <v>11500.9</v>
      </c>
      <c r="E596" s="12">
        <v>10643.22</v>
      </c>
      <c r="F596" s="12">
        <f t="shared" si="27"/>
        <v>-857.68000000000029</v>
      </c>
      <c r="G596" s="27">
        <f t="shared" si="28"/>
        <v>-7.4575033258266768E-2</v>
      </c>
      <c r="H596" s="10" t="str">
        <f t="shared" si="29"/>
        <v>Under Budget</v>
      </c>
    </row>
    <row r="597" spans="1:8" x14ac:dyDescent="0.25">
      <c r="A597" s="14">
        <v>45566</v>
      </c>
      <c r="B597" s="13" t="s">
        <v>1774</v>
      </c>
      <c r="C597" s="13" t="s">
        <v>1775</v>
      </c>
      <c r="D597" s="15">
        <v>101600.13</v>
      </c>
      <c r="E597" s="15">
        <v>108203.88</v>
      </c>
      <c r="F597" s="15">
        <f t="shared" si="27"/>
        <v>6603.75</v>
      </c>
      <c r="G597" s="28">
        <f t="shared" si="28"/>
        <v>6.499745620404225E-2</v>
      </c>
      <c r="H597" s="13" t="str">
        <f t="shared" si="29"/>
        <v>Slightly Over</v>
      </c>
    </row>
    <row r="598" spans="1:8" x14ac:dyDescent="0.25">
      <c r="A598" s="11">
        <v>45566</v>
      </c>
      <c r="B598" s="10" t="s">
        <v>1792</v>
      </c>
      <c r="C598" s="10" t="s">
        <v>1780</v>
      </c>
      <c r="D598" s="12">
        <v>8799.51</v>
      </c>
      <c r="E598" s="12">
        <v>8987.49</v>
      </c>
      <c r="F598" s="12">
        <f t="shared" si="27"/>
        <v>187.97999999999956</v>
      </c>
      <c r="G598" s="27">
        <f t="shared" si="28"/>
        <v>2.1362553142163548E-2</v>
      </c>
      <c r="H598" s="10" t="str">
        <f t="shared" si="29"/>
        <v>Within Budget</v>
      </c>
    </row>
    <row r="599" spans="1:8" x14ac:dyDescent="0.25">
      <c r="A599" s="14">
        <v>45566</v>
      </c>
      <c r="B599" s="13" t="s">
        <v>1786</v>
      </c>
      <c r="C599" s="13" t="s">
        <v>1783</v>
      </c>
      <c r="D599" s="15">
        <v>11065.26</v>
      </c>
      <c r="E599" s="15">
        <v>11196.97</v>
      </c>
      <c r="F599" s="15">
        <f t="shared" si="27"/>
        <v>131.70999999999913</v>
      </c>
      <c r="G599" s="28">
        <f t="shared" si="28"/>
        <v>1.1903018998197885E-2</v>
      </c>
      <c r="H599" s="13" t="str">
        <f t="shared" si="29"/>
        <v>Within Budget</v>
      </c>
    </row>
    <row r="600" spans="1:8" x14ac:dyDescent="0.25">
      <c r="A600" s="11">
        <v>45566</v>
      </c>
      <c r="B600" s="10" t="s">
        <v>1786</v>
      </c>
      <c r="C600" s="10" t="s">
        <v>1795</v>
      </c>
      <c r="D600" s="12">
        <v>3983.24</v>
      </c>
      <c r="E600" s="12">
        <v>4123.8999999999996</v>
      </c>
      <c r="F600" s="12">
        <f t="shared" si="27"/>
        <v>140.65999999999985</v>
      </c>
      <c r="G600" s="27">
        <f t="shared" si="28"/>
        <v>3.5312961307879982E-2</v>
      </c>
      <c r="H600" s="10" t="str">
        <f t="shared" si="29"/>
        <v>Within Budget</v>
      </c>
    </row>
    <row r="601" spans="1:8" x14ac:dyDescent="0.25">
      <c r="A601" s="14">
        <v>45566</v>
      </c>
      <c r="B601" s="13" t="s">
        <v>1792</v>
      </c>
      <c r="C601" s="13" t="s">
        <v>1775</v>
      </c>
      <c r="D601" s="15">
        <v>85774.01</v>
      </c>
      <c r="E601" s="15">
        <v>95226.31</v>
      </c>
      <c r="F601" s="15">
        <f t="shared" si="27"/>
        <v>9452.3000000000029</v>
      </c>
      <c r="G601" s="28">
        <f t="shared" si="28"/>
        <v>0.11020004777671003</v>
      </c>
      <c r="H601" s="13" t="str">
        <f t="shared" si="29"/>
        <v>Slightly Over</v>
      </c>
    </row>
    <row r="602" spans="1:8" x14ac:dyDescent="0.25">
      <c r="A602" s="11">
        <v>45566</v>
      </c>
      <c r="B602" s="10" t="s">
        <v>1818</v>
      </c>
      <c r="C602" s="10" t="s">
        <v>1792</v>
      </c>
      <c r="D602" s="12">
        <v>4575.66</v>
      </c>
      <c r="E602" s="12">
        <v>4807.3100000000004</v>
      </c>
      <c r="F602" s="12">
        <f t="shared" si="27"/>
        <v>231.65000000000055</v>
      </c>
      <c r="G602" s="27">
        <f t="shared" si="28"/>
        <v>5.0626576275335261E-2</v>
      </c>
      <c r="H602" s="10" t="str">
        <f t="shared" si="29"/>
        <v>Slightly Over</v>
      </c>
    </row>
    <row r="603" spans="1:8" x14ac:dyDescent="0.25">
      <c r="A603" s="14">
        <v>45566</v>
      </c>
      <c r="B603" s="13" t="s">
        <v>1862</v>
      </c>
      <c r="C603" s="13" t="s">
        <v>1786</v>
      </c>
      <c r="D603" s="15">
        <v>6063.5</v>
      </c>
      <c r="E603" s="15">
        <v>6223.55</v>
      </c>
      <c r="F603" s="15">
        <f t="shared" si="27"/>
        <v>160.05000000000018</v>
      </c>
      <c r="G603" s="28">
        <f t="shared" si="28"/>
        <v>2.639564607899731E-2</v>
      </c>
      <c r="H603" s="13" t="str">
        <f t="shared" si="29"/>
        <v>Within Budget</v>
      </c>
    </row>
    <row r="604" spans="1:8" x14ac:dyDescent="0.25">
      <c r="A604" s="11">
        <v>45566</v>
      </c>
      <c r="B604" s="10" t="s">
        <v>1818</v>
      </c>
      <c r="C604" s="10" t="s">
        <v>1795</v>
      </c>
      <c r="D604" s="12">
        <v>1859.21</v>
      </c>
      <c r="E604" s="12">
        <v>1918.69</v>
      </c>
      <c r="F604" s="12">
        <f t="shared" si="27"/>
        <v>59.480000000000018</v>
      </c>
      <c r="G604" s="27">
        <f t="shared" si="28"/>
        <v>3.1992082658763681E-2</v>
      </c>
      <c r="H604" s="10" t="str">
        <f t="shared" si="29"/>
        <v>Within Budget</v>
      </c>
    </row>
    <row r="605" spans="1:8" x14ac:dyDescent="0.25">
      <c r="A605" s="14">
        <v>45566</v>
      </c>
      <c r="B605" s="13" t="s">
        <v>1799</v>
      </c>
      <c r="C605" s="13" t="s">
        <v>1778</v>
      </c>
      <c r="D605" s="15">
        <v>7401.51</v>
      </c>
      <c r="E605" s="15">
        <v>6899.1</v>
      </c>
      <c r="F605" s="15">
        <f t="shared" si="27"/>
        <v>-502.40999999999985</v>
      </c>
      <c r="G605" s="28">
        <f t="shared" si="28"/>
        <v>-6.7879392178082559E-2</v>
      </c>
      <c r="H605" s="13" t="str">
        <f t="shared" si="29"/>
        <v>Under Budget</v>
      </c>
    </row>
    <row r="606" spans="1:8" x14ac:dyDescent="0.25">
      <c r="A606" s="11">
        <v>45566</v>
      </c>
      <c r="B606" s="10" t="s">
        <v>1774</v>
      </c>
      <c r="C606" s="10" t="s">
        <v>1789</v>
      </c>
      <c r="D606" s="12">
        <v>7843.75</v>
      </c>
      <c r="E606" s="12">
        <v>8615.52</v>
      </c>
      <c r="F606" s="12">
        <f t="shared" si="27"/>
        <v>771.77000000000044</v>
      </c>
      <c r="G606" s="27">
        <f t="shared" si="28"/>
        <v>9.8392988047808827E-2</v>
      </c>
      <c r="H606" s="10" t="str">
        <f t="shared" si="29"/>
        <v>Slightly Over</v>
      </c>
    </row>
    <row r="607" spans="1:8" x14ac:dyDescent="0.25">
      <c r="A607" s="14">
        <v>45566</v>
      </c>
      <c r="B607" s="13" t="s">
        <v>1786</v>
      </c>
      <c r="C607" s="13" t="s">
        <v>1792</v>
      </c>
      <c r="D607" s="15">
        <v>12040.69</v>
      </c>
      <c r="E607" s="15">
        <v>12217</v>
      </c>
      <c r="F607" s="15">
        <f t="shared" si="27"/>
        <v>176.30999999999949</v>
      </c>
      <c r="G607" s="28">
        <f t="shared" si="28"/>
        <v>1.4642848541071939E-2</v>
      </c>
      <c r="H607" s="13" t="str">
        <f t="shared" si="29"/>
        <v>Within Budget</v>
      </c>
    </row>
    <row r="608" spans="1:8" x14ac:dyDescent="0.25">
      <c r="A608" s="11">
        <v>45566</v>
      </c>
      <c r="B608" s="10" t="s">
        <v>1786</v>
      </c>
      <c r="C608" s="10" t="s">
        <v>1775</v>
      </c>
      <c r="D608" s="12">
        <v>65259.34</v>
      </c>
      <c r="E608" s="12">
        <v>71851.47</v>
      </c>
      <c r="F608" s="12">
        <f t="shared" si="27"/>
        <v>6592.1300000000047</v>
      </c>
      <c r="G608" s="27">
        <f t="shared" si="28"/>
        <v>0.10101435288803112</v>
      </c>
      <c r="H608" s="10" t="str">
        <f t="shared" si="29"/>
        <v>Slightly Over</v>
      </c>
    </row>
    <row r="609" spans="1:8" x14ac:dyDescent="0.25">
      <c r="A609" s="14">
        <v>45566</v>
      </c>
      <c r="B609" s="13" t="s">
        <v>1877</v>
      </c>
      <c r="C609" s="13" t="s">
        <v>1786</v>
      </c>
      <c r="D609" s="15">
        <v>10670.83</v>
      </c>
      <c r="E609" s="15">
        <v>9659.11</v>
      </c>
      <c r="F609" s="15">
        <f t="shared" si="27"/>
        <v>-1011.7199999999993</v>
      </c>
      <c r="G609" s="28">
        <f t="shared" si="28"/>
        <v>-9.4811743791251415E-2</v>
      </c>
      <c r="H609" s="13" t="str">
        <f t="shared" si="29"/>
        <v>Under Budget</v>
      </c>
    </row>
    <row r="610" spans="1:8" x14ac:dyDescent="0.25">
      <c r="A610" s="11">
        <v>45566</v>
      </c>
      <c r="B610" s="10" t="s">
        <v>1774</v>
      </c>
      <c r="C610" s="10" t="s">
        <v>1786</v>
      </c>
      <c r="D610" s="12">
        <v>15368.21</v>
      </c>
      <c r="E610" s="12">
        <v>14311.37</v>
      </c>
      <c r="F610" s="12">
        <f t="shared" si="27"/>
        <v>-1056.8399999999983</v>
      </c>
      <c r="G610" s="27">
        <f t="shared" si="28"/>
        <v>-6.8767930682883588E-2</v>
      </c>
      <c r="H610" s="10" t="str">
        <f t="shared" si="29"/>
        <v>Under Budget</v>
      </c>
    </row>
    <row r="611" spans="1:8" x14ac:dyDescent="0.25">
      <c r="A611" s="14">
        <v>45566</v>
      </c>
      <c r="B611" s="13" t="s">
        <v>1818</v>
      </c>
      <c r="C611" s="13" t="s">
        <v>1797</v>
      </c>
      <c r="D611" s="15">
        <v>2034.54</v>
      </c>
      <c r="E611" s="15">
        <v>1822.94</v>
      </c>
      <c r="F611" s="15">
        <f t="shared" si="27"/>
        <v>-211.59999999999991</v>
      </c>
      <c r="G611" s="28">
        <f t="shared" si="28"/>
        <v>-0.10400385345090286</v>
      </c>
      <c r="H611" s="13" t="str">
        <f t="shared" si="29"/>
        <v>Under Budget</v>
      </c>
    </row>
    <row r="612" spans="1:8" x14ac:dyDescent="0.25">
      <c r="A612" s="11">
        <v>45566</v>
      </c>
      <c r="B612" s="10" t="s">
        <v>1877</v>
      </c>
      <c r="C612" s="10" t="s">
        <v>1780</v>
      </c>
      <c r="D612" s="12">
        <v>7007.17</v>
      </c>
      <c r="E612" s="12">
        <v>6368.79</v>
      </c>
      <c r="F612" s="12">
        <f t="shared" si="27"/>
        <v>-638.38000000000011</v>
      </c>
      <c r="G612" s="27">
        <f t="shared" si="28"/>
        <v>-9.1103826509132804E-2</v>
      </c>
      <c r="H612" s="10" t="str">
        <f t="shared" si="29"/>
        <v>Under Budget</v>
      </c>
    </row>
    <row r="613" spans="1:8" x14ac:dyDescent="0.25">
      <c r="A613" s="14">
        <v>45566</v>
      </c>
      <c r="B613" s="13" t="s">
        <v>1862</v>
      </c>
      <c r="C613" s="13" t="s">
        <v>1792</v>
      </c>
      <c r="D613" s="15">
        <v>5423.26</v>
      </c>
      <c r="E613" s="15">
        <v>5594</v>
      </c>
      <c r="F613" s="15">
        <f t="shared" si="27"/>
        <v>170.73999999999978</v>
      </c>
      <c r="G613" s="28">
        <f t="shared" si="28"/>
        <v>3.1482908803929698E-2</v>
      </c>
      <c r="H613" s="13" t="str">
        <f t="shared" si="29"/>
        <v>Within Budget</v>
      </c>
    </row>
    <row r="614" spans="1:8" x14ac:dyDescent="0.25">
      <c r="A614" s="11">
        <v>45566</v>
      </c>
      <c r="B614" s="10" t="s">
        <v>1818</v>
      </c>
      <c r="C614" s="10" t="s">
        <v>1780</v>
      </c>
      <c r="D614" s="12">
        <v>3137.9</v>
      </c>
      <c r="E614" s="12">
        <v>2982.37</v>
      </c>
      <c r="F614" s="12">
        <f t="shared" si="27"/>
        <v>-155.5300000000002</v>
      </c>
      <c r="G614" s="27">
        <f t="shared" si="28"/>
        <v>-4.9564995697759712E-2</v>
      </c>
      <c r="H614" s="10" t="str">
        <f t="shared" si="29"/>
        <v>Under Budget</v>
      </c>
    </row>
    <row r="615" spans="1:8" x14ac:dyDescent="0.25">
      <c r="A615" s="14">
        <v>45566</v>
      </c>
      <c r="B615" s="13" t="s">
        <v>1877</v>
      </c>
      <c r="C615" s="13" t="s">
        <v>1792</v>
      </c>
      <c r="D615" s="15">
        <v>8277.15</v>
      </c>
      <c r="E615" s="15">
        <v>8555.7099999999991</v>
      </c>
      <c r="F615" s="15">
        <f t="shared" si="27"/>
        <v>278.55999999999949</v>
      </c>
      <c r="G615" s="28">
        <f t="shared" si="28"/>
        <v>3.3654095914656554E-2</v>
      </c>
      <c r="H615" s="13" t="str">
        <f t="shared" si="29"/>
        <v>Within Budget</v>
      </c>
    </row>
    <row r="616" spans="1:8" x14ac:dyDescent="0.25">
      <c r="A616" s="11">
        <v>45566</v>
      </c>
      <c r="B616" s="10" t="s">
        <v>1818</v>
      </c>
      <c r="C616" s="10" t="s">
        <v>1786</v>
      </c>
      <c r="D616" s="12">
        <v>5368.39</v>
      </c>
      <c r="E616" s="12">
        <v>4900.82</v>
      </c>
      <c r="F616" s="12">
        <f t="shared" si="27"/>
        <v>-467.57000000000062</v>
      </c>
      <c r="G616" s="27">
        <f t="shared" si="28"/>
        <v>-8.7096876344676999E-2</v>
      </c>
      <c r="H616" s="10" t="str">
        <f t="shared" si="29"/>
        <v>Under Budget</v>
      </c>
    </row>
    <row r="617" spans="1:8" x14ac:dyDescent="0.25">
      <c r="A617" s="14">
        <v>45566</v>
      </c>
      <c r="B617" s="13" t="s">
        <v>1799</v>
      </c>
      <c r="C617" s="13" t="s">
        <v>1795</v>
      </c>
      <c r="D617" s="15">
        <v>2301.6999999999998</v>
      </c>
      <c r="E617" s="15">
        <v>2324.09</v>
      </c>
      <c r="F617" s="15">
        <f t="shared" si="27"/>
        <v>22.390000000000327</v>
      </c>
      <c r="G617" s="28">
        <f t="shared" si="28"/>
        <v>9.7275926489118168E-3</v>
      </c>
      <c r="H617" s="13" t="str">
        <f t="shared" si="29"/>
        <v>Within Budget</v>
      </c>
    </row>
    <row r="618" spans="1:8" x14ac:dyDescent="0.25">
      <c r="A618" s="11">
        <v>45566</v>
      </c>
      <c r="B618" s="10" t="s">
        <v>1799</v>
      </c>
      <c r="C618" s="10" t="s">
        <v>1780</v>
      </c>
      <c r="D618" s="12">
        <v>4243.62</v>
      </c>
      <c r="E618" s="12">
        <v>4318.3500000000004</v>
      </c>
      <c r="F618" s="12">
        <f t="shared" si="27"/>
        <v>74.730000000000473</v>
      </c>
      <c r="G618" s="27">
        <f t="shared" si="28"/>
        <v>1.760996507698627E-2</v>
      </c>
      <c r="H618" s="10" t="str">
        <f t="shared" si="29"/>
        <v>Within Budget</v>
      </c>
    </row>
    <row r="619" spans="1:8" x14ac:dyDescent="0.25">
      <c r="A619" s="14">
        <v>45566</v>
      </c>
      <c r="B619" s="13" t="s">
        <v>1786</v>
      </c>
      <c r="C619" s="13" t="s">
        <v>1780</v>
      </c>
      <c r="D619" s="15">
        <v>6235.26</v>
      </c>
      <c r="E619" s="15">
        <v>5662.78</v>
      </c>
      <c r="F619" s="15">
        <f t="shared" si="27"/>
        <v>-572.48000000000047</v>
      </c>
      <c r="G619" s="28">
        <f t="shared" si="28"/>
        <v>-9.1813332563517869E-2</v>
      </c>
      <c r="H619" s="13" t="str">
        <f t="shared" si="29"/>
        <v>Under Budget</v>
      </c>
    </row>
    <row r="620" spans="1:8" x14ac:dyDescent="0.25">
      <c r="A620" s="11">
        <v>45566</v>
      </c>
      <c r="B620" s="10" t="s">
        <v>1877</v>
      </c>
      <c r="C620" s="10" t="s">
        <v>1775</v>
      </c>
      <c r="D620" s="12">
        <v>65995.839999999997</v>
      </c>
      <c r="E620" s="12">
        <v>60877.120000000003</v>
      </c>
      <c r="F620" s="12">
        <f t="shared" si="27"/>
        <v>-5118.7199999999939</v>
      </c>
      <c r="G620" s="27">
        <f t="shared" si="28"/>
        <v>-7.7561252345602308E-2</v>
      </c>
      <c r="H620" s="10" t="str">
        <f t="shared" si="29"/>
        <v>Under Budget</v>
      </c>
    </row>
    <row r="621" spans="1:8" x14ac:dyDescent="0.25">
      <c r="A621" s="14">
        <v>45566</v>
      </c>
      <c r="B621" s="13" t="s">
        <v>1862</v>
      </c>
      <c r="C621" s="13" t="s">
        <v>1789</v>
      </c>
      <c r="D621" s="15">
        <v>4380.2</v>
      </c>
      <c r="E621" s="15">
        <v>3936.87</v>
      </c>
      <c r="F621" s="15">
        <f t="shared" si="27"/>
        <v>-443.32999999999993</v>
      </c>
      <c r="G621" s="28">
        <f t="shared" si="28"/>
        <v>-0.10121227341217295</v>
      </c>
      <c r="H621" s="13" t="str">
        <f t="shared" si="29"/>
        <v>Under Budget</v>
      </c>
    </row>
    <row r="622" spans="1:8" x14ac:dyDescent="0.25">
      <c r="A622" s="11">
        <v>45566</v>
      </c>
      <c r="B622" s="10" t="s">
        <v>1862</v>
      </c>
      <c r="C622" s="10" t="s">
        <v>1780</v>
      </c>
      <c r="D622" s="12">
        <v>3507.5</v>
      </c>
      <c r="E622" s="12">
        <v>3834.9</v>
      </c>
      <c r="F622" s="12">
        <f t="shared" si="27"/>
        <v>327.40000000000009</v>
      </c>
      <c r="G622" s="27">
        <f t="shared" si="28"/>
        <v>9.3342836778332175E-2</v>
      </c>
      <c r="H622" s="10" t="str">
        <f t="shared" si="29"/>
        <v>Slightly Over</v>
      </c>
    </row>
    <row r="623" spans="1:8" x14ac:dyDescent="0.25">
      <c r="A623" s="14">
        <v>45566</v>
      </c>
      <c r="B623" s="13" t="s">
        <v>1799</v>
      </c>
      <c r="C623" s="13" t="s">
        <v>1792</v>
      </c>
      <c r="D623" s="15">
        <v>6189.84</v>
      </c>
      <c r="E623" s="15">
        <v>6491.47</v>
      </c>
      <c r="F623" s="15">
        <f t="shared" si="27"/>
        <v>301.63000000000011</v>
      </c>
      <c r="G623" s="28">
        <f t="shared" si="28"/>
        <v>4.8729854083465828E-2</v>
      </c>
      <c r="H623" s="13" t="str">
        <f t="shared" si="29"/>
        <v>Within Budget</v>
      </c>
    </row>
    <row r="624" spans="1:8" x14ac:dyDescent="0.25">
      <c r="A624" s="11">
        <v>45566</v>
      </c>
      <c r="B624" s="10" t="s">
        <v>1799</v>
      </c>
      <c r="C624" s="10" t="s">
        <v>1797</v>
      </c>
      <c r="D624" s="12">
        <v>2511.09</v>
      </c>
      <c r="E624" s="12">
        <v>2598.96</v>
      </c>
      <c r="F624" s="12">
        <f t="shared" si="27"/>
        <v>87.869999999999891</v>
      </c>
      <c r="G624" s="27">
        <f t="shared" si="28"/>
        <v>3.4992772063127918E-2</v>
      </c>
      <c r="H624" s="10" t="str">
        <f t="shared" si="29"/>
        <v>Within Budget</v>
      </c>
    </row>
    <row r="625" spans="1:8" x14ac:dyDescent="0.25">
      <c r="A625" s="14">
        <v>45566</v>
      </c>
      <c r="B625" s="13" t="s">
        <v>1877</v>
      </c>
      <c r="C625" s="13" t="s">
        <v>1778</v>
      </c>
      <c r="D625" s="15">
        <v>10062.719999999999</v>
      </c>
      <c r="E625" s="15">
        <v>10130.01</v>
      </c>
      <c r="F625" s="15">
        <f t="shared" si="27"/>
        <v>67.290000000000873</v>
      </c>
      <c r="G625" s="28">
        <f t="shared" si="28"/>
        <v>6.6870587674108866E-3</v>
      </c>
      <c r="H625" s="13" t="str">
        <f t="shared" si="29"/>
        <v>Within Budget</v>
      </c>
    </row>
    <row r="626" spans="1:8" x14ac:dyDescent="0.25">
      <c r="A626" s="11">
        <v>45566</v>
      </c>
      <c r="B626" s="10" t="s">
        <v>1877</v>
      </c>
      <c r="C626" s="10" t="s">
        <v>1783</v>
      </c>
      <c r="D626" s="12">
        <v>7765.09</v>
      </c>
      <c r="E626" s="12">
        <v>7733.47</v>
      </c>
      <c r="F626" s="12">
        <f t="shared" si="27"/>
        <v>-31.619999999999891</v>
      </c>
      <c r="G626" s="27">
        <f t="shared" si="28"/>
        <v>-4.0720712831402968E-3</v>
      </c>
      <c r="H626" s="10" t="str">
        <f t="shared" si="29"/>
        <v>Under Budget</v>
      </c>
    </row>
    <row r="627" spans="1:8" x14ac:dyDescent="0.25">
      <c r="A627" s="14">
        <v>45566</v>
      </c>
      <c r="B627" s="13" t="s">
        <v>1774</v>
      </c>
      <c r="C627" s="13" t="s">
        <v>1797</v>
      </c>
      <c r="D627" s="15">
        <v>6406.78</v>
      </c>
      <c r="E627" s="15">
        <v>6645.18</v>
      </c>
      <c r="F627" s="15">
        <f t="shared" si="27"/>
        <v>238.40000000000055</v>
      </c>
      <c r="G627" s="28">
        <f t="shared" si="28"/>
        <v>3.7210580041768339E-2</v>
      </c>
      <c r="H627" s="13" t="str">
        <f t="shared" si="29"/>
        <v>Within Budget</v>
      </c>
    </row>
    <row r="628" spans="1:8" x14ac:dyDescent="0.25">
      <c r="A628" s="11">
        <v>45566</v>
      </c>
      <c r="B628" s="10" t="s">
        <v>1877</v>
      </c>
      <c r="C628" s="10" t="s">
        <v>1795</v>
      </c>
      <c r="D628" s="12">
        <v>3826.3</v>
      </c>
      <c r="E628" s="12">
        <v>3563</v>
      </c>
      <c r="F628" s="12">
        <f t="shared" si="27"/>
        <v>-263.30000000000018</v>
      </c>
      <c r="G628" s="27">
        <f t="shared" si="28"/>
        <v>-6.8813213809685636E-2</v>
      </c>
      <c r="H628" s="10" t="str">
        <f t="shared" si="29"/>
        <v>Under Budget</v>
      </c>
    </row>
    <row r="629" spans="1:8" x14ac:dyDescent="0.25">
      <c r="A629" s="14">
        <v>45566</v>
      </c>
      <c r="B629" s="13" t="s">
        <v>1818</v>
      </c>
      <c r="C629" s="13" t="s">
        <v>1775</v>
      </c>
      <c r="D629" s="15">
        <v>32500.77</v>
      </c>
      <c r="E629" s="15">
        <v>34243.279999999999</v>
      </c>
      <c r="F629" s="15">
        <f t="shared" si="27"/>
        <v>1742.5099999999984</v>
      </c>
      <c r="G629" s="28">
        <f t="shared" si="28"/>
        <v>5.361442205830811E-2</v>
      </c>
      <c r="H629" s="13" t="str">
        <f t="shared" si="29"/>
        <v>Slightly Over</v>
      </c>
    </row>
    <row r="630" spans="1:8" x14ac:dyDescent="0.25">
      <c r="A630" s="11">
        <v>45566</v>
      </c>
      <c r="B630" s="10" t="s">
        <v>1786</v>
      </c>
      <c r="C630" s="10" t="s">
        <v>1778</v>
      </c>
      <c r="D630" s="12">
        <v>15946.99</v>
      </c>
      <c r="E630" s="12">
        <v>15140.98</v>
      </c>
      <c r="F630" s="12">
        <f t="shared" si="27"/>
        <v>-806.01000000000022</v>
      </c>
      <c r="G630" s="27">
        <f t="shared" si="28"/>
        <v>-5.054308054372645E-2</v>
      </c>
      <c r="H630" s="10" t="str">
        <f t="shared" si="29"/>
        <v>Under Budget</v>
      </c>
    </row>
    <row r="631" spans="1:8" x14ac:dyDescent="0.25">
      <c r="A631" s="14">
        <v>45566</v>
      </c>
      <c r="B631" s="13" t="s">
        <v>1877</v>
      </c>
      <c r="C631" s="13" t="s">
        <v>1789</v>
      </c>
      <c r="D631" s="15">
        <v>5292.76</v>
      </c>
      <c r="E631" s="15">
        <v>4867.3999999999996</v>
      </c>
      <c r="F631" s="15">
        <f t="shared" si="27"/>
        <v>-425.36000000000058</v>
      </c>
      <c r="G631" s="28">
        <f t="shared" si="28"/>
        <v>-8.0366387291318814E-2</v>
      </c>
      <c r="H631" s="13" t="str">
        <f t="shared" si="29"/>
        <v>Under Budget</v>
      </c>
    </row>
    <row r="632" spans="1:8" x14ac:dyDescent="0.25">
      <c r="A632" s="11">
        <v>45597</v>
      </c>
      <c r="B632" s="10" t="s">
        <v>1786</v>
      </c>
      <c r="C632" s="10" t="s">
        <v>1795</v>
      </c>
      <c r="D632" s="12">
        <v>4742.92</v>
      </c>
      <c r="E632" s="12">
        <v>4592.2299999999996</v>
      </c>
      <c r="F632" s="12">
        <f t="shared" si="27"/>
        <v>-150.69000000000051</v>
      </c>
      <c r="G632" s="27">
        <f t="shared" si="28"/>
        <v>-3.1771566882848649E-2</v>
      </c>
      <c r="H632" s="10" t="str">
        <f t="shared" si="29"/>
        <v>Under Budget</v>
      </c>
    </row>
    <row r="633" spans="1:8" x14ac:dyDescent="0.25">
      <c r="A633" s="14">
        <v>45597</v>
      </c>
      <c r="B633" s="13" t="s">
        <v>1792</v>
      </c>
      <c r="C633" s="13" t="s">
        <v>1778</v>
      </c>
      <c r="D633" s="15">
        <v>18316.509999999998</v>
      </c>
      <c r="E633" s="15">
        <v>18730.169999999998</v>
      </c>
      <c r="F633" s="15">
        <f t="shared" si="27"/>
        <v>413.65999999999985</v>
      </c>
      <c r="G633" s="28">
        <f t="shared" si="28"/>
        <v>2.258399662381097E-2</v>
      </c>
      <c r="H633" s="13" t="str">
        <f t="shared" si="29"/>
        <v>Within Budget</v>
      </c>
    </row>
    <row r="634" spans="1:8" x14ac:dyDescent="0.25">
      <c r="A634" s="11">
        <v>45597</v>
      </c>
      <c r="B634" s="10" t="s">
        <v>1818</v>
      </c>
      <c r="C634" s="10" t="s">
        <v>1797</v>
      </c>
      <c r="D634" s="12">
        <v>1792.54</v>
      </c>
      <c r="E634" s="12">
        <v>1904.25</v>
      </c>
      <c r="F634" s="12">
        <f t="shared" si="27"/>
        <v>111.71000000000004</v>
      </c>
      <c r="G634" s="27">
        <f t="shared" si="28"/>
        <v>6.2319390362279244E-2</v>
      </c>
      <c r="H634" s="10" t="str">
        <f t="shared" si="29"/>
        <v>Slightly Over</v>
      </c>
    </row>
    <row r="635" spans="1:8" x14ac:dyDescent="0.25">
      <c r="A635" s="14">
        <v>45597</v>
      </c>
      <c r="B635" s="13" t="s">
        <v>1786</v>
      </c>
      <c r="C635" s="13" t="s">
        <v>1778</v>
      </c>
      <c r="D635" s="15">
        <v>12855.81</v>
      </c>
      <c r="E635" s="15">
        <v>13830.05</v>
      </c>
      <c r="F635" s="15">
        <f t="shared" si="27"/>
        <v>974.23999999999978</v>
      </c>
      <c r="G635" s="28">
        <f t="shared" si="28"/>
        <v>7.5782078297672403E-2</v>
      </c>
      <c r="H635" s="13" t="str">
        <f t="shared" si="29"/>
        <v>Slightly Over</v>
      </c>
    </row>
    <row r="636" spans="1:8" x14ac:dyDescent="0.25">
      <c r="A636" s="11">
        <v>45597</v>
      </c>
      <c r="B636" s="10" t="s">
        <v>1877</v>
      </c>
      <c r="C636" s="10" t="s">
        <v>1795</v>
      </c>
      <c r="D636" s="12">
        <v>3870.15</v>
      </c>
      <c r="E636" s="12">
        <v>3638.32</v>
      </c>
      <c r="F636" s="12">
        <f t="shared" si="27"/>
        <v>-231.82999999999993</v>
      </c>
      <c r="G636" s="27">
        <f t="shared" si="28"/>
        <v>-5.9902070979160997E-2</v>
      </c>
      <c r="H636" s="10" t="str">
        <f t="shared" si="29"/>
        <v>Under Budget</v>
      </c>
    </row>
    <row r="637" spans="1:8" x14ac:dyDescent="0.25">
      <c r="A637" s="14">
        <v>45597</v>
      </c>
      <c r="B637" s="13" t="s">
        <v>1818</v>
      </c>
      <c r="C637" s="13" t="s">
        <v>1789</v>
      </c>
      <c r="D637" s="15">
        <v>3863.69</v>
      </c>
      <c r="E637" s="15">
        <v>3851.33</v>
      </c>
      <c r="F637" s="15">
        <f t="shared" si="27"/>
        <v>-12.360000000000127</v>
      </c>
      <c r="G637" s="28">
        <f t="shared" si="28"/>
        <v>-3.1990144136822898E-3</v>
      </c>
      <c r="H637" s="13" t="str">
        <f t="shared" si="29"/>
        <v>Under Budget</v>
      </c>
    </row>
    <row r="638" spans="1:8" x14ac:dyDescent="0.25">
      <c r="A638" s="11">
        <v>45597</v>
      </c>
      <c r="B638" s="10" t="s">
        <v>1786</v>
      </c>
      <c r="C638" s="10" t="s">
        <v>1783</v>
      </c>
      <c r="D638" s="12">
        <v>8653.75</v>
      </c>
      <c r="E638" s="12">
        <v>9507.6299999999992</v>
      </c>
      <c r="F638" s="12">
        <f t="shared" si="27"/>
        <v>853.8799999999992</v>
      </c>
      <c r="G638" s="27">
        <f t="shared" si="28"/>
        <v>9.8671674129712464E-2</v>
      </c>
      <c r="H638" s="10" t="str">
        <f t="shared" si="29"/>
        <v>Slightly Over</v>
      </c>
    </row>
    <row r="639" spans="1:8" x14ac:dyDescent="0.25">
      <c r="A639" s="14">
        <v>45597</v>
      </c>
      <c r="B639" s="13" t="s">
        <v>1862</v>
      </c>
      <c r="C639" s="13" t="s">
        <v>1792</v>
      </c>
      <c r="D639" s="15">
        <v>6680.59</v>
      </c>
      <c r="E639" s="15">
        <v>5983.81</v>
      </c>
      <c r="F639" s="15">
        <f t="shared" si="27"/>
        <v>-696.77999999999975</v>
      </c>
      <c r="G639" s="28">
        <f t="shared" si="28"/>
        <v>-0.10429917118098847</v>
      </c>
      <c r="H639" s="13" t="str">
        <f t="shared" si="29"/>
        <v>Under Budget</v>
      </c>
    </row>
    <row r="640" spans="1:8" x14ac:dyDescent="0.25">
      <c r="A640" s="11">
        <v>45597</v>
      </c>
      <c r="B640" s="10" t="s">
        <v>1786</v>
      </c>
      <c r="C640" s="10" t="s">
        <v>1792</v>
      </c>
      <c r="D640" s="12">
        <v>11489.42</v>
      </c>
      <c r="E640" s="12">
        <v>10966.47</v>
      </c>
      <c r="F640" s="12">
        <f t="shared" si="27"/>
        <v>-522.95000000000073</v>
      </c>
      <c r="G640" s="27">
        <f t="shared" si="28"/>
        <v>-4.5515787568040922E-2</v>
      </c>
      <c r="H640" s="10" t="str">
        <f t="shared" si="29"/>
        <v>Under Budget</v>
      </c>
    </row>
    <row r="641" spans="1:8" x14ac:dyDescent="0.25">
      <c r="A641" s="14">
        <v>45597</v>
      </c>
      <c r="B641" s="13" t="s">
        <v>1792</v>
      </c>
      <c r="C641" s="13" t="s">
        <v>1795</v>
      </c>
      <c r="D641" s="15">
        <v>4701.16</v>
      </c>
      <c r="E641" s="15">
        <v>4329.99</v>
      </c>
      <c r="F641" s="15">
        <f t="shared" si="27"/>
        <v>-371.17000000000007</v>
      </c>
      <c r="G641" s="28">
        <f t="shared" si="28"/>
        <v>-7.8952854189178856E-2</v>
      </c>
      <c r="H641" s="13" t="str">
        <f t="shared" si="29"/>
        <v>Under Budget</v>
      </c>
    </row>
    <row r="642" spans="1:8" x14ac:dyDescent="0.25">
      <c r="A642" s="11">
        <v>45597</v>
      </c>
      <c r="B642" s="10" t="s">
        <v>1877</v>
      </c>
      <c r="C642" s="10" t="s">
        <v>1786</v>
      </c>
      <c r="D642" s="12">
        <v>7950.55</v>
      </c>
      <c r="E642" s="12">
        <v>7979.26</v>
      </c>
      <c r="F642" s="12">
        <f t="shared" ref="F642:F705" si="30">E642-D642</f>
        <v>28.710000000000036</v>
      </c>
      <c r="G642" s="27">
        <f t="shared" ref="G642:G705" si="31">IFERROR(F642/D642,0)</f>
        <v>3.6110709321996635E-3</v>
      </c>
      <c r="H642" s="10" t="str">
        <f t="shared" ref="H642:H705" si="32">IF(G642&lt;=0,"Under Budget",IF(G642&lt;=5%,"Within Budget",IF(G642&lt;=15%,"Slightly Over","Significantly Over")))</f>
        <v>Within Budget</v>
      </c>
    </row>
    <row r="643" spans="1:8" x14ac:dyDescent="0.25">
      <c r="A643" s="14">
        <v>45597</v>
      </c>
      <c r="B643" s="13" t="s">
        <v>1799</v>
      </c>
      <c r="C643" s="13" t="s">
        <v>1792</v>
      </c>
      <c r="D643" s="15">
        <v>7324.89</v>
      </c>
      <c r="E643" s="15">
        <v>6597.83</v>
      </c>
      <c r="F643" s="15">
        <f t="shared" si="30"/>
        <v>-727.0600000000004</v>
      </c>
      <c r="G643" s="28">
        <f t="shared" si="31"/>
        <v>-9.9258828460222659E-2</v>
      </c>
      <c r="H643" s="13" t="str">
        <f t="shared" si="32"/>
        <v>Under Budget</v>
      </c>
    </row>
    <row r="644" spans="1:8" x14ac:dyDescent="0.25">
      <c r="A644" s="11">
        <v>45597</v>
      </c>
      <c r="B644" s="10" t="s">
        <v>1799</v>
      </c>
      <c r="C644" s="10" t="s">
        <v>1775</v>
      </c>
      <c r="D644" s="12">
        <v>39971.15</v>
      </c>
      <c r="E644" s="12">
        <v>42347.01</v>
      </c>
      <c r="F644" s="12">
        <f t="shared" si="30"/>
        <v>2375.8600000000006</v>
      </c>
      <c r="G644" s="27">
        <f t="shared" si="31"/>
        <v>5.9439370646078495E-2</v>
      </c>
      <c r="H644" s="10" t="str">
        <f t="shared" si="32"/>
        <v>Slightly Over</v>
      </c>
    </row>
    <row r="645" spans="1:8" x14ac:dyDescent="0.25">
      <c r="A645" s="14">
        <v>45597</v>
      </c>
      <c r="B645" s="13" t="s">
        <v>1799</v>
      </c>
      <c r="C645" s="13" t="s">
        <v>1795</v>
      </c>
      <c r="D645" s="15">
        <v>2724.87</v>
      </c>
      <c r="E645" s="15">
        <v>2896.55</v>
      </c>
      <c r="F645" s="15">
        <f t="shared" si="30"/>
        <v>171.68000000000029</v>
      </c>
      <c r="G645" s="28">
        <f t="shared" si="31"/>
        <v>6.3004840597900194E-2</v>
      </c>
      <c r="H645" s="13" t="str">
        <f t="shared" si="32"/>
        <v>Slightly Over</v>
      </c>
    </row>
    <row r="646" spans="1:8" x14ac:dyDescent="0.25">
      <c r="A646" s="11">
        <v>45597</v>
      </c>
      <c r="B646" s="10" t="s">
        <v>1862</v>
      </c>
      <c r="C646" s="10" t="s">
        <v>1778</v>
      </c>
      <c r="D646" s="12">
        <v>8927.83</v>
      </c>
      <c r="E646" s="12">
        <v>8146.77</v>
      </c>
      <c r="F646" s="12">
        <f t="shared" si="30"/>
        <v>-781.05999999999949</v>
      </c>
      <c r="G646" s="27">
        <f t="shared" si="31"/>
        <v>-8.7485984836180739E-2</v>
      </c>
      <c r="H646" s="10" t="str">
        <f t="shared" si="32"/>
        <v>Under Budget</v>
      </c>
    </row>
    <row r="647" spans="1:8" x14ac:dyDescent="0.25">
      <c r="A647" s="14">
        <v>45597</v>
      </c>
      <c r="B647" s="13" t="s">
        <v>1818</v>
      </c>
      <c r="C647" s="13" t="s">
        <v>1795</v>
      </c>
      <c r="D647" s="15">
        <v>1851.15</v>
      </c>
      <c r="E647" s="15">
        <v>1688.73</v>
      </c>
      <c r="F647" s="15">
        <f t="shared" si="30"/>
        <v>-162.42000000000007</v>
      </c>
      <c r="G647" s="28">
        <f t="shared" si="31"/>
        <v>-8.7740053480269059E-2</v>
      </c>
      <c r="H647" s="13" t="str">
        <f t="shared" si="32"/>
        <v>Under Budget</v>
      </c>
    </row>
    <row r="648" spans="1:8" x14ac:dyDescent="0.25">
      <c r="A648" s="11">
        <v>45597</v>
      </c>
      <c r="B648" s="10" t="s">
        <v>1786</v>
      </c>
      <c r="C648" s="10" t="s">
        <v>1789</v>
      </c>
      <c r="D648" s="12">
        <v>7139.23</v>
      </c>
      <c r="E648" s="12">
        <v>7070.05</v>
      </c>
      <c r="F648" s="12">
        <f t="shared" si="30"/>
        <v>-69.179999999999382</v>
      </c>
      <c r="G648" s="27">
        <f t="shared" si="31"/>
        <v>-9.690120643262563E-3</v>
      </c>
      <c r="H648" s="10" t="str">
        <f t="shared" si="32"/>
        <v>Under Budget</v>
      </c>
    </row>
    <row r="649" spans="1:8" x14ac:dyDescent="0.25">
      <c r="A649" s="14">
        <v>45597</v>
      </c>
      <c r="B649" s="13" t="s">
        <v>1792</v>
      </c>
      <c r="C649" s="13" t="s">
        <v>1789</v>
      </c>
      <c r="D649" s="15">
        <v>6642.93</v>
      </c>
      <c r="E649" s="15">
        <v>7160.85</v>
      </c>
      <c r="F649" s="15">
        <f t="shared" si="30"/>
        <v>517.92000000000007</v>
      </c>
      <c r="G649" s="28">
        <f t="shared" si="31"/>
        <v>7.796559650636091E-2</v>
      </c>
      <c r="H649" s="13" t="str">
        <f t="shared" si="32"/>
        <v>Slightly Over</v>
      </c>
    </row>
    <row r="650" spans="1:8" x14ac:dyDescent="0.25">
      <c r="A650" s="11">
        <v>45597</v>
      </c>
      <c r="B650" s="10" t="s">
        <v>1818</v>
      </c>
      <c r="C650" s="10" t="s">
        <v>1780</v>
      </c>
      <c r="D650" s="12">
        <v>3825.24</v>
      </c>
      <c r="E650" s="12">
        <v>3955.18</v>
      </c>
      <c r="F650" s="12">
        <f t="shared" si="30"/>
        <v>129.94000000000005</v>
      </c>
      <c r="G650" s="27">
        <f t="shared" si="31"/>
        <v>3.3969110434900834E-2</v>
      </c>
      <c r="H650" s="10" t="str">
        <f t="shared" si="32"/>
        <v>Within Budget</v>
      </c>
    </row>
    <row r="651" spans="1:8" x14ac:dyDescent="0.25">
      <c r="A651" s="14">
        <v>45597</v>
      </c>
      <c r="B651" s="13" t="s">
        <v>1792</v>
      </c>
      <c r="C651" s="13" t="s">
        <v>1786</v>
      </c>
      <c r="D651" s="15">
        <v>12025.27</v>
      </c>
      <c r="E651" s="15">
        <v>11281.66</v>
      </c>
      <c r="F651" s="15">
        <f t="shared" si="30"/>
        <v>-743.61000000000058</v>
      </c>
      <c r="G651" s="28">
        <f t="shared" si="31"/>
        <v>-6.1837280992443462E-2</v>
      </c>
      <c r="H651" s="13" t="str">
        <f t="shared" si="32"/>
        <v>Under Budget</v>
      </c>
    </row>
    <row r="652" spans="1:8" x14ac:dyDescent="0.25">
      <c r="A652" s="11">
        <v>45597</v>
      </c>
      <c r="B652" s="10" t="s">
        <v>1799</v>
      </c>
      <c r="C652" s="10" t="s">
        <v>1786</v>
      </c>
      <c r="D652" s="12">
        <v>8312.23</v>
      </c>
      <c r="E652" s="12">
        <v>7653.15</v>
      </c>
      <c r="F652" s="12">
        <f t="shared" si="30"/>
        <v>-659.07999999999993</v>
      </c>
      <c r="G652" s="27">
        <f t="shared" si="31"/>
        <v>-7.9290394996288593E-2</v>
      </c>
      <c r="H652" s="10" t="str">
        <f t="shared" si="32"/>
        <v>Under Budget</v>
      </c>
    </row>
    <row r="653" spans="1:8" x14ac:dyDescent="0.25">
      <c r="A653" s="14">
        <v>45597</v>
      </c>
      <c r="B653" s="13" t="s">
        <v>1774</v>
      </c>
      <c r="C653" s="13" t="s">
        <v>1786</v>
      </c>
      <c r="D653" s="15">
        <v>13894.75</v>
      </c>
      <c r="E653" s="15">
        <v>14229.37</v>
      </c>
      <c r="F653" s="15">
        <f t="shared" si="30"/>
        <v>334.6200000000008</v>
      </c>
      <c r="G653" s="28">
        <f t="shared" si="31"/>
        <v>2.4082477194623926E-2</v>
      </c>
      <c r="H653" s="13" t="str">
        <f t="shared" si="32"/>
        <v>Within Budget</v>
      </c>
    </row>
    <row r="654" spans="1:8" x14ac:dyDescent="0.25">
      <c r="A654" s="11">
        <v>45597</v>
      </c>
      <c r="B654" s="10" t="s">
        <v>1877</v>
      </c>
      <c r="C654" s="10" t="s">
        <v>1783</v>
      </c>
      <c r="D654" s="12">
        <v>7408.88</v>
      </c>
      <c r="E654" s="12">
        <v>8110.69</v>
      </c>
      <c r="F654" s="12">
        <f t="shared" si="30"/>
        <v>701.80999999999949</v>
      </c>
      <c r="G654" s="27">
        <f t="shared" si="31"/>
        <v>9.4725518566908834E-2</v>
      </c>
      <c r="H654" s="10" t="str">
        <f t="shared" si="32"/>
        <v>Slightly Over</v>
      </c>
    </row>
    <row r="655" spans="1:8" x14ac:dyDescent="0.25">
      <c r="A655" s="14">
        <v>45597</v>
      </c>
      <c r="B655" s="13" t="s">
        <v>1862</v>
      </c>
      <c r="C655" s="13" t="s">
        <v>1775</v>
      </c>
      <c r="D655" s="15">
        <v>34587.29</v>
      </c>
      <c r="E655" s="15">
        <v>33051.71</v>
      </c>
      <c r="F655" s="15">
        <f t="shared" si="30"/>
        <v>-1535.5800000000017</v>
      </c>
      <c r="G655" s="28">
        <f t="shared" si="31"/>
        <v>-4.4397233781542346E-2</v>
      </c>
      <c r="H655" s="13" t="str">
        <f t="shared" si="32"/>
        <v>Under Budget</v>
      </c>
    </row>
    <row r="656" spans="1:8" x14ac:dyDescent="0.25">
      <c r="A656" s="11">
        <v>45597</v>
      </c>
      <c r="B656" s="10" t="s">
        <v>1862</v>
      </c>
      <c r="C656" s="10" t="s">
        <v>1795</v>
      </c>
      <c r="D656" s="12">
        <v>2855.61</v>
      </c>
      <c r="E656" s="12">
        <v>2687.15</v>
      </c>
      <c r="F656" s="12">
        <f t="shared" si="30"/>
        <v>-168.46000000000004</v>
      </c>
      <c r="G656" s="27">
        <f t="shared" si="31"/>
        <v>-5.8992649556487066E-2</v>
      </c>
      <c r="H656" s="10" t="str">
        <f t="shared" si="32"/>
        <v>Under Budget</v>
      </c>
    </row>
    <row r="657" spans="1:8" x14ac:dyDescent="0.25">
      <c r="A657" s="14">
        <v>45597</v>
      </c>
      <c r="B657" s="13" t="s">
        <v>1862</v>
      </c>
      <c r="C657" s="13" t="s">
        <v>1789</v>
      </c>
      <c r="D657" s="15">
        <v>4415.3999999999996</v>
      </c>
      <c r="E657" s="15">
        <v>4445.26</v>
      </c>
      <c r="F657" s="15">
        <f t="shared" si="30"/>
        <v>29.860000000000582</v>
      </c>
      <c r="G657" s="28">
        <f t="shared" si="31"/>
        <v>6.7626942066405273E-3</v>
      </c>
      <c r="H657" s="13" t="str">
        <f t="shared" si="32"/>
        <v>Within Budget</v>
      </c>
    </row>
    <row r="658" spans="1:8" x14ac:dyDescent="0.25">
      <c r="A658" s="11">
        <v>45597</v>
      </c>
      <c r="B658" s="10" t="s">
        <v>1799</v>
      </c>
      <c r="C658" s="10" t="s">
        <v>1783</v>
      </c>
      <c r="D658" s="12">
        <v>7846.2</v>
      </c>
      <c r="E658" s="12">
        <v>7630.4</v>
      </c>
      <c r="F658" s="12">
        <f t="shared" si="30"/>
        <v>-215.80000000000018</v>
      </c>
      <c r="G658" s="27">
        <f t="shared" si="31"/>
        <v>-2.7503759781805227E-2</v>
      </c>
      <c r="H658" s="10" t="str">
        <f t="shared" si="32"/>
        <v>Under Budget</v>
      </c>
    </row>
    <row r="659" spans="1:8" x14ac:dyDescent="0.25">
      <c r="A659" s="14">
        <v>45597</v>
      </c>
      <c r="B659" s="13" t="s">
        <v>1877</v>
      </c>
      <c r="C659" s="13" t="s">
        <v>1797</v>
      </c>
      <c r="D659" s="15">
        <v>3661.84</v>
      </c>
      <c r="E659" s="15">
        <v>3277.63</v>
      </c>
      <c r="F659" s="15">
        <f t="shared" si="30"/>
        <v>-384.21000000000004</v>
      </c>
      <c r="G659" s="28">
        <f t="shared" si="31"/>
        <v>-0.10492266183121055</v>
      </c>
      <c r="H659" s="13" t="str">
        <f t="shared" si="32"/>
        <v>Under Budget</v>
      </c>
    </row>
    <row r="660" spans="1:8" x14ac:dyDescent="0.25">
      <c r="A660" s="11">
        <v>45597</v>
      </c>
      <c r="B660" s="10" t="s">
        <v>1799</v>
      </c>
      <c r="C660" s="10" t="s">
        <v>1797</v>
      </c>
      <c r="D660" s="12">
        <v>2277.04</v>
      </c>
      <c r="E660" s="12">
        <v>2387.09</v>
      </c>
      <c r="F660" s="12">
        <f t="shared" si="30"/>
        <v>110.05000000000018</v>
      </c>
      <c r="G660" s="27">
        <f t="shared" si="31"/>
        <v>4.8330288444647519E-2</v>
      </c>
      <c r="H660" s="10" t="str">
        <f t="shared" si="32"/>
        <v>Within Budget</v>
      </c>
    </row>
    <row r="661" spans="1:8" x14ac:dyDescent="0.25">
      <c r="A661" s="14">
        <v>45597</v>
      </c>
      <c r="B661" s="13" t="s">
        <v>1792</v>
      </c>
      <c r="C661" s="13" t="s">
        <v>1783</v>
      </c>
      <c r="D661" s="15">
        <v>12815.41</v>
      </c>
      <c r="E661" s="15">
        <v>12489.98</v>
      </c>
      <c r="F661" s="15">
        <f t="shared" si="30"/>
        <v>-325.43000000000029</v>
      </c>
      <c r="G661" s="28">
        <f t="shared" si="31"/>
        <v>-2.5393647179450387E-2</v>
      </c>
      <c r="H661" s="13" t="str">
        <f t="shared" si="32"/>
        <v>Under Budget</v>
      </c>
    </row>
    <row r="662" spans="1:8" x14ac:dyDescent="0.25">
      <c r="A662" s="11">
        <v>45597</v>
      </c>
      <c r="B662" s="10" t="s">
        <v>1774</v>
      </c>
      <c r="C662" s="10" t="s">
        <v>1792</v>
      </c>
      <c r="D662" s="12">
        <v>16075.94</v>
      </c>
      <c r="E662" s="12">
        <v>15541.15</v>
      </c>
      <c r="F662" s="12">
        <f t="shared" si="30"/>
        <v>-534.79000000000087</v>
      </c>
      <c r="G662" s="27">
        <f t="shared" si="31"/>
        <v>-3.3266483950549756E-2</v>
      </c>
      <c r="H662" s="10" t="str">
        <f t="shared" si="32"/>
        <v>Under Budget</v>
      </c>
    </row>
    <row r="663" spans="1:8" x14ac:dyDescent="0.25">
      <c r="A663" s="14">
        <v>45597</v>
      </c>
      <c r="B663" s="13" t="s">
        <v>1774</v>
      </c>
      <c r="C663" s="13" t="s">
        <v>1778</v>
      </c>
      <c r="D663" s="15">
        <v>17982.849999999999</v>
      </c>
      <c r="E663" s="15">
        <v>17616.37</v>
      </c>
      <c r="F663" s="15">
        <f t="shared" si="30"/>
        <v>-366.47999999999956</v>
      </c>
      <c r="G663" s="28">
        <f t="shared" si="31"/>
        <v>-2.037941705569471E-2</v>
      </c>
      <c r="H663" s="13" t="str">
        <f t="shared" si="32"/>
        <v>Under Budget</v>
      </c>
    </row>
    <row r="664" spans="1:8" x14ac:dyDescent="0.25">
      <c r="A664" s="11">
        <v>45597</v>
      </c>
      <c r="B664" s="10" t="s">
        <v>1774</v>
      </c>
      <c r="C664" s="10" t="s">
        <v>1789</v>
      </c>
      <c r="D664" s="12">
        <v>11242.03</v>
      </c>
      <c r="E664" s="12">
        <v>10302.370000000001</v>
      </c>
      <c r="F664" s="12">
        <f t="shared" si="30"/>
        <v>-939.65999999999985</v>
      </c>
      <c r="G664" s="27">
        <f t="shared" si="31"/>
        <v>-8.358454834224778E-2</v>
      </c>
      <c r="H664" s="10" t="str">
        <f t="shared" si="32"/>
        <v>Under Budget</v>
      </c>
    </row>
    <row r="665" spans="1:8" x14ac:dyDescent="0.25">
      <c r="A665" s="14">
        <v>45597</v>
      </c>
      <c r="B665" s="13" t="s">
        <v>1786</v>
      </c>
      <c r="C665" s="13" t="s">
        <v>1797</v>
      </c>
      <c r="D665" s="15">
        <v>3790</v>
      </c>
      <c r="E665" s="15">
        <v>3668.56</v>
      </c>
      <c r="F665" s="15">
        <f t="shared" si="30"/>
        <v>-121.44000000000005</v>
      </c>
      <c r="G665" s="28">
        <f t="shared" si="31"/>
        <v>-3.2042216358839068E-2</v>
      </c>
      <c r="H665" s="13" t="str">
        <f t="shared" si="32"/>
        <v>Under Budget</v>
      </c>
    </row>
    <row r="666" spans="1:8" x14ac:dyDescent="0.25">
      <c r="A666" s="11">
        <v>45597</v>
      </c>
      <c r="B666" s="10" t="s">
        <v>1877</v>
      </c>
      <c r="C666" s="10" t="s">
        <v>1778</v>
      </c>
      <c r="D666" s="12">
        <v>12732.02</v>
      </c>
      <c r="E666" s="12">
        <v>12584.33</v>
      </c>
      <c r="F666" s="12">
        <f t="shared" si="30"/>
        <v>-147.69000000000051</v>
      </c>
      <c r="G666" s="27">
        <f t="shared" si="31"/>
        <v>-1.1599887527666506E-2</v>
      </c>
      <c r="H666" s="10" t="str">
        <f t="shared" si="32"/>
        <v>Under Budget</v>
      </c>
    </row>
    <row r="667" spans="1:8" x14ac:dyDescent="0.25">
      <c r="A667" s="14">
        <v>45597</v>
      </c>
      <c r="B667" s="13" t="s">
        <v>1862</v>
      </c>
      <c r="C667" s="13" t="s">
        <v>1786</v>
      </c>
      <c r="D667" s="15">
        <v>6460.56</v>
      </c>
      <c r="E667" s="15">
        <v>6968.84</v>
      </c>
      <c r="F667" s="15">
        <f t="shared" si="30"/>
        <v>508.27999999999975</v>
      </c>
      <c r="G667" s="28">
        <f t="shared" si="31"/>
        <v>7.8674294488403435E-2</v>
      </c>
      <c r="H667" s="13" t="str">
        <f t="shared" si="32"/>
        <v>Slightly Over</v>
      </c>
    </row>
    <row r="668" spans="1:8" x14ac:dyDescent="0.25">
      <c r="A668" s="11">
        <v>45597</v>
      </c>
      <c r="B668" s="10" t="s">
        <v>1877</v>
      </c>
      <c r="C668" s="10" t="s">
        <v>1789</v>
      </c>
      <c r="D668" s="12">
        <v>5439.8</v>
      </c>
      <c r="E668" s="12">
        <v>5157.6499999999996</v>
      </c>
      <c r="F668" s="12">
        <f t="shared" si="30"/>
        <v>-282.15000000000055</v>
      </c>
      <c r="G668" s="27">
        <f t="shared" si="31"/>
        <v>-5.1867715724842924E-2</v>
      </c>
      <c r="H668" s="10" t="str">
        <f t="shared" si="32"/>
        <v>Under Budget</v>
      </c>
    </row>
    <row r="669" spans="1:8" x14ac:dyDescent="0.25">
      <c r="A669" s="14">
        <v>45597</v>
      </c>
      <c r="B669" s="13" t="s">
        <v>1818</v>
      </c>
      <c r="C669" s="13" t="s">
        <v>1778</v>
      </c>
      <c r="D669" s="15">
        <v>7246.31</v>
      </c>
      <c r="E669" s="15">
        <v>7799.58</v>
      </c>
      <c r="F669" s="15">
        <f t="shared" si="30"/>
        <v>553.26999999999953</v>
      </c>
      <c r="G669" s="28">
        <f t="shared" si="31"/>
        <v>7.6351963965107683E-2</v>
      </c>
      <c r="H669" s="13" t="str">
        <f t="shared" si="32"/>
        <v>Slightly Over</v>
      </c>
    </row>
    <row r="670" spans="1:8" x14ac:dyDescent="0.25">
      <c r="A670" s="11">
        <v>45597</v>
      </c>
      <c r="B670" s="10" t="s">
        <v>1774</v>
      </c>
      <c r="C670" s="10" t="s">
        <v>1775</v>
      </c>
      <c r="D670" s="12">
        <v>101592.36</v>
      </c>
      <c r="E670" s="12">
        <v>112151.99</v>
      </c>
      <c r="F670" s="12">
        <f t="shared" si="30"/>
        <v>10559.630000000005</v>
      </c>
      <c r="G670" s="27">
        <f t="shared" si="31"/>
        <v>0.10394118219125931</v>
      </c>
      <c r="H670" s="10" t="str">
        <f t="shared" si="32"/>
        <v>Slightly Over</v>
      </c>
    </row>
    <row r="671" spans="1:8" x14ac:dyDescent="0.25">
      <c r="A671" s="14">
        <v>45597</v>
      </c>
      <c r="B671" s="13" t="s">
        <v>1792</v>
      </c>
      <c r="C671" s="13" t="s">
        <v>1797</v>
      </c>
      <c r="D671" s="15">
        <v>4987.62</v>
      </c>
      <c r="E671" s="15">
        <v>4950.6099999999997</v>
      </c>
      <c r="F671" s="15">
        <f t="shared" si="30"/>
        <v>-37.010000000000218</v>
      </c>
      <c r="G671" s="28">
        <f t="shared" si="31"/>
        <v>-7.4203728431597076E-3</v>
      </c>
      <c r="H671" s="13" t="str">
        <f t="shared" si="32"/>
        <v>Under Budget</v>
      </c>
    </row>
    <row r="672" spans="1:8" x14ac:dyDescent="0.25">
      <c r="A672" s="11">
        <v>45597</v>
      </c>
      <c r="B672" s="10" t="s">
        <v>1774</v>
      </c>
      <c r="C672" s="10" t="s">
        <v>1783</v>
      </c>
      <c r="D672" s="12">
        <v>13248.27</v>
      </c>
      <c r="E672" s="12">
        <v>12913.32</v>
      </c>
      <c r="F672" s="12">
        <f t="shared" si="30"/>
        <v>-334.95000000000073</v>
      </c>
      <c r="G672" s="27">
        <f t="shared" si="31"/>
        <v>-2.528254632491644E-2</v>
      </c>
      <c r="H672" s="10" t="str">
        <f t="shared" si="32"/>
        <v>Under Budget</v>
      </c>
    </row>
    <row r="673" spans="1:8" x14ac:dyDescent="0.25">
      <c r="A673" s="14">
        <v>45597</v>
      </c>
      <c r="B673" s="13" t="s">
        <v>1877</v>
      </c>
      <c r="C673" s="13" t="s">
        <v>1792</v>
      </c>
      <c r="D673" s="15">
        <v>9611.94</v>
      </c>
      <c r="E673" s="15">
        <v>8583.68</v>
      </c>
      <c r="F673" s="15">
        <f t="shared" si="30"/>
        <v>-1028.2600000000002</v>
      </c>
      <c r="G673" s="28">
        <f t="shared" si="31"/>
        <v>-0.1069773635707256</v>
      </c>
      <c r="H673" s="13" t="str">
        <f t="shared" si="32"/>
        <v>Under Budget</v>
      </c>
    </row>
    <row r="674" spans="1:8" x14ac:dyDescent="0.25">
      <c r="A674" s="11">
        <v>45597</v>
      </c>
      <c r="B674" s="10" t="s">
        <v>1877</v>
      </c>
      <c r="C674" s="10" t="s">
        <v>1775</v>
      </c>
      <c r="D674" s="12">
        <v>72787.44</v>
      </c>
      <c r="E674" s="12">
        <v>68881.06</v>
      </c>
      <c r="F674" s="12">
        <f t="shared" si="30"/>
        <v>-3906.3800000000047</v>
      </c>
      <c r="G674" s="27">
        <f t="shared" si="31"/>
        <v>-5.3668325194566595E-2</v>
      </c>
      <c r="H674" s="10" t="str">
        <f t="shared" si="32"/>
        <v>Under Budget</v>
      </c>
    </row>
    <row r="675" spans="1:8" x14ac:dyDescent="0.25">
      <c r="A675" s="14">
        <v>45597</v>
      </c>
      <c r="B675" s="13" t="s">
        <v>1862</v>
      </c>
      <c r="C675" s="13" t="s">
        <v>1783</v>
      </c>
      <c r="D675" s="15">
        <v>7429.72</v>
      </c>
      <c r="E675" s="15">
        <v>6837.02</v>
      </c>
      <c r="F675" s="15">
        <f t="shared" si="30"/>
        <v>-592.69999999999982</v>
      </c>
      <c r="G675" s="28">
        <f t="shared" si="31"/>
        <v>-7.977420414228259E-2</v>
      </c>
      <c r="H675" s="13" t="str">
        <f t="shared" si="32"/>
        <v>Under Budget</v>
      </c>
    </row>
    <row r="676" spans="1:8" x14ac:dyDescent="0.25">
      <c r="A676" s="11">
        <v>45597</v>
      </c>
      <c r="B676" s="10" t="s">
        <v>1818</v>
      </c>
      <c r="C676" s="10" t="s">
        <v>1783</v>
      </c>
      <c r="D676" s="12">
        <v>5642</v>
      </c>
      <c r="E676" s="12">
        <v>5779.52</v>
      </c>
      <c r="F676" s="12">
        <f t="shared" si="30"/>
        <v>137.52000000000044</v>
      </c>
      <c r="G676" s="27">
        <f t="shared" si="31"/>
        <v>2.4374335342077356E-2</v>
      </c>
      <c r="H676" s="10" t="str">
        <f t="shared" si="32"/>
        <v>Within Budget</v>
      </c>
    </row>
    <row r="677" spans="1:8" x14ac:dyDescent="0.25">
      <c r="A677" s="14">
        <v>45597</v>
      </c>
      <c r="B677" s="13" t="s">
        <v>1799</v>
      </c>
      <c r="C677" s="13" t="s">
        <v>1780</v>
      </c>
      <c r="D677" s="15">
        <v>3948.28</v>
      </c>
      <c r="E677" s="15">
        <v>3901.61</v>
      </c>
      <c r="F677" s="15">
        <f t="shared" si="30"/>
        <v>-46.670000000000073</v>
      </c>
      <c r="G677" s="28">
        <f t="shared" si="31"/>
        <v>-1.1820336956852116E-2</v>
      </c>
      <c r="H677" s="13" t="str">
        <f t="shared" si="32"/>
        <v>Under Budget</v>
      </c>
    </row>
    <row r="678" spans="1:8" x14ac:dyDescent="0.25">
      <c r="A678" s="11">
        <v>45597</v>
      </c>
      <c r="B678" s="10" t="s">
        <v>1774</v>
      </c>
      <c r="C678" s="10" t="s">
        <v>1795</v>
      </c>
      <c r="D678" s="12">
        <v>5496.22</v>
      </c>
      <c r="E678" s="12">
        <v>4932.2700000000004</v>
      </c>
      <c r="F678" s="12">
        <f t="shared" si="30"/>
        <v>-563.94999999999982</v>
      </c>
      <c r="G678" s="27">
        <f t="shared" si="31"/>
        <v>-0.10260688254836957</v>
      </c>
      <c r="H678" s="10" t="str">
        <f t="shared" si="32"/>
        <v>Under Budget</v>
      </c>
    </row>
    <row r="679" spans="1:8" x14ac:dyDescent="0.25">
      <c r="A679" s="14">
        <v>45597</v>
      </c>
      <c r="B679" s="13" t="s">
        <v>1792</v>
      </c>
      <c r="C679" s="13" t="s">
        <v>1775</v>
      </c>
      <c r="D679" s="15">
        <v>86091.86</v>
      </c>
      <c r="E679" s="15">
        <v>86801.42</v>
      </c>
      <c r="F679" s="15">
        <f t="shared" si="30"/>
        <v>709.55999999999767</v>
      </c>
      <c r="G679" s="28">
        <f t="shared" si="31"/>
        <v>8.2418941814010951E-3</v>
      </c>
      <c r="H679" s="13" t="str">
        <f t="shared" si="32"/>
        <v>Within Budget</v>
      </c>
    </row>
    <row r="680" spans="1:8" x14ac:dyDescent="0.25">
      <c r="A680" s="11">
        <v>45597</v>
      </c>
      <c r="B680" s="10" t="s">
        <v>1862</v>
      </c>
      <c r="C680" s="10" t="s">
        <v>1780</v>
      </c>
      <c r="D680" s="12">
        <v>4220.7700000000004</v>
      </c>
      <c r="E680" s="12">
        <v>3916.81</v>
      </c>
      <c r="F680" s="12">
        <f t="shared" si="30"/>
        <v>-303.96000000000049</v>
      </c>
      <c r="G680" s="27">
        <f t="shared" si="31"/>
        <v>-7.2015295787261679E-2</v>
      </c>
      <c r="H680" s="10" t="str">
        <f t="shared" si="32"/>
        <v>Under Budget</v>
      </c>
    </row>
    <row r="681" spans="1:8" x14ac:dyDescent="0.25">
      <c r="A681" s="14">
        <v>45597</v>
      </c>
      <c r="B681" s="13" t="s">
        <v>1818</v>
      </c>
      <c r="C681" s="13" t="s">
        <v>1792</v>
      </c>
      <c r="D681" s="15">
        <v>4935.25</v>
      </c>
      <c r="E681" s="15">
        <v>4858.88</v>
      </c>
      <c r="F681" s="15">
        <f t="shared" si="30"/>
        <v>-76.369999999999891</v>
      </c>
      <c r="G681" s="28">
        <f t="shared" si="31"/>
        <v>-1.5474393394458212E-2</v>
      </c>
      <c r="H681" s="13" t="str">
        <f t="shared" si="32"/>
        <v>Under Budget</v>
      </c>
    </row>
    <row r="682" spans="1:8" x14ac:dyDescent="0.25">
      <c r="A682" s="11">
        <v>45597</v>
      </c>
      <c r="B682" s="10" t="s">
        <v>1774</v>
      </c>
      <c r="C682" s="10" t="s">
        <v>1780</v>
      </c>
      <c r="D682" s="12">
        <v>8545.0499999999993</v>
      </c>
      <c r="E682" s="12">
        <v>9001.69</v>
      </c>
      <c r="F682" s="12">
        <f t="shared" si="30"/>
        <v>456.64000000000124</v>
      </c>
      <c r="G682" s="27">
        <f t="shared" si="31"/>
        <v>5.3439125575625801E-2</v>
      </c>
      <c r="H682" s="10" t="str">
        <f t="shared" si="32"/>
        <v>Slightly Over</v>
      </c>
    </row>
    <row r="683" spans="1:8" x14ac:dyDescent="0.25">
      <c r="A683" s="14">
        <v>45597</v>
      </c>
      <c r="B683" s="13" t="s">
        <v>1786</v>
      </c>
      <c r="C683" s="13" t="s">
        <v>1786</v>
      </c>
      <c r="D683" s="15">
        <v>9586.18</v>
      </c>
      <c r="E683" s="15">
        <v>9327.8700000000008</v>
      </c>
      <c r="F683" s="15">
        <f t="shared" si="30"/>
        <v>-258.30999999999949</v>
      </c>
      <c r="G683" s="28">
        <f t="shared" si="31"/>
        <v>-2.6946082798361755E-2</v>
      </c>
      <c r="H683" s="13" t="str">
        <f t="shared" si="32"/>
        <v>Under Budget</v>
      </c>
    </row>
    <row r="684" spans="1:8" x14ac:dyDescent="0.25">
      <c r="A684" s="11">
        <v>45597</v>
      </c>
      <c r="B684" s="10" t="s">
        <v>1862</v>
      </c>
      <c r="C684" s="10" t="s">
        <v>1797</v>
      </c>
      <c r="D684" s="12">
        <v>2421.27</v>
      </c>
      <c r="E684" s="12">
        <v>2554.15</v>
      </c>
      <c r="F684" s="12">
        <f t="shared" si="30"/>
        <v>132.88000000000011</v>
      </c>
      <c r="G684" s="27">
        <f t="shared" si="31"/>
        <v>5.4880290095693625E-2</v>
      </c>
      <c r="H684" s="10" t="str">
        <f t="shared" si="32"/>
        <v>Slightly Over</v>
      </c>
    </row>
    <row r="685" spans="1:8" x14ac:dyDescent="0.25">
      <c r="A685" s="14">
        <v>45597</v>
      </c>
      <c r="B685" s="13" t="s">
        <v>1786</v>
      </c>
      <c r="C685" s="13" t="s">
        <v>1780</v>
      </c>
      <c r="D685" s="15">
        <v>5351.79</v>
      </c>
      <c r="E685" s="15">
        <v>5942.04</v>
      </c>
      <c r="F685" s="15">
        <f t="shared" si="30"/>
        <v>590.25</v>
      </c>
      <c r="G685" s="28">
        <f t="shared" si="31"/>
        <v>0.11029020196980824</v>
      </c>
      <c r="H685" s="13" t="str">
        <f t="shared" si="32"/>
        <v>Slightly Over</v>
      </c>
    </row>
    <row r="686" spans="1:8" x14ac:dyDescent="0.25">
      <c r="A686" s="11">
        <v>45597</v>
      </c>
      <c r="B686" s="10" t="s">
        <v>1818</v>
      </c>
      <c r="C686" s="10" t="s">
        <v>1775</v>
      </c>
      <c r="D686" s="12">
        <v>37305.5</v>
      </c>
      <c r="E686" s="12">
        <v>39190.68</v>
      </c>
      <c r="F686" s="12">
        <f t="shared" si="30"/>
        <v>1885.1800000000003</v>
      </c>
      <c r="G686" s="27">
        <f t="shared" si="31"/>
        <v>5.0533567436436992E-2</v>
      </c>
      <c r="H686" s="10" t="str">
        <f t="shared" si="32"/>
        <v>Slightly Over</v>
      </c>
    </row>
    <row r="687" spans="1:8" x14ac:dyDescent="0.25">
      <c r="A687" s="14">
        <v>45597</v>
      </c>
      <c r="B687" s="13" t="s">
        <v>1774</v>
      </c>
      <c r="C687" s="13" t="s">
        <v>1797</v>
      </c>
      <c r="D687" s="15">
        <v>5195.92</v>
      </c>
      <c r="E687" s="15">
        <v>5512.96</v>
      </c>
      <c r="F687" s="15">
        <f t="shared" si="30"/>
        <v>317.03999999999996</v>
      </c>
      <c r="G687" s="28">
        <f t="shared" si="31"/>
        <v>6.1017105729110524E-2</v>
      </c>
      <c r="H687" s="13" t="str">
        <f t="shared" si="32"/>
        <v>Slightly Over</v>
      </c>
    </row>
    <row r="688" spans="1:8" x14ac:dyDescent="0.25">
      <c r="A688" s="11">
        <v>45597</v>
      </c>
      <c r="B688" s="10" t="s">
        <v>1786</v>
      </c>
      <c r="C688" s="10" t="s">
        <v>1775</v>
      </c>
      <c r="D688" s="12">
        <v>54940.63</v>
      </c>
      <c r="E688" s="12">
        <v>55970.34</v>
      </c>
      <c r="F688" s="12">
        <f t="shared" si="30"/>
        <v>1029.7099999999991</v>
      </c>
      <c r="G688" s="27">
        <f t="shared" si="31"/>
        <v>1.8742231386862495E-2</v>
      </c>
      <c r="H688" s="10" t="str">
        <f t="shared" si="32"/>
        <v>Within Budget</v>
      </c>
    </row>
    <row r="689" spans="1:8" x14ac:dyDescent="0.25">
      <c r="A689" s="14">
        <v>45597</v>
      </c>
      <c r="B689" s="13" t="s">
        <v>1792</v>
      </c>
      <c r="C689" s="13" t="s">
        <v>1780</v>
      </c>
      <c r="D689" s="15">
        <v>10100.33</v>
      </c>
      <c r="E689" s="15">
        <v>9219.91</v>
      </c>
      <c r="F689" s="15">
        <f t="shared" si="30"/>
        <v>-880.42000000000007</v>
      </c>
      <c r="G689" s="28">
        <f t="shared" si="31"/>
        <v>-8.7167448984340118E-2</v>
      </c>
      <c r="H689" s="13" t="str">
        <f t="shared" si="32"/>
        <v>Under Budget</v>
      </c>
    </row>
    <row r="690" spans="1:8" x14ac:dyDescent="0.25">
      <c r="A690" s="11">
        <v>45597</v>
      </c>
      <c r="B690" s="10" t="s">
        <v>1877</v>
      </c>
      <c r="C690" s="10" t="s">
        <v>1780</v>
      </c>
      <c r="D690" s="12">
        <v>5978.81</v>
      </c>
      <c r="E690" s="12">
        <v>6067.84</v>
      </c>
      <c r="F690" s="12">
        <f t="shared" si="30"/>
        <v>89.029999999999745</v>
      </c>
      <c r="G690" s="27">
        <f t="shared" si="31"/>
        <v>1.4890923110117187E-2</v>
      </c>
      <c r="H690" s="10" t="str">
        <f t="shared" si="32"/>
        <v>Within Budget</v>
      </c>
    </row>
    <row r="691" spans="1:8" x14ac:dyDescent="0.25">
      <c r="A691" s="14">
        <v>45597</v>
      </c>
      <c r="B691" s="13" t="s">
        <v>1799</v>
      </c>
      <c r="C691" s="13" t="s">
        <v>1778</v>
      </c>
      <c r="D691" s="15">
        <v>10400.32</v>
      </c>
      <c r="E691" s="15">
        <v>9577.24</v>
      </c>
      <c r="F691" s="15">
        <f t="shared" si="30"/>
        <v>-823.07999999999993</v>
      </c>
      <c r="G691" s="28">
        <f t="shared" si="31"/>
        <v>-7.9139872619304011E-2</v>
      </c>
      <c r="H691" s="13" t="str">
        <f t="shared" si="32"/>
        <v>Under Budget</v>
      </c>
    </row>
    <row r="692" spans="1:8" x14ac:dyDescent="0.25">
      <c r="A692" s="11">
        <v>45597</v>
      </c>
      <c r="B692" s="10" t="s">
        <v>1792</v>
      </c>
      <c r="C692" s="10" t="s">
        <v>1792</v>
      </c>
      <c r="D692" s="12">
        <v>14370.4</v>
      </c>
      <c r="E692" s="12">
        <v>14057.83</v>
      </c>
      <c r="F692" s="12">
        <f t="shared" si="30"/>
        <v>-312.56999999999971</v>
      </c>
      <c r="G692" s="27">
        <f t="shared" si="31"/>
        <v>-2.1750960307298315E-2</v>
      </c>
      <c r="H692" s="10" t="str">
        <f t="shared" si="32"/>
        <v>Under Budget</v>
      </c>
    </row>
    <row r="693" spans="1:8" x14ac:dyDescent="0.25">
      <c r="A693" s="14">
        <v>45597</v>
      </c>
      <c r="B693" s="13" t="s">
        <v>1818</v>
      </c>
      <c r="C693" s="13" t="s">
        <v>1786</v>
      </c>
      <c r="D693" s="15">
        <v>5499.52</v>
      </c>
      <c r="E693" s="15">
        <v>6099.23</v>
      </c>
      <c r="F693" s="15">
        <f t="shared" si="30"/>
        <v>599.70999999999913</v>
      </c>
      <c r="G693" s="28">
        <f t="shared" si="31"/>
        <v>0.10904769870825073</v>
      </c>
      <c r="H693" s="13" t="str">
        <f t="shared" si="32"/>
        <v>Slightly Over</v>
      </c>
    </row>
    <row r="694" spans="1:8" x14ac:dyDescent="0.25">
      <c r="A694" s="11">
        <v>45597</v>
      </c>
      <c r="B694" s="10" t="s">
        <v>1799</v>
      </c>
      <c r="C694" s="10" t="s">
        <v>1789</v>
      </c>
      <c r="D694" s="12">
        <v>4035.45</v>
      </c>
      <c r="E694" s="12">
        <v>4286.09</v>
      </c>
      <c r="F694" s="12">
        <f t="shared" si="30"/>
        <v>250.64000000000033</v>
      </c>
      <c r="G694" s="27">
        <f t="shared" si="31"/>
        <v>6.2109554076992736E-2</v>
      </c>
      <c r="H694" s="10" t="str">
        <f t="shared" si="32"/>
        <v>Slightly Over</v>
      </c>
    </row>
    <row r="695" spans="1:8" x14ac:dyDescent="0.25">
      <c r="A695" s="14">
        <v>45627</v>
      </c>
      <c r="B695" s="13" t="s">
        <v>1862</v>
      </c>
      <c r="C695" s="13" t="s">
        <v>1786</v>
      </c>
      <c r="D695" s="15">
        <v>7776.61</v>
      </c>
      <c r="E695" s="15">
        <v>7038.41</v>
      </c>
      <c r="F695" s="15">
        <f t="shared" si="30"/>
        <v>-738.19999999999982</v>
      </c>
      <c r="G695" s="28">
        <f t="shared" si="31"/>
        <v>-9.4925680984387778E-2</v>
      </c>
      <c r="H695" s="13" t="str">
        <f t="shared" si="32"/>
        <v>Under Budget</v>
      </c>
    </row>
    <row r="696" spans="1:8" x14ac:dyDescent="0.25">
      <c r="A696" s="11">
        <v>45627</v>
      </c>
      <c r="B696" s="10" t="s">
        <v>1862</v>
      </c>
      <c r="C696" s="10" t="s">
        <v>1775</v>
      </c>
      <c r="D696" s="12">
        <v>34866.99</v>
      </c>
      <c r="E696" s="12">
        <v>33755.81</v>
      </c>
      <c r="F696" s="12">
        <f t="shared" si="30"/>
        <v>-1111.1800000000003</v>
      </c>
      <c r="G696" s="27">
        <f t="shared" si="31"/>
        <v>-3.1869111730034635E-2</v>
      </c>
      <c r="H696" s="10" t="str">
        <f t="shared" si="32"/>
        <v>Under Budget</v>
      </c>
    </row>
    <row r="697" spans="1:8" x14ac:dyDescent="0.25">
      <c r="A697" s="14">
        <v>45627</v>
      </c>
      <c r="B697" s="13" t="s">
        <v>1818</v>
      </c>
      <c r="C697" s="13" t="s">
        <v>1775</v>
      </c>
      <c r="D697" s="15">
        <v>34678.07</v>
      </c>
      <c r="E697" s="15">
        <v>31397.07</v>
      </c>
      <c r="F697" s="15">
        <f t="shared" si="30"/>
        <v>-3281</v>
      </c>
      <c r="G697" s="28">
        <f t="shared" si="31"/>
        <v>-9.4613108514977909E-2</v>
      </c>
      <c r="H697" s="13" t="str">
        <f t="shared" si="32"/>
        <v>Under Budget</v>
      </c>
    </row>
    <row r="698" spans="1:8" x14ac:dyDescent="0.25">
      <c r="A698" s="11">
        <v>45627</v>
      </c>
      <c r="B698" s="10" t="s">
        <v>1818</v>
      </c>
      <c r="C698" s="10" t="s">
        <v>1795</v>
      </c>
      <c r="D698" s="12">
        <v>2394.38</v>
      </c>
      <c r="E698" s="12">
        <v>2472.9499999999998</v>
      </c>
      <c r="F698" s="12">
        <f t="shared" si="30"/>
        <v>78.569999999999709</v>
      </c>
      <c r="G698" s="27">
        <f t="shared" si="31"/>
        <v>3.2814340246744338E-2</v>
      </c>
      <c r="H698" s="10" t="str">
        <f t="shared" si="32"/>
        <v>Within Budget</v>
      </c>
    </row>
    <row r="699" spans="1:8" x14ac:dyDescent="0.25">
      <c r="A699" s="14">
        <v>45627</v>
      </c>
      <c r="B699" s="13" t="s">
        <v>1774</v>
      </c>
      <c r="C699" s="13" t="s">
        <v>1775</v>
      </c>
      <c r="D699" s="15">
        <v>115969.33</v>
      </c>
      <c r="E699" s="15">
        <v>109648.77</v>
      </c>
      <c r="F699" s="15">
        <f t="shared" si="30"/>
        <v>-6320.5599999999977</v>
      </c>
      <c r="G699" s="28">
        <f t="shared" si="31"/>
        <v>-5.4501996346792703E-2</v>
      </c>
      <c r="H699" s="13" t="str">
        <f t="shared" si="32"/>
        <v>Under Budget</v>
      </c>
    </row>
    <row r="700" spans="1:8" x14ac:dyDescent="0.25">
      <c r="A700" s="11">
        <v>45627</v>
      </c>
      <c r="B700" s="10" t="s">
        <v>1799</v>
      </c>
      <c r="C700" s="10" t="s">
        <v>1795</v>
      </c>
      <c r="D700" s="12">
        <v>2674.45</v>
      </c>
      <c r="E700" s="12">
        <v>2499.85</v>
      </c>
      <c r="F700" s="12">
        <f t="shared" si="30"/>
        <v>-174.59999999999991</v>
      </c>
      <c r="G700" s="27">
        <f t="shared" si="31"/>
        <v>-6.5284451008618571E-2</v>
      </c>
      <c r="H700" s="10" t="str">
        <f t="shared" si="32"/>
        <v>Under Budget</v>
      </c>
    </row>
    <row r="701" spans="1:8" x14ac:dyDescent="0.25">
      <c r="A701" s="14">
        <v>45627</v>
      </c>
      <c r="B701" s="13" t="s">
        <v>1877</v>
      </c>
      <c r="C701" s="13" t="s">
        <v>1792</v>
      </c>
      <c r="D701" s="15">
        <v>12774.02</v>
      </c>
      <c r="E701" s="15">
        <v>11460.08</v>
      </c>
      <c r="F701" s="15">
        <f t="shared" si="30"/>
        <v>-1313.9400000000005</v>
      </c>
      <c r="G701" s="28">
        <f t="shared" si="31"/>
        <v>-0.10286033683992983</v>
      </c>
      <c r="H701" s="13" t="str">
        <f t="shared" si="32"/>
        <v>Under Budget</v>
      </c>
    </row>
    <row r="702" spans="1:8" x14ac:dyDescent="0.25">
      <c r="A702" s="11">
        <v>45627</v>
      </c>
      <c r="B702" s="10" t="s">
        <v>1799</v>
      </c>
      <c r="C702" s="10" t="s">
        <v>1775</v>
      </c>
      <c r="D702" s="12">
        <v>44870.53</v>
      </c>
      <c r="E702" s="12">
        <v>49635.61</v>
      </c>
      <c r="F702" s="12">
        <f t="shared" si="30"/>
        <v>4765.0800000000017</v>
      </c>
      <c r="G702" s="27">
        <f t="shared" si="31"/>
        <v>0.10619620494788008</v>
      </c>
      <c r="H702" s="10" t="str">
        <f t="shared" si="32"/>
        <v>Slightly Over</v>
      </c>
    </row>
    <row r="703" spans="1:8" x14ac:dyDescent="0.25">
      <c r="A703" s="14">
        <v>45627</v>
      </c>
      <c r="B703" s="13" t="s">
        <v>1774</v>
      </c>
      <c r="C703" s="13" t="s">
        <v>1786</v>
      </c>
      <c r="D703" s="15">
        <v>18835.03</v>
      </c>
      <c r="E703" s="15">
        <v>16976.259999999998</v>
      </c>
      <c r="F703" s="15">
        <f t="shared" si="30"/>
        <v>-1858.7700000000004</v>
      </c>
      <c r="G703" s="28">
        <f t="shared" si="31"/>
        <v>-9.8686861661489281E-2</v>
      </c>
      <c r="H703" s="13" t="str">
        <f t="shared" si="32"/>
        <v>Under Budget</v>
      </c>
    </row>
    <row r="704" spans="1:8" x14ac:dyDescent="0.25">
      <c r="A704" s="11">
        <v>45627</v>
      </c>
      <c r="B704" s="10" t="s">
        <v>1786</v>
      </c>
      <c r="C704" s="10" t="s">
        <v>1797</v>
      </c>
      <c r="D704" s="12">
        <v>4786.3599999999997</v>
      </c>
      <c r="E704" s="12">
        <v>4853.58</v>
      </c>
      <c r="F704" s="12">
        <f t="shared" si="30"/>
        <v>67.220000000000255</v>
      </c>
      <c r="G704" s="27">
        <f t="shared" si="31"/>
        <v>1.4044075247160736E-2</v>
      </c>
      <c r="H704" s="10" t="str">
        <f t="shared" si="32"/>
        <v>Within Budget</v>
      </c>
    </row>
    <row r="705" spans="1:8" x14ac:dyDescent="0.25">
      <c r="A705" s="14">
        <v>45627</v>
      </c>
      <c r="B705" s="13" t="s">
        <v>1774</v>
      </c>
      <c r="C705" s="13" t="s">
        <v>1792</v>
      </c>
      <c r="D705" s="15">
        <v>18950.66</v>
      </c>
      <c r="E705" s="15">
        <v>17476.38</v>
      </c>
      <c r="F705" s="15">
        <f t="shared" si="30"/>
        <v>-1474.2799999999988</v>
      </c>
      <c r="G705" s="28">
        <f t="shared" si="31"/>
        <v>-7.7795707379056916E-2</v>
      </c>
      <c r="H705" s="13" t="str">
        <f t="shared" si="32"/>
        <v>Under Budget</v>
      </c>
    </row>
    <row r="706" spans="1:8" x14ac:dyDescent="0.25">
      <c r="A706" s="11">
        <v>45627</v>
      </c>
      <c r="B706" s="10" t="s">
        <v>1774</v>
      </c>
      <c r="C706" s="10" t="s">
        <v>1780</v>
      </c>
      <c r="D706" s="12">
        <v>11418.34</v>
      </c>
      <c r="E706" s="12">
        <v>11196.24</v>
      </c>
      <c r="F706" s="12">
        <f t="shared" ref="F706:F769" si="33">E706-D706</f>
        <v>-222.10000000000036</v>
      </c>
      <c r="G706" s="27">
        <f t="shared" ref="G706:G769" si="34">IFERROR(F706/D706,0)</f>
        <v>-1.945116365426151E-2</v>
      </c>
      <c r="H706" s="10" t="str">
        <f t="shared" ref="H706:H769" si="35">IF(G706&lt;=0,"Under Budget",IF(G706&lt;=5%,"Within Budget",IF(G706&lt;=15%,"Slightly Over","Significantly Over")))</f>
        <v>Under Budget</v>
      </c>
    </row>
    <row r="707" spans="1:8" x14ac:dyDescent="0.25">
      <c r="A707" s="14">
        <v>45627</v>
      </c>
      <c r="B707" s="13" t="s">
        <v>1786</v>
      </c>
      <c r="C707" s="13" t="s">
        <v>1778</v>
      </c>
      <c r="D707" s="15">
        <v>14851.83</v>
      </c>
      <c r="E707" s="15">
        <v>14500.58</v>
      </c>
      <c r="F707" s="15">
        <f t="shared" si="33"/>
        <v>-351.25</v>
      </c>
      <c r="G707" s="28">
        <f t="shared" si="34"/>
        <v>-2.3650284173734819E-2</v>
      </c>
      <c r="H707" s="13" t="str">
        <f t="shared" si="35"/>
        <v>Under Budget</v>
      </c>
    </row>
    <row r="708" spans="1:8" x14ac:dyDescent="0.25">
      <c r="A708" s="11">
        <v>45627</v>
      </c>
      <c r="B708" s="10" t="s">
        <v>1877</v>
      </c>
      <c r="C708" s="10" t="s">
        <v>1775</v>
      </c>
      <c r="D708" s="12">
        <v>70176.23</v>
      </c>
      <c r="E708" s="12">
        <v>71676.92</v>
      </c>
      <c r="F708" s="12">
        <f t="shared" si="33"/>
        <v>1500.6900000000023</v>
      </c>
      <c r="G708" s="27">
        <f t="shared" si="34"/>
        <v>2.138459133527125E-2</v>
      </c>
      <c r="H708" s="10" t="str">
        <f t="shared" si="35"/>
        <v>Within Budget</v>
      </c>
    </row>
    <row r="709" spans="1:8" x14ac:dyDescent="0.25">
      <c r="A709" s="14">
        <v>45627</v>
      </c>
      <c r="B709" s="13" t="s">
        <v>1799</v>
      </c>
      <c r="C709" s="13" t="s">
        <v>1797</v>
      </c>
      <c r="D709" s="15">
        <v>2359.77</v>
      </c>
      <c r="E709" s="15">
        <v>2180.4</v>
      </c>
      <c r="F709" s="15">
        <f t="shared" si="33"/>
        <v>-179.36999999999989</v>
      </c>
      <c r="G709" s="28">
        <f t="shared" si="34"/>
        <v>-7.6011645202710393E-2</v>
      </c>
      <c r="H709" s="13" t="str">
        <f t="shared" si="35"/>
        <v>Under Budget</v>
      </c>
    </row>
    <row r="710" spans="1:8" x14ac:dyDescent="0.25">
      <c r="A710" s="11">
        <v>45627</v>
      </c>
      <c r="B710" s="10" t="s">
        <v>1774</v>
      </c>
      <c r="C710" s="10" t="s">
        <v>1778</v>
      </c>
      <c r="D710" s="12">
        <v>19426.78</v>
      </c>
      <c r="E710" s="12">
        <v>20276.72</v>
      </c>
      <c r="F710" s="12">
        <f t="shared" si="33"/>
        <v>849.94000000000233</v>
      </c>
      <c r="G710" s="27">
        <f t="shared" si="34"/>
        <v>4.3750945859272736E-2</v>
      </c>
      <c r="H710" s="10" t="str">
        <f t="shared" si="35"/>
        <v>Within Budget</v>
      </c>
    </row>
    <row r="711" spans="1:8" x14ac:dyDescent="0.25">
      <c r="A711" s="14">
        <v>45627</v>
      </c>
      <c r="B711" s="13" t="s">
        <v>1786</v>
      </c>
      <c r="C711" s="13" t="s">
        <v>1792</v>
      </c>
      <c r="D711" s="15">
        <v>10808.6</v>
      </c>
      <c r="E711" s="15">
        <v>10719.7</v>
      </c>
      <c r="F711" s="15">
        <f t="shared" si="33"/>
        <v>-88.899999999999636</v>
      </c>
      <c r="G711" s="28">
        <f t="shared" si="34"/>
        <v>-8.2249319985936778E-3</v>
      </c>
      <c r="H711" s="13" t="str">
        <f t="shared" si="35"/>
        <v>Under Budget</v>
      </c>
    </row>
    <row r="712" spans="1:8" x14ac:dyDescent="0.25">
      <c r="A712" s="11">
        <v>45627</v>
      </c>
      <c r="B712" s="10" t="s">
        <v>1792</v>
      </c>
      <c r="C712" s="10" t="s">
        <v>1789</v>
      </c>
      <c r="D712" s="12">
        <v>10133.14</v>
      </c>
      <c r="E712" s="12">
        <v>9903.01</v>
      </c>
      <c r="F712" s="12">
        <f t="shared" si="33"/>
        <v>-230.1299999999992</v>
      </c>
      <c r="G712" s="27">
        <f t="shared" si="34"/>
        <v>-2.2710630663348105E-2</v>
      </c>
      <c r="H712" s="10" t="str">
        <f t="shared" si="35"/>
        <v>Under Budget</v>
      </c>
    </row>
    <row r="713" spans="1:8" x14ac:dyDescent="0.25">
      <c r="A713" s="14">
        <v>45627</v>
      </c>
      <c r="B713" s="13" t="s">
        <v>1862</v>
      </c>
      <c r="C713" s="13" t="s">
        <v>1780</v>
      </c>
      <c r="D713" s="15">
        <v>4219.3</v>
      </c>
      <c r="E713" s="15">
        <v>3967.91</v>
      </c>
      <c r="F713" s="15">
        <f t="shared" si="33"/>
        <v>-251.39000000000033</v>
      </c>
      <c r="G713" s="28">
        <f t="shared" si="34"/>
        <v>-5.9580973147204584E-2</v>
      </c>
      <c r="H713" s="13" t="str">
        <f t="shared" si="35"/>
        <v>Under Budget</v>
      </c>
    </row>
    <row r="714" spans="1:8" x14ac:dyDescent="0.25">
      <c r="A714" s="11">
        <v>45627</v>
      </c>
      <c r="B714" s="10" t="s">
        <v>1818</v>
      </c>
      <c r="C714" s="10" t="s">
        <v>1783</v>
      </c>
      <c r="D714" s="12">
        <v>6164.75</v>
      </c>
      <c r="E714" s="12">
        <v>6141.66</v>
      </c>
      <c r="F714" s="12">
        <f t="shared" si="33"/>
        <v>-23.090000000000146</v>
      </c>
      <c r="G714" s="27">
        <f t="shared" si="34"/>
        <v>-3.7454884626303008E-3</v>
      </c>
      <c r="H714" s="10" t="str">
        <f t="shared" si="35"/>
        <v>Under Budget</v>
      </c>
    </row>
    <row r="715" spans="1:8" x14ac:dyDescent="0.25">
      <c r="A715" s="14">
        <v>45627</v>
      </c>
      <c r="B715" s="13" t="s">
        <v>1792</v>
      </c>
      <c r="C715" s="13" t="s">
        <v>1792</v>
      </c>
      <c r="D715" s="15">
        <v>14166.62</v>
      </c>
      <c r="E715" s="15">
        <v>13496.36</v>
      </c>
      <c r="F715" s="15">
        <f t="shared" si="33"/>
        <v>-670.26000000000022</v>
      </c>
      <c r="G715" s="28">
        <f t="shared" si="34"/>
        <v>-4.7312626441592995E-2</v>
      </c>
      <c r="H715" s="13" t="str">
        <f t="shared" si="35"/>
        <v>Under Budget</v>
      </c>
    </row>
    <row r="716" spans="1:8" x14ac:dyDescent="0.25">
      <c r="A716" s="11">
        <v>45627</v>
      </c>
      <c r="B716" s="10" t="s">
        <v>1786</v>
      </c>
      <c r="C716" s="10" t="s">
        <v>1789</v>
      </c>
      <c r="D716" s="12">
        <v>5999.51</v>
      </c>
      <c r="E716" s="12">
        <v>5959.2</v>
      </c>
      <c r="F716" s="12">
        <f t="shared" si="33"/>
        <v>-40.3100000000004</v>
      </c>
      <c r="G716" s="27">
        <f t="shared" si="34"/>
        <v>-6.7188820420334989E-3</v>
      </c>
      <c r="H716" s="10" t="str">
        <f t="shared" si="35"/>
        <v>Under Budget</v>
      </c>
    </row>
    <row r="717" spans="1:8" x14ac:dyDescent="0.25">
      <c r="A717" s="14">
        <v>45627</v>
      </c>
      <c r="B717" s="13" t="s">
        <v>1862</v>
      </c>
      <c r="C717" s="13" t="s">
        <v>1795</v>
      </c>
      <c r="D717" s="15">
        <v>2623.56</v>
      </c>
      <c r="E717" s="15">
        <v>2510.46</v>
      </c>
      <c r="F717" s="15">
        <f t="shared" si="33"/>
        <v>-113.09999999999991</v>
      </c>
      <c r="G717" s="28">
        <f t="shared" si="34"/>
        <v>-4.3109362850477943E-2</v>
      </c>
      <c r="H717" s="13" t="str">
        <f t="shared" si="35"/>
        <v>Under Budget</v>
      </c>
    </row>
    <row r="718" spans="1:8" x14ac:dyDescent="0.25">
      <c r="A718" s="11">
        <v>45627</v>
      </c>
      <c r="B718" s="10" t="s">
        <v>1786</v>
      </c>
      <c r="C718" s="10" t="s">
        <v>1795</v>
      </c>
      <c r="D718" s="12">
        <v>3906.52</v>
      </c>
      <c r="E718" s="12">
        <v>3726.49</v>
      </c>
      <c r="F718" s="12">
        <f t="shared" si="33"/>
        <v>-180.0300000000002</v>
      </c>
      <c r="G718" s="27">
        <f t="shared" si="34"/>
        <v>-4.608449463973055E-2</v>
      </c>
      <c r="H718" s="10" t="str">
        <f t="shared" si="35"/>
        <v>Under Budget</v>
      </c>
    </row>
    <row r="719" spans="1:8" x14ac:dyDescent="0.25">
      <c r="A719" s="14">
        <v>45627</v>
      </c>
      <c r="B719" s="13" t="s">
        <v>1877</v>
      </c>
      <c r="C719" s="13" t="s">
        <v>1783</v>
      </c>
      <c r="D719" s="15">
        <v>10047.68</v>
      </c>
      <c r="E719" s="15">
        <v>9514.15</v>
      </c>
      <c r="F719" s="15">
        <f t="shared" si="33"/>
        <v>-533.53000000000065</v>
      </c>
      <c r="G719" s="28">
        <f t="shared" si="34"/>
        <v>-5.3099820057963695E-2</v>
      </c>
      <c r="H719" s="13" t="str">
        <f t="shared" si="35"/>
        <v>Under Budget</v>
      </c>
    </row>
    <row r="720" spans="1:8" x14ac:dyDescent="0.25">
      <c r="A720" s="11">
        <v>45627</v>
      </c>
      <c r="B720" s="10" t="s">
        <v>1818</v>
      </c>
      <c r="C720" s="10" t="s">
        <v>1797</v>
      </c>
      <c r="D720" s="12">
        <v>2375.08</v>
      </c>
      <c r="E720" s="12">
        <v>2196.86</v>
      </c>
      <c r="F720" s="12">
        <f t="shared" si="33"/>
        <v>-178.2199999999998</v>
      </c>
      <c r="G720" s="27">
        <f t="shared" si="34"/>
        <v>-7.5037472421981499E-2</v>
      </c>
      <c r="H720" s="10" t="str">
        <f t="shared" si="35"/>
        <v>Under Budget</v>
      </c>
    </row>
    <row r="721" spans="1:8" x14ac:dyDescent="0.25">
      <c r="A721" s="14">
        <v>45627</v>
      </c>
      <c r="B721" s="13" t="s">
        <v>1818</v>
      </c>
      <c r="C721" s="13" t="s">
        <v>1789</v>
      </c>
      <c r="D721" s="15">
        <v>3490.51</v>
      </c>
      <c r="E721" s="15">
        <v>3425.56</v>
      </c>
      <c r="F721" s="15">
        <f t="shared" si="33"/>
        <v>-64.950000000000273</v>
      </c>
      <c r="G721" s="28">
        <f t="shared" si="34"/>
        <v>-1.8607596024649769E-2</v>
      </c>
      <c r="H721" s="13" t="str">
        <f t="shared" si="35"/>
        <v>Under Budget</v>
      </c>
    </row>
    <row r="722" spans="1:8" x14ac:dyDescent="0.25">
      <c r="A722" s="11">
        <v>45627</v>
      </c>
      <c r="B722" s="10" t="s">
        <v>1786</v>
      </c>
      <c r="C722" s="10" t="s">
        <v>1783</v>
      </c>
      <c r="D722" s="12">
        <v>12029.44</v>
      </c>
      <c r="E722" s="12">
        <v>12763.04</v>
      </c>
      <c r="F722" s="12">
        <f t="shared" si="33"/>
        <v>733.60000000000036</v>
      </c>
      <c r="G722" s="27">
        <f t="shared" si="34"/>
        <v>6.0983719940412878E-2</v>
      </c>
      <c r="H722" s="10" t="str">
        <f t="shared" si="35"/>
        <v>Slightly Over</v>
      </c>
    </row>
    <row r="723" spans="1:8" x14ac:dyDescent="0.25">
      <c r="A723" s="14">
        <v>45627</v>
      </c>
      <c r="B723" s="13" t="s">
        <v>1786</v>
      </c>
      <c r="C723" s="13" t="s">
        <v>1786</v>
      </c>
      <c r="D723" s="15">
        <v>10014.75</v>
      </c>
      <c r="E723" s="15">
        <v>9542.2099999999991</v>
      </c>
      <c r="F723" s="15">
        <f t="shared" si="33"/>
        <v>-472.54000000000087</v>
      </c>
      <c r="G723" s="28">
        <f t="shared" si="34"/>
        <v>-4.7184403005566873E-2</v>
      </c>
      <c r="H723" s="13" t="str">
        <f t="shared" si="35"/>
        <v>Under Budget</v>
      </c>
    </row>
    <row r="724" spans="1:8" x14ac:dyDescent="0.25">
      <c r="A724" s="11">
        <v>45627</v>
      </c>
      <c r="B724" s="10" t="s">
        <v>1862</v>
      </c>
      <c r="C724" s="10" t="s">
        <v>1789</v>
      </c>
      <c r="D724" s="12">
        <v>3967.72</v>
      </c>
      <c r="E724" s="12">
        <v>4327.01</v>
      </c>
      <c r="F724" s="12">
        <f t="shared" si="33"/>
        <v>359.29000000000042</v>
      </c>
      <c r="G724" s="27">
        <f t="shared" si="34"/>
        <v>9.055326484731796E-2</v>
      </c>
      <c r="H724" s="10" t="str">
        <f t="shared" si="35"/>
        <v>Slightly Over</v>
      </c>
    </row>
    <row r="725" spans="1:8" x14ac:dyDescent="0.25">
      <c r="A725" s="14">
        <v>45627</v>
      </c>
      <c r="B725" s="13" t="s">
        <v>1818</v>
      </c>
      <c r="C725" s="13" t="s">
        <v>1786</v>
      </c>
      <c r="D725" s="15">
        <v>5501.1</v>
      </c>
      <c r="E725" s="15">
        <v>5801.81</v>
      </c>
      <c r="F725" s="15">
        <f t="shared" si="33"/>
        <v>300.71000000000004</v>
      </c>
      <c r="G725" s="28">
        <f t="shared" si="34"/>
        <v>5.4663612731999059E-2</v>
      </c>
      <c r="H725" s="13" t="str">
        <f t="shared" si="35"/>
        <v>Slightly Over</v>
      </c>
    </row>
    <row r="726" spans="1:8" x14ac:dyDescent="0.25">
      <c r="A726" s="11">
        <v>45627</v>
      </c>
      <c r="B726" s="10" t="s">
        <v>1792</v>
      </c>
      <c r="C726" s="10" t="s">
        <v>1786</v>
      </c>
      <c r="D726" s="12">
        <v>12716.97</v>
      </c>
      <c r="E726" s="12">
        <v>11837.73</v>
      </c>
      <c r="F726" s="12">
        <f t="shared" si="33"/>
        <v>-879.23999999999978</v>
      </c>
      <c r="G726" s="27">
        <f t="shared" si="34"/>
        <v>-6.913911096747101E-2</v>
      </c>
      <c r="H726" s="10" t="str">
        <f t="shared" si="35"/>
        <v>Under Budget</v>
      </c>
    </row>
    <row r="727" spans="1:8" x14ac:dyDescent="0.25">
      <c r="A727" s="14">
        <v>45627</v>
      </c>
      <c r="B727" s="13" t="s">
        <v>1774</v>
      </c>
      <c r="C727" s="13" t="s">
        <v>1797</v>
      </c>
      <c r="D727" s="15">
        <v>5305.64</v>
      </c>
      <c r="E727" s="15">
        <v>5328.47</v>
      </c>
      <c r="F727" s="15">
        <f t="shared" si="33"/>
        <v>22.829999999999927</v>
      </c>
      <c r="G727" s="28">
        <f t="shared" si="34"/>
        <v>4.3029681621821166E-3</v>
      </c>
      <c r="H727" s="13" t="str">
        <f t="shared" si="35"/>
        <v>Within Budget</v>
      </c>
    </row>
    <row r="728" spans="1:8" x14ac:dyDescent="0.25">
      <c r="A728" s="11">
        <v>45627</v>
      </c>
      <c r="B728" s="10" t="s">
        <v>1774</v>
      </c>
      <c r="C728" s="10" t="s">
        <v>1783</v>
      </c>
      <c r="D728" s="12">
        <v>18815.38</v>
      </c>
      <c r="E728" s="12">
        <v>18637.03</v>
      </c>
      <c r="F728" s="12">
        <f t="shared" si="33"/>
        <v>-178.35000000000218</v>
      </c>
      <c r="G728" s="27">
        <f t="shared" si="34"/>
        <v>-9.4789475418515165E-3</v>
      </c>
      <c r="H728" s="10" t="str">
        <f t="shared" si="35"/>
        <v>Under Budget</v>
      </c>
    </row>
    <row r="729" spans="1:8" x14ac:dyDescent="0.25">
      <c r="A729" s="14">
        <v>45627</v>
      </c>
      <c r="B729" s="13" t="s">
        <v>1774</v>
      </c>
      <c r="C729" s="13" t="s">
        <v>1795</v>
      </c>
      <c r="D729" s="15">
        <v>6279.85</v>
      </c>
      <c r="E729" s="15">
        <v>5620.92</v>
      </c>
      <c r="F729" s="15">
        <f t="shared" si="33"/>
        <v>-658.93000000000029</v>
      </c>
      <c r="G729" s="28">
        <f t="shared" si="34"/>
        <v>-0.10492766546971667</v>
      </c>
      <c r="H729" s="13" t="str">
        <f t="shared" si="35"/>
        <v>Under Budget</v>
      </c>
    </row>
    <row r="730" spans="1:8" x14ac:dyDescent="0.25">
      <c r="A730" s="11">
        <v>45627</v>
      </c>
      <c r="B730" s="10" t="s">
        <v>1774</v>
      </c>
      <c r="C730" s="10" t="s">
        <v>1789</v>
      </c>
      <c r="D730" s="12">
        <v>7792.46</v>
      </c>
      <c r="E730" s="12">
        <v>8187.61</v>
      </c>
      <c r="F730" s="12">
        <f t="shared" si="33"/>
        <v>395.14999999999964</v>
      </c>
      <c r="G730" s="27">
        <f t="shared" si="34"/>
        <v>5.0709275376453603E-2</v>
      </c>
      <c r="H730" s="10" t="str">
        <f t="shared" si="35"/>
        <v>Slightly Over</v>
      </c>
    </row>
    <row r="731" spans="1:8" x14ac:dyDescent="0.25">
      <c r="A731" s="14">
        <v>45627</v>
      </c>
      <c r="B731" s="13" t="s">
        <v>1786</v>
      </c>
      <c r="C731" s="13" t="s">
        <v>1775</v>
      </c>
      <c r="D731" s="15">
        <v>66984.070000000007</v>
      </c>
      <c r="E731" s="15">
        <v>74072.710000000006</v>
      </c>
      <c r="F731" s="15">
        <f t="shared" si="33"/>
        <v>7088.6399999999994</v>
      </c>
      <c r="G731" s="28">
        <f t="shared" si="34"/>
        <v>0.10582575827357159</v>
      </c>
      <c r="H731" s="13" t="str">
        <f t="shared" si="35"/>
        <v>Slightly Over</v>
      </c>
    </row>
    <row r="732" spans="1:8" x14ac:dyDescent="0.25">
      <c r="A732" s="11">
        <v>45627</v>
      </c>
      <c r="B732" s="10" t="s">
        <v>1786</v>
      </c>
      <c r="C732" s="10" t="s">
        <v>1780</v>
      </c>
      <c r="D732" s="12">
        <v>6468.62</v>
      </c>
      <c r="E732" s="12">
        <v>6996.87</v>
      </c>
      <c r="F732" s="12">
        <f t="shared" si="33"/>
        <v>528.25</v>
      </c>
      <c r="G732" s="27">
        <f t="shared" si="34"/>
        <v>8.1663476908521451E-2</v>
      </c>
      <c r="H732" s="10" t="str">
        <f t="shared" si="35"/>
        <v>Slightly Over</v>
      </c>
    </row>
    <row r="733" spans="1:8" x14ac:dyDescent="0.25">
      <c r="A733" s="14">
        <v>45627</v>
      </c>
      <c r="B733" s="13" t="s">
        <v>1862</v>
      </c>
      <c r="C733" s="13" t="s">
        <v>1797</v>
      </c>
      <c r="D733" s="15">
        <v>2140.8000000000002</v>
      </c>
      <c r="E733" s="15">
        <v>2244.52</v>
      </c>
      <c r="F733" s="15">
        <f t="shared" si="33"/>
        <v>103.7199999999998</v>
      </c>
      <c r="G733" s="28">
        <f t="shared" si="34"/>
        <v>4.8449177877428903E-2</v>
      </c>
      <c r="H733" s="13" t="str">
        <f t="shared" si="35"/>
        <v>Within Budget</v>
      </c>
    </row>
    <row r="734" spans="1:8" x14ac:dyDescent="0.25">
      <c r="A734" s="11">
        <v>45627</v>
      </c>
      <c r="B734" s="10" t="s">
        <v>1792</v>
      </c>
      <c r="C734" s="10" t="s">
        <v>1778</v>
      </c>
      <c r="D734" s="12">
        <v>21242.13</v>
      </c>
      <c r="E734" s="12">
        <v>20045.37</v>
      </c>
      <c r="F734" s="12">
        <f t="shared" si="33"/>
        <v>-1196.760000000002</v>
      </c>
      <c r="G734" s="27">
        <f t="shared" si="34"/>
        <v>-5.6338982955099232E-2</v>
      </c>
      <c r="H734" s="10" t="str">
        <f t="shared" si="35"/>
        <v>Under Budget</v>
      </c>
    </row>
    <row r="735" spans="1:8" x14ac:dyDescent="0.25">
      <c r="A735" s="14">
        <v>45627</v>
      </c>
      <c r="B735" s="13" t="s">
        <v>1792</v>
      </c>
      <c r="C735" s="13" t="s">
        <v>1783</v>
      </c>
      <c r="D735" s="15">
        <v>12416</v>
      </c>
      <c r="E735" s="15">
        <v>11596.36</v>
      </c>
      <c r="F735" s="15">
        <f t="shared" si="33"/>
        <v>-819.63999999999942</v>
      </c>
      <c r="G735" s="28">
        <f t="shared" si="34"/>
        <v>-6.6014819587628823E-2</v>
      </c>
      <c r="H735" s="13" t="str">
        <f t="shared" si="35"/>
        <v>Under Budget</v>
      </c>
    </row>
    <row r="736" spans="1:8" x14ac:dyDescent="0.25">
      <c r="A736" s="11">
        <v>45627</v>
      </c>
      <c r="B736" s="10" t="s">
        <v>1799</v>
      </c>
      <c r="C736" s="10" t="s">
        <v>1786</v>
      </c>
      <c r="D736" s="12">
        <v>7236.87</v>
      </c>
      <c r="E736" s="12">
        <v>7064.44</v>
      </c>
      <c r="F736" s="12">
        <f t="shared" si="33"/>
        <v>-172.43000000000029</v>
      </c>
      <c r="G736" s="27">
        <f t="shared" si="34"/>
        <v>-2.3826599068381814E-2</v>
      </c>
      <c r="H736" s="10" t="str">
        <f t="shared" si="35"/>
        <v>Under Budget</v>
      </c>
    </row>
    <row r="737" spans="1:8" x14ac:dyDescent="0.25">
      <c r="A737" s="14">
        <v>45627</v>
      </c>
      <c r="B737" s="13" t="s">
        <v>1792</v>
      </c>
      <c r="C737" s="13" t="s">
        <v>1780</v>
      </c>
      <c r="D737" s="15">
        <v>7322.75</v>
      </c>
      <c r="E737" s="15">
        <v>7658.9</v>
      </c>
      <c r="F737" s="15">
        <f t="shared" si="33"/>
        <v>336.14999999999964</v>
      </c>
      <c r="G737" s="28">
        <f t="shared" si="34"/>
        <v>4.5904885459697467E-2</v>
      </c>
      <c r="H737" s="13" t="str">
        <f t="shared" si="35"/>
        <v>Within Budget</v>
      </c>
    </row>
    <row r="738" spans="1:8" x14ac:dyDescent="0.25">
      <c r="A738" s="11">
        <v>45627</v>
      </c>
      <c r="B738" s="10" t="s">
        <v>1862</v>
      </c>
      <c r="C738" s="10" t="s">
        <v>1783</v>
      </c>
      <c r="D738" s="12">
        <v>5845.26</v>
      </c>
      <c r="E738" s="12">
        <v>5760.11</v>
      </c>
      <c r="F738" s="12">
        <f t="shared" si="33"/>
        <v>-85.150000000000546</v>
      </c>
      <c r="G738" s="27">
        <f t="shared" si="34"/>
        <v>-1.4567358851445538E-2</v>
      </c>
      <c r="H738" s="10" t="str">
        <f t="shared" si="35"/>
        <v>Under Budget</v>
      </c>
    </row>
    <row r="739" spans="1:8" x14ac:dyDescent="0.25">
      <c r="A739" s="14">
        <v>45627</v>
      </c>
      <c r="B739" s="13" t="s">
        <v>1799</v>
      </c>
      <c r="C739" s="13" t="s">
        <v>1792</v>
      </c>
      <c r="D739" s="15">
        <v>5068.8100000000004</v>
      </c>
      <c r="E739" s="15">
        <v>5611.49</v>
      </c>
      <c r="F739" s="15">
        <f t="shared" si="33"/>
        <v>542.67999999999938</v>
      </c>
      <c r="G739" s="28">
        <f t="shared" si="34"/>
        <v>0.10706260443772786</v>
      </c>
      <c r="H739" s="13" t="str">
        <f t="shared" si="35"/>
        <v>Slightly Over</v>
      </c>
    </row>
    <row r="740" spans="1:8" x14ac:dyDescent="0.25">
      <c r="A740" s="11">
        <v>45627</v>
      </c>
      <c r="B740" s="10" t="s">
        <v>1792</v>
      </c>
      <c r="C740" s="10" t="s">
        <v>1795</v>
      </c>
      <c r="D740" s="12">
        <v>5074.55</v>
      </c>
      <c r="E740" s="12">
        <v>4832.92</v>
      </c>
      <c r="F740" s="12">
        <f t="shared" si="33"/>
        <v>-241.63000000000011</v>
      </c>
      <c r="G740" s="27">
        <f t="shared" si="34"/>
        <v>-4.7616044772442898E-2</v>
      </c>
      <c r="H740" s="10" t="str">
        <f t="shared" si="35"/>
        <v>Under Budget</v>
      </c>
    </row>
    <row r="741" spans="1:8" x14ac:dyDescent="0.25">
      <c r="A741" s="14">
        <v>45627</v>
      </c>
      <c r="B741" s="13" t="s">
        <v>1877</v>
      </c>
      <c r="C741" s="13" t="s">
        <v>1778</v>
      </c>
      <c r="D741" s="15">
        <v>11066.79</v>
      </c>
      <c r="E741" s="15">
        <v>10691.05</v>
      </c>
      <c r="F741" s="15">
        <f t="shared" si="33"/>
        <v>-375.7400000000016</v>
      </c>
      <c r="G741" s="28">
        <f t="shared" si="34"/>
        <v>-3.3952031257483119E-2</v>
      </c>
      <c r="H741" s="13" t="str">
        <f t="shared" si="35"/>
        <v>Under Budget</v>
      </c>
    </row>
    <row r="742" spans="1:8" x14ac:dyDescent="0.25">
      <c r="A742" s="11">
        <v>45627</v>
      </c>
      <c r="B742" s="10" t="s">
        <v>1818</v>
      </c>
      <c r="C742" s="10" t="s">
        <v>1792</v>
      </c>
      <c r="D742" s="12">
        <v>5916.47</v>
      </c>
      <c r="E742" s="12">
        <v>6539.01</v>
      </c>
      <c r="F742" s="12">
        <f t="shared" si="33"/>
        <v>622.54</v>
      </c>
      <c r="G742" s="27">
        <f t="shared" si="34"/>
        <v>0.10522152567324772</v>
      </c>
      <c r="H742" s="10" t="str">
        <f t="shared" si="35"/>
        <v>Slightly Over</v>
      </c>
    </row>
    <row r="743" spans="1:8" x14ac:dyDescent="0.25">
      <c r="A743" s="14">
        <v>45627</v>
      </c>
      <c r="B743" s="13" t="s">
        <v>1818</v>
      </c>
      <c r="C743" s="13" t="s">
        <v>1780</v>
      </c>
      <c r="D743" s="15">
        <v>4443.63</v>
      </c>
      <c r="E743" s="15">
        <v>4115.45</v>
      </c>
      <c r="F743" s="15">
        <f t="shared" si="33"/>
        <v>-328.18000000000029</v>
      </c>
      <c r="G743" s="28">
        <f t="shared" si="34"/>
        <v>-7.3854033751685061E-2</v>
      </c>
      <c r="H743" s="13" t="str">
        <f t="shared" si="35"/>
        <v>Under Budget</v>
      </c>
    </row>
    <row r="744" spans="1:8" x14ac:dyDescent="0.25">
      <c r="A744" s="11">
        <v>45627</v>
      </c>
      <c r="B744" s="10" t="s">
        <v>1799</v>
      </c>
      <c r="C744" s="10" t="s">
        <v>1778</v>
      </c>
      <c r="D744" s="12">
        <v>8292.74</v>
      </c>
      <c r="E744" s="12">
        <v>7765.07</v>
      </c>
      <c r="F744" s="12">
        <f t="shared" si="33"/>
        <v>-527.67000000000007</v>
      </c>
      <c r="G744" s="27">
        <f t="shared" si="34"/>
        <v>-6.3630356191077986E-2</v>
      </c>
      <c r="H744" s="10" t="str">
        <f t="shared" si="35"/>
        <v>Under Budget</v>
      </c>
    </row>
    <row r="745" spans="1:8" x14ac:dyDescent="0.25">
      <c r="A745" s="14">
        <v>45627</v>
      </c>
      <c r="B745" s="13" t="s">
        <v>1799</v>
      </c>
      <c r="C745" s="13" t="s">
        <v>1789</v>
      </c>
      <c r="D745" s="15">
        <v>4233.6499999999996</v>
      </c>
      <c r="E745" s="15">
        <v>4374.47</v>
      </c>
      <c r="F745" s="15">
        <f t="shared" si="33"/>
        <v>140.82000000000062</v>
      </c>
      <c r="G745" s="28">
        <f t="shared" si="34"/>
        <v>3.326207882087575E-2</v>
      </c>
      <c r="H745" s="13" t="str">
        <f t="shared" si="35"/>
        <v>Within Budget</v>
      </c>
    </row>
    <row r="746" spans="1:8" x14ac:dyDescent="0.25">
      <c r="A746" s="11">
        <v>45627</v>
      </c>
      <c r="B746" s="10" t="s">
        <v>1792</v>
      </c>
      <c r="C746" s="10" t="s">
        <v>1775</v>
      </c>
      <c r="D746" s="12">
        <v>73181.58</v>
      </c>
      <c r="E746" s="12">
        <v>70381.600000000006</v>
      </c>
      <c r="F746" s="12">
        <f t="shared" si="33"/>
        <v>-2799.9799999999959</v>
      </c>
      <c r="G746" s="27">
        <f t="shared" si="34"/>
        <v>-3.8260720798867637E-2</v>
      </c>
      <c r="H746" s="10" t="str">
        <f t="shared" si="35"/>
        <v>Under Budget</v>
      </c>
    </row>
    <row r="747" spans="1:8" x14ac:dyDescent="0.25">
      <c r="A747" s="14">
        <v>45627</v>
      </c>
      <c r="B747" s="13" t="s">
        <v>1877</v>
      </c>
      <c r="C747" s="13" t="s">
        <v>1795</v>
      </c>
      <c r="D747" s="15">
        <v>3713.76</v>
      </c>
      <c r="E747" s="15">
        <v>3597.46</v>
      </c>
      <c r="F747" s="15">
        <f t="shared" si="33"/>
        <v>-116.30000000000018</v>
      </c>
      <c r="G747" s="28">
        <f t="shared" si="34"/>
        <v>-3.1315970875877862E-2</v>
      </c>
      <c r="H747" s="13" t="str">
        <f t="shared" si="35"/>
        <v>Under Budget</v>
      </c>
    </row>
    <row r="748" spans="1:8" x14ac:dyDescent="0.25">
      <c r="A748" s="11">
        <v>45627</v>
      </c>
      <c r="B748" s="10" t="s">
        <v>1877</v>
      </c>
      <c r="C748" s="10" t="s">
        <v>1780</v>
      </c>
      <c r="D748" s="12">
        <v>5922.58</v>
      </c>
      <c r="E748" s="12">
        <v>6358.11</v>
      </c>
      <c r="F748" s="12">
        <f t="shared" si="33"/>
        <v>435.52999999999975</v>
      </c>
      <c r="G748" s="27">
        <f t="shared" si="34"/>
        <v>7.3537208446318961E-2</v>
      </c>
      <c r="H748" s="10" t="str">
        <f t="shared" si="35"/>
        <v>Slightly Over</v>
      </c>
    </row>
    <row r="749" spans="1:8" x14ac:dyDescent="0.25">
      <c r="A749" s="14">
        <v>45627</v>
      </c>
      <c r="B749" s="13" t="s">
        <v>1862</v>
      </c>
      <c r="C749" s="13" t="s">
        <v>1778</v>
      </c>
      <c r="D749" s="15">
        <v>6453.08</v>
      </c>
      <c r="E749" s="15">
        <v>6846.65</v>
      </c>
      <c r="F749" s="15">
        <f t="shared" si="33"/>
        <v>393.56999999999971</v>
      </c>
      <c r="G749" s="28">
        <f t="shared" si="34"/>
        <v>6.0989480992022373E-2</v>
      </c>
      <c r="H749" s="13" t="str">
        <f t="shared" si="35"/>
        <v>Slightly Over</v>
      </c>
    </row>
    <row r="750" spans="1:8" x14ac:dyDescent="0.25">
      <c r="A750" s="11">
        <v>45627</v>
      </c>
      <c r="B750" s="10" t="s">
        <v>1818</v>
      </c>
      <c r="C750" s="10" t="s">
        <v>1778</v>
      </c>
      <c r="D750" s="12">
        <v>8400.11</v>
      </c>
      <c r="E750" s="12">
        <v>7997.78</v>
      </c>
      <c r="F750" s="12">
        <f t="shared" si="33"/>
        <v>-402.33000000000084</v>
      </c>
      <c r="G750" s="27">
        <f t="shared" si="34"/>
        <v>-4.7895801364506038E-2</v>
      </c>
      <c r="H750" s="10" t="str">
        <f t="shared" si="35"/>
        <v>Under Budget</v>
      </c>
    </row>
    <row r="751" spans="1:8" x14ac:dyDescent="0.25">
      <c r="A751" s="14">
        <v>45627</v>
      </c>
      <c r="B751" s="13" t="s">
        <v>1799</v>
      </c>
      <c r="C751" s="13" t="s">
        <v>1783</v>
      </c>
      <c r="D751" s="15">
        <v>8818.6299999999992</v>
      </c>
      <c r="E751" s="15">
        <v>7977.91</v>
      </c>
      <c r="F751" s="15">
        <f t="shared" si="33"/>
        <v>-840.71999999999935</v>
      </c>
      <c r="G751" s="28">
        <f t="shared" si="34"/>
        <v>-9.5334536090072877E-2</v>
      </c>
      <c r="H751" s="13" t="str">
        <f t="shared" si="35"/>
        <v>Under Budget</v>
      </c>
    </row>
    <row r="752" spans="1:8" x14ac:dyDescent="0.25">
      <c r="A752" s="11">
        <v>45627</v>
      </c>
      <c r="B752" s="10" t="s">
        <v>1792</v>
      </c>
      <c r="C752" s="10" t="s">
        <v>1797</v>
      </c>
      <c r="D752" s="12">
        <v>4820.91</v>
      </c>
      <c r="E752" s="12">
        <v>4695.16</v>
      </c>
      <c r="F752" s="12">
        <f t="shared" si="33"/>
        <v>-125.75</v>
      </c>
      <c r="G752" s="27">
        <f t="shared" si="34"/>
        <v>-2.6084286991460121E-2</v>
      </c>
      <c r="H752" s="10" t="str">
        <f t="shared" si="35"/>
        <v>Under Budget</v>
      </c>
    </row>
    <row r="753" spans="1:8" x14ac:dyDescent="0.25">
      <c r="A753" s="14">
        <v>45627</v>
      </c>
      <c r="B753" s="13" t="s">
        <v>1877</v>
      </c>
      <c r="C753" s="13" t="s">
        <v>1789</v>
      </c>
      <c r="D753" s="15">
        <v>6808.47</v>
      </c>
      <c r="E753" s="15">
        <v>6642.94</v>
      </c>
      <c r="F753" s="15">
        <f t="shared" si="33"/>
        <v>-165.53000000000065</v>
      </c>
      <c r="G753" s="28">
        <f t="shared" si="34"/>
        <v>-2.4312363864421913E-2</v>
      </c>
      <c r="H753" s="13" t="str">
        <f t="shared" si="35"/>
        <v>Under Budget</v>
      </c>
    </row>
    <row r="754" spans="1:8" x14ac:dyDescent="0.25">
      <c r="A754" s="11">
        <v>45627</v>
      </c>
      <c r="B754" s="10" t="s">
        <v>1799</v>
      </c>
      <c r="C754" s="10" t="s">
        <v>1780</v>
      </c>
      <c r="D754" s="12">
        <v>4274.47</v>
      </c>
      <c r="E754" s="12">
        <v>4101.12</v>
      </c>
      <c r="F754" s="12">
        <f t="shared" si="33"/>
        <v>-173.35000000000036</v>
      </c>
      <c r="G754" s="27">
        <f t="shared" si="34"/>
        <v>-4.0554735440885149E-2</v>
      </c>
      <c r="H754" s="10" t="str">
        <f t="shared" si="35"/>
        <v>Under Budget</v>
      </c>
    </row>
    <row r="755" spans="1:8" x14ac:dyDescent="0.25">
      <c r="A755" s="14">
        <v>45627</v>
      </c>
      <c r="B755" s="13" t="s">
        <v>1862</v>
      </c>
      <c r="C755" s="13" t="s">
        <v>1792</v>
      </c>
      <c r="D755" s="15">
        <v>5883.63</v>
      </c>
      <c r="E755" s="15">
        <v>5901.76</v>
      </c>
      <c r="F755" s="15">
        <f t="shared" si="33"/>
        <v>18.130000000000109</v>
      </c>
      <c r="G755" s="28">
        <f t="shared" si="34"/>
        <v>3.0814310213252887E-3</v>
      </c>
      <c r="H755" s="13" t="str">
        <f t="shared" si="35"/>
        <v>Within Budget</v>
      </c>
    </row>
    <row r="756" spans="1:8" x14ac:dyDescent="0.25">
      <c r="A756" s="11">
        <v>45627</v>
      </c>
      <c r="B756" s="10" t="s">
        <v>1877</v>
      </c>
      <c r="C756" s="10" t="s">
        <v>1786</v>
      </c>
      <c r="D756" s="12">
        <v>8608.44</v>
      </c>
      <c r="E756" s="12">
        <v>9439.93</v>
      </c>
      <c r="F756" s="12">
        <f t="shared" si="33"/>
        <v>831.48999999999978</v>
      </c>
      <c r="G756" s="27">
        <f t="shared" si="34"/>
        <v>9.6590090655217412E-2</v>
      </c>
      <c r="H756" s="10" t="str">
        <f t="shared" si="35"/>
        <v>Slightly Over</v>
      </c>
    </row>
    <row r="757" spans="1:8" x14ac:dyDescent="0.25">
      <c r="A757" s="14">
        <v>45627</v>
      </c>
      <c r="B757" s="13" t="s">
        <v>1877</v>
      </c>
      <c r="C757" s="13" t="s">
        <v>1797</v>
      </c>
      <c r="D757" s="15">
        <v>3800.94</v>
      </c>
      <c r="E757" s="15">
        <v>3850.1</v>
      </c>
      <c r="F757" s="15">
        <f t="shared" si="33"/>
        <v>49.159999999999854</v>
      </c>
      <c r="G757" s="28">
        <f t="shared" si="34"/>
        <v>1.2933642730482421E-2</v>
      </c>
      <c r="H757" s="13" t="str">
        <f t="shared" si="35"/>
        <v>Within Budget</v>
      </c>
    </row>
    <row r="758" spans="1:8" x14ac:dyDescent="0.25">
      <c r="A758" s="11">
        <v>45658</v>
      </c>
      <c r="B758" s="10" t="s">
        <v>1862</v>
      </c>
      <c r="C758" s="10" t="s">
        <v>1795</v>
      </c>
      <c r="D758" s="12">
        <v>3196.93</v>
      </c>
      <c r="E758" s="12">
        <v>2911.45</v>
      </c>
      <c r="F758" s="12">
        <f t="shared" si="33"/>
        <v>-285.48</v>
      </c>
      <c r="G758" s="27">
        <f t="shared" si="34"/>
        <v>-8.9298170432258461E-2</v>
      </c>
      <c r="H758" s="10" t="str">
        <f t="shared" si="35"/>
        <v>Under Budget</v>
      </c>
    </row>
    <row r="759" spans="1:8" x14ac:dyDescent="0.25">
      <c r="A759" s="14">
        <v>45658</v>
      </c>
      <c r="B759" s="13" t="s">
        <v>1877</v>
      </c>
      <c r="C759" s="13" t="s">
        <v>1778</v>
      </c>
      <c r="D759" s="15">
        <v>11779.88</v>
      </c>
      <c r="E759" s="15">
        <v>10936.78</v>
      </c>
      <c r="F759" s="15">
        <f t="shared" si="33"/>
        <v>-843.09999999999854</v>
      </c>
      <c r="G759" s="28">
        <f t="shared" si="34"/>
        <v>-7.1571187482385099E-2</v>
      </c>
      <c r="H759" s="13" t="str">
        <f t="shared" si="35"/>
        <v>Under Budget</v>
      </c>
    </row>
    <row r="760" spans="1:8" x14ac:dyDescent="0.25">
      <c r="A760" s="11">
        <v>45658</v>
      </c>
      <c r="B760" s="10" t="s">
        <v>1774</v>
      </c>
      <c r="C760" s="10" t="s">
        <v>1780</v>
      </c>
      <c r="D760" s="12">
        <v>10584.12</v>
      </c>
      <c r="E760" s="12">
        <v>9586.7800000000007</v>
      </c>
      <c r="F760" s="12">
        <f t="shared" si="33"/>
        <v>-997.34000000000015</v>
      </c>
      <c r="G760" s="27">
        <f t="shared" si="34"/>
        <v>-9.422984622245402E-2</v>
      </c>
      <c r="H760" s="10" t="str">
        <f t="shared" si="35"/>
        <v>Under Budget</v>
      </c>
    </row>
    <row r="761" spans="1:8" x14ac:dyDescent="0.25">
      <c r="A761" s="14">
        <v>45658</v>
      </c>
      <c r="B761" s="13" t="s">
        <v>1877</v>
      </c>
      <c r="C761" s="13" t="s">
        <v>1789</v>
      </c>
      <c r="D761" s="15">
        <v>5831.01</v>
      </c>
      <c r="E761" s="15">
        <v>6245.57</v>
      </c>
      <c r="F761" s="15">
        <f t="shared" si="33"/>
        <v>414.55999999999949</v>
      </c>
      <c r="G761" s="28">
        <f t="shared" si="34"/>
        <v>7.1095744991004906E-2</v>
      </c>
      <c r="H761" s="13" t="str">
        <f t="shared" si="35"/>
        <v>Slightly Over</v>
      </c>
    </row>
    <row r="762" spans="1:8" x14ac:dyDescent="0.25">
      <c r="A762" s="11">
        <v>45658</v>
      </c>
      <c r="B762" s="10" t="s">
        <v>1862</v>
      </c>
      <c r="C762" s="10" t="s">
        <v>1778</v>
      </c>
      <c r="D762" s="12">
        <v>8063.76</v>
      </c>
      <c r="E762" s="12">
        <v>7973.57</v>
      </c>
      <c r="F762" s="12">
        <f t="shared" si="33"/>
        <v>-90.190000000000509</v>
      </c>
      <c r="G762" s="27">
        <f t="shared" si="34"/>
        <v>-1.1184608668908859E-2</v>
      </c>
      <c r="H762" s="10" t="str">
        <f t="shared" si="35"/>
        <v>Under Budget</v>
      </c>
    </row>
    <row r="763" spans="1:8" x14ac:dyDescent="0.25">
      <c r="A763" s="14">
        <v>45658</v>
      </c>
      <c r="B763" s="13" t="s">
        <v>1774</v>
      </c>
      <c r="C763" s="13" t="s">
        <v>1783</v>
      </c>
      <c r="D763" s="15">
        <v>17615.98</v>
      </c>
      <c r="E763" s="15">
        <v>17125.5</v>
      </c>
      <c r="F763" s="15">
        <f t="shared" si="33"/>
        <v>-490.47999999999956</v>
      </c>
      <c r="G763" s="28">
        <f t="shared" si="34"/>
        <v>-2.7842901728998306E-2</v>
      </c>
      <c r="H763" s="13" t="str">
        <f t="shared" si="35"/>
        <v>Under Budget</v>
      </c>
    </row>
    <row r="764" spans="1:8" x14ac:dyDescent="0.25">
      <c r="A764" s="11">
        <v>45658</v>
      </c>
      <c r="B764" s="10" t="s">
        <v>1792</v>
      </c>
      <c r="C764" s="10" t="s">
        <v>1792</v>
      </c>
      <c r="D764" s="12">
        <v>12335.54</v>
      </c>
      <c r="E764" s="12">
        <v>13037.15</v>
      </c>
      <c r="F764" s="12">
        <f t="shared" si="33"/>
        <v>701.60999999999876</v>
      </c>
      <c r="G764" s="27">
        <f t="shared" si="34"/>
        <v>5.6877120904313773E-2</v>
      </c>
      <c r="H764" s="10" t="str">
        <f t="shared" si="35"/>
        <v>Slightly Over</v>
      </c>
    </row>
    <row r="765" spans="1:8" x14ac:dyDescent="0.25">
      <c r="A765" s="14">
        <v>45658</v>
      </c>
      <c r="B765" s="13" t="s">
        <v>1786</v>
      </c>
      <c r="C765" s="13" t="s">
        <v>1775</v>
      </c>
      <c r="D765" s="15">
        <v>65968.77</v>
      </c>
      <c r="E765" s="15">
        <v>69866.37</v>
      </c>
      <c r="F765" s="15">
        <f t="shared" si="33"/>
        <v>3897.5999999999913</v>
      </c>
      <c r="G765" s="28">
        <f t="shared" si="34"/>
        <v>5.9082502220368684E-2</v>
      </c>
      <c r="H765" s="13" t="str">
        <f t="shared" si="35"/>
        <v>Slightly Over</v>
      </c>
    </row>
    <row r="766" spans="1:8" x14ac:dyDescent="0.25">
      <c r="A766" s="11">
        <v>45658</v>
      </c>
      <c r="B766" s="10" t="s">
        <v>1792</v>
      </c>
      <c r="C766" s="10" t="s">
        <v>1786</v>
      </c>
      <c r="D766" s="12">
        <v>15040.87</v>
      </c>
      <c r="E766" s="12">
        <v>14030.04</v>
      </c>
      <c r="F766" s="12">
        <f t="shared" si="33"/>
        <v>-1010.8299999999999</v>
      </c>
      <c r="G766" s="27">
        <f t="shared" si="34"/>
        <v>-6.7205553934047688E-2</v>
      </c>
      <c r="H766" s="10" t="str">
        <f t="shared" si="35"/>
        <v>Under Budget</v>
      </c>
    </row>
    <row r="767" spans="1:8" x14ac:dyDescent="0.25">
      <c r="A767" s="14">
        <v>45658</v>
      </c>
      <c r="B767" s="13" t="s">
        <v>1877</v>
      </c>
      <c r="C767" s="13" t="s">
        <v>1792</v>
      </c>
      <c r="D767" s="15">
        <v>10483.94</v>
      </c>
      <c r="E767" s="15">
        <v>10005.6</v>
      </c>
      <c r="F767" s="15">
        <f t="shared" si="33"/>
        <v>-478.34000000000015</v>
      </c>
      <c r="G767" s="28">
        <f t="shared" si="34"/>
        <v>-4.5625976493570176E-2</v>
      </c>
      <c r="H767" s="13" t="str">
        <f t="shared" si="35"/>
        <v>Under Budget</v>
      </c>
    </row>
    <row r="768" spans="1:8" x14ac:dyDescent="0.25">
      <c r="A768" s="11">
        <v>45658</v>
      </c>
      <c r="B768" s="10" t="s">
        <v>1862</v>
      </c>
      <c r="C768" s="10" t="s">
        <v>1783</v>
      </c>
      <c r="D768" s="12">
        <v>7593.68</v>
      </c>
      <c r="E768" s="12">
        <v>7284.94</v>
      </c>
      <c r="F768" s="12">
        <f t="shared" si="33"/>
        <v>-308.74000000000069</v>
      </c>
      <c r="G768" s="27">
        <f t="shared" si="34"/>
        <v>-4.0657494126694921E-2</v>
      </c>
      <c r="H768" s="10" t="str">
        <f t="shared" si="35"/>
        <v>Under Budget</v>
      </c>
    </row>
    <row r="769" spans="1:8" x14ac:dyDescent="0.25">
      <c r="A769" s="14">
        <v>45658</v>
      </c>
      <c r="B769" s="13" t="s">
        <v>1818</v>
      </c>
      <c r="C769" s="13" t="s">
        <v>1778</v>
      </c>
      <c r="D769" s="15">
        <v>6420.2</v>
      </c>
      <c r="E769" s="15">
        <v>6696.52</v>
      </c>
      <c r="F769" s="15">
        <f t="shared" si="33"/>
        <v>276.32000000000062</v>
      </c>
      <c r="G769" s="28">
        <f t="shared" si="34"/>
        <v>4.3039157658640012E-2</v>
      </c>
      <c r="H769" s="13" t="str">
        <f t="shared" si="35"/>
        <v>Within Budget</v>
      </c>
    </row>
    <row r="770" spans="1:8" x14ac:dyDescent="0.25">
      <c r="A770" s="11">
        <v>45658</v>
      </c>
      <c r="B770" s="10" t="s">
        <v>1818</v>
      </c>
      <c r="C770" s="10" t="s">
        <v>1783</v>
      </c>
      <c r="D770" s="12">
        <v>6270.55</v>
      </c>
      <c r="E770" s="12">
        <v>6199.32</v>
      </c>
      <c r="F770" s="12">
        <f t="shared" ref="F770:F833" si="36">E770-D770</f>
        <v>-71.230000000000473</v>
      </c>
      <c r="G770" s="27">
        <f t="shared" ref="G770:G833" si="37">IFERROR(F770/D770,0)</f>
        <v>-1.135945012797928E-2</v>
      </c>
      <c r="H770" s="10" t="str">
        <f t="shared" ref="H770:H833" si="38">IF(G770&lt;=0,"Under Budget",IF(G770&lt;=5%,"Within Budget",IF(G770&lt;=15%,"Slightly Over","Significantly Over")))</f>
        <v>Under Budget</v>
      </c>
    </row>
    <row r="771" spans="1:8" x14ac:dyDescent="0.25">
      <c r="A771" s="14">
        <v>45658</v>
      </c>
      <c r="B771" s="13" t="s">
        <v>1786</v>
      </c>
      <c r="C771" s="13" t="s">
        <v>1797</v>
      </c>
      <c r="D771" s="15">
        <v>3259.56</v>
      </c>
      <c r="E771" s="15">
        <v>3601.42</v>
      </c>
      <c r="F771" s="15">
        <f t="shared" si="36"/>
        <v>341.86000000000013</v>
      </c>
      <c r="G771" s="28">
        <f t="shared" si="37"/>
        <v>0.10487918614782367</v>
      </c>
      <c r="H771" s="13" t="str">
        <f t="shared" si="38"/>
        <v>Slightly Over</v>
      </c>
    </row>
    <row r="772" spans="1:8" x14ac:dyDescent="0.25">
      <c r="A772" s="11">
        <v>45658</v>
      </c>
      <c r="B772" s="10" t="s">
        <v>1786</v>
      </c>
      <c r="C772" s="10" t="s">
        <v>1789</v>
      </c>
      <c r="D772" s="12">
        <v>7711.22</v>
      </c>
      <c r="E772" s="12">
        <v>8304.24</v>
      </c>
      <c r="F772" s="12">
        <f t="shared" si="36"/>
        <v>593.01999999999953</v>
      </c>
      <c r="G772" s="27">
        <f t="shared" si="37"/>
        <v>7.6903524993451031E-2</v>
      </c>
      <c r="H772" s="10" t="str">
        <f t="shared" si="38"/>
        <v>Slightly Over</v>
      </c>
    </row>
    <row r="773" spans="1:8" x14ac:dyDescent="0.25">
      <c r="A773" s="14">
        <v>45658</v>
      </c>
      <c r="B773" s="13" t="s">
        <v>1792</v>
      </c>
      <c r="C773" s="13" t="s">
        <v>1795</v>
      </c>
      <c r="D773" s="15">
        <v>6169.43</v>
      </c>
      <c r="E773" s="15">
        <v>6084.16</v>
      </c>
      <c r="F773" s="15">
        <f t="shared" si="36"/>
        <v>-85.270000000000437</v>
      </c>
      <c r="G773" s="28">
        <f t="shared" si="37"/>
        <v>-1.3821374097769231E-2</v>
      </c>
      <c r="H773" s="13" t="str">
        <f t="shared" si="38"/>
        <v>Under Budget</v>
      </c>
    </row>
    <row r="774" spans="1:8" x14ac:dyDescent="0.25">
      <c r="A774" s="11">
        <v>45658</v>
      </c>
      <c r="B774" s="10" t="s">
        <v>1799</v>
      </c>
      <c r="C774" s="10" t="s">
        <v>1778</v>
      </c>
      <c r="D774" s="12">
        <v>8753.3799999999992</v>
      </c>
      <c r="E774" s="12">
        <v>9041.5499999999993</v>
      </c>
      <c r="F774" s="12">
        <f t="shared" si="36"/>
        <v>288.17000000000007</v>
      </c>
      <c r="G774" s="27">
        <f t="shared" si="37"/>
        <v>3.2920997374728402E-2</v>
      </c>
      <c r="H774" s="10" t="str">
        <f t="shared" si="38"/>
        <v>Within Budget</v>
      </c>
    </row>
    <row r="775" spans="1:8" x14ac:dyDescent="0.25">
      <c r="A775" s="14">
        <v>45658</v>
      </c>
      <c r="B775" s="13" t="s">
        <v>1774</v>
      </c>
      <c r="C775" s="13" t="s">
        <v>1778</v>
      </c>
      <c r="D775" s="15">
        <v>25886.81</v>
      </c>
      <c r="E775" s="15">
        <v>23270.14</v>
      </c>
      <c r="F775" s="15">
        <f t="shared" si="36"/>
        <v>-2616.6700000000019</v>
      </c>
      <c r="G775" s="28">
        <f t="shared" si="37"/>
        <v>-0.10108120699305946</v>
      </c>
      <c r="H775" s="13" t="str">
        <f t="shared" si="38"/>
        <v>Under Budget</v>
      </c>
    </row>
    <row r="776" spans="1:8" x14ac:dyDescent="0.25">
      <c r="A776" s="11">
        <v>45658</v>
      </c>
      <c r="B776" s="10" t="s">
        <v>1818</v>
      </c>
      <c r="C776" s="10" t="s">
        <v>1797</v>
      </c>
      <c r="D776" s="12">
        <v>2266.16</v>
      </c>
      <c r="E776" s="12">
        <v>2257.75</v>
      </c>
      <c r="F776" s="12">
        <f t="shared" si="36"/>
        <v>-8.4099999999998545</v>
      </c>
      <c r="G776" s="27">
        <f t="shared" si="37"/>
        <v>-3.7111236629363571E-3</v>
      </c>
      <c r="H776" s="10" t="str">
        <f t="shared" si="38"/>
        <v>Under Budget</v>
      </c>
    </row>
    <row r="777" spans="1:8" x14ac:dyDescent="0.25">
      <c r="A777" s="14">
        <v>45658</v>
      </c>
      <c r="B777" s="13" t="s">
        <v>1818</v>
      </c>
      <c r="C777" s="13" t="s">
        <v>1789</v>
      </c>
      <c r="D777" s="15">
        <v>3599.54</v>
      </c>
      <c r="E777" s="15">
        <v>3919.43</v>
      </c>
      <c r="F777" s="15">
        <f t="shared" si="36"/>
        <v>319.88999999999987</v>
      </c>
      <c r="G777" s="28">
        <f t="shared" si="37"/>
        <v>8.8869688904693336E-2</v>
      </c>
      <c r="H777" s="13" t="str">
        <f t="shared" si="38"/>
        <v>Slightly Over</v>
      </c>
    </row>
    <row r="778" spans="1:8" x14ac:dyDescent="0.25">
      <c r="A778" s="11">
        <v>45658</v>
      </c>
      <c r="B778" s="10" t="s">
        <v>1818</v>
      </c>
      <c r="C778" s="10" t="s">
        <v>1792</v>
      </c>
      <c r="D778" s="12">
        <v>5500.67</v>
      </c>
      <c r="E778" s="12">
        <v>6085.32</v>
      </c>
      <c r="F778" s="12">
        <f t="shared" si="36"/>
        <v>584.64999999999964</v>
      </c>
      <c r="G778" s="27">
        <f t="shared" si="37"/>
        <v>0.10628705230453737</v>
      </c>
      <c r="H778" s="10" t="str">
        <f t="shared" si="38"/>
        <v>Slightly Over</v>
      </c>
    </row>
    <row r="779" spans="1:8" x14ac:dyDescent="0.25">
      <c r="A779" s="14">
        <v>45658</v>
      </c>
      <c r="B779" s="13" t="s">
        <v>1799</v>
      </c>
      <c r="C779" s="13" t="s">
        <v>1789</v>
      </c>
      <c r="D779" s="15">
        <v>4323.75</v>
      </c>
      <c r="E779" s="15">
        <v>4080.72</v>
      </c>
      <c r="F779" s="15">
        <f t="shared" si="36"/>
        <v>-243.0300000000002</v>
      </c>
      <c r="G779" s="28">
        <f t="shared" si="37"/>
        <v>-5.6208152645273249E-2</v>
      </c>
      <c r="H779" s="13" t="str">
        <f t="shared" si="38"/>
        <v>Under Budget</v>
      </c>
    </row>
    <row r="780" spans="1:8" x14ac:dyDescent="0.25">
      <c r="A780" s="11">
        <v>45658</v>
      </c>
      <c r="B780" s="10" t="s">
        <v>1792</v>
      </c>
      <c r="C780" s="10" t="s">
        <v>1783</v>
      </c>
      <c r="D780" s="12">
        <v>14171.26</v>
      </c>
      <c r="E780" s="12">
        <v>15112.28</v>
      </c>
      <c r="F780" s="12">
        <f t="shared" si="36"/>
        <v>941.02000000000044</v>
      </c>
      <c r="G780" s="27">
        <f t="shared" si="37"/>
        <v>6.6403410847024225E-2</v>
      </c>
      <c r="H780" s="10" t="str">
        <f t="shared" si="38"/>
        <v>Slightly Over</v>
      </c>
    </row>
    <row r="781" spans="1:8" x14ac:dyDescent="0.25">
      <c r="A781" s="14">
        <v>45658</v>
      </c>
      <c r="B781" s="13" t="s">
        <v>1877</v>
      </c>
      <c r="C781" s="13" t="s">
        <v>1780</v>
      </c>
      <c r="D781" s="15">
        <v>7208.02</v>
      </c>
      <c r="E781" s="15">
        <v>7657.36</v>
      </c>
      <c r="F781" s="15">
        <f t="shared" si="36"/>
        <v>449.33999999999924</v>
      </c>
      <c r="G781" s="28">
        <f t="shared" si="37"/>
        <v>6.2338894731146587E-2</v>
      </c>
      <c r="H781" s="13" t="str">
        <f t="shared" si="38"/>
        <v>Slightly Over</v>
      </c>
    </row>
    <row r="782" spans="1:8" x14ac:dyDescent="0.25">
      <c r="A782" s="11">
        <v>45658</v>
      </c>
      <c r="B782" s="10" t="s">
        <v>1862</v>
      </c>
      <c r="C782" s="10" t="s">
        <v>1792</v>
      </c>
      <c r="D782" s="12">
        <v>7784.65</v>
      </c>
      <c r="E782" s="12">
        <v>7837.65</v>
      </c>
      <c r="F782" s="12">
        <f t="shared" si="36"/>
        <v>53</v>
      </c>
      <c r="G782" s="27">
        <f t="shared" si="37"/>
        <v>6.8082701213285123E-3</v>
      </c>
      <c r="H782" s="10" t="str">
        <f t="shared" si="38"/>
        <v>Within Budget</v>
      </c>
    </row>
    <row r="783" spans="1:8" x14ac:dyDescent="0.25">
      <c r="A783" s="14">
        <v>45658</v>
      </c>
      <c r="B783" s="13" t="s">
        <v>1862</v>
      </c>
      <c r="C783" s="13" t="s">
        <v>1797</v>
      </c>
      <c r="D783" s="15">
        <v>2817.28</v>
      </c>
      <c r="E783" s="15">
        <v>2940.51</v>
      </c>
      <c r="F783" s="15">
        <f t="shared" si="36"/>
        <v>123.23000000000002</v>
      </c>
      <c r="G783" s="28">
        <f t="shared" si="37"/>
        <v>4.3740771240345304E-2</v>
      </c>
      <c r="H783" s="13" t="str">
        <f t="shared" si="38"/>
        <v>Within Budget</v>
      </c>
    </row>
    <row r="784" spans="1:8" x14ac:dyDescent="0.25">
      <c r="A784" s="11">
        <v>45658</v>
      </c>
      <c r="B784" s="10" t="s">
        <v>1799</v>
      </c>
      <c r="C784" s="10" t="s">
        <v>1783</v>
      </c>
      <c r="D784" s="12">
        <v>7789.29</v>
      </c>
      <c r="E784" s="12">
        <v>7521.18</v>
      </c>
      <c r="F784" s="12">
        <f t="shared" si="36"/>
        <v>-268.10999999999967</v>
      </c>
      <c r="G784" s="27">
        <f t="shared" si="37"/>
        <v>-3.4420338695824608E-2</v>
      </c>
      <c r="H784" s="10" t="str">
        <f t="shared" si="38"/>
        <v>Under Budget</v>
      </c>
    </row>
    <row r="785" spans="1:8" x14ac:dyDescent="0.25">
      <c r="A785" s="14">
        <v>45658</v>
      </c>
      <c r="B785" s="13" t="s">
        <v>1799</v>
      </c>
      <c r="C785" s="13" t="s">
        <v>1795</v>
      </c>
      <c r="D785" s="15">
        <v>2456.7199999999998</v>
      </c>
      <c r="E785" s="15">
        <v>2440</v>
      </c>
      <c r="F785" s="15">
        <f t="shared" si="36"/>
        <v>-16.7199999999998</v>
      </c>
      <c r="G785" s="28">
        <f t="shared" si="37"/>
        <v>-6.8058223973427173E-3</v>
      </c>
      <c r="H785" s="13" t="str">
        <f t="shared" si="38"/>
        <v>Under Budget</v>
      </c>
    </row>
    <row r="786" spans="1:8" x14ac:dyDescent="0.25">
      <c r="A786" s="11">
        <v>45658</v>
      </c>
      <c r="B786" s="10" t="s">
        <v>1774</v>
      </c>
      <c r="C786" s="10" t="s">
        <v>1786</v>
      </c>
      <c r="D786" s="12">
        <v>17040.46</v>
      </c>
      <c r="E786" s="12">
        <v>18431.7</v>
      </c>
      <c r="F786" s="12">
        <f t="shared" si="36"/>
        <v>1391.2400000000016</v>
      </c>
      <c r="G786" s="27">
        <f t="shared" si="37"/>
        <v>8.1643335919335605E-2</v>
      </c>
      <c r="H786" s="10" t="str">
        <f t="shared" si="38"/>
        <v>Slightly Over</v>
      </c>
    </row>
    <row r="787" spans="1:8" x14ac:dyDescent="0.25">
      <c r="A787" s="14">
        <v>45658</v>
      </c>
      <c r="B787" s="13" t="s">
        <v>1774</v>
      </c>
      <c r="C787" s="13" t="s">
        <v>1789</v>
      </c>
      <c r="D787" s="15">
        <v>10381.26</v>
      </c>
      <c r="E787" s="15">
        <v>9678.2099999999991</v>
      </c>
      <c r="F787" s="15">
        <f t="shared" si="36"/>
        <v>-703.05000000000109</v>
      </c>
      <c r="G787" s="28">
        <f t="shared" si="37"/>
        <v>-6.7722993162679782E-2</v>
      </c>
      <c r="H787" s="13" t="str">
        <f t="shared" si="38"/>
        <v>Under Budget</v>
      </c>
    </row>
    <row r="788" spans="1:8" x14ac:dyDescent="0.25">
      <c r="A788" s="11">
        <v>45658</v>
      </c>
      <c r="B788" s="10" t="s">
        <v>1877</v>
      </c>
      <c r="C788" s="10" t="s">
        <v>1783</v>
      </c>
      <c r="D788" s="12">
        <v>11985.72</v>
      </c>
      <c r="E788" s="12">
        <v>12061.84</v>
      </c>
      <c r="F788" s="12">
        <f t="shared" si="36"/>
        <v>76.1200000000008</v>
      </c>
      <c r="G788" s="27">
        <f t="shared" si="37"/>
        <v>6.3508908934966617E-3</v>
      </c>
      <c r="H788" s="10" t="str">
        <f t="shared" si="38"/>
        <v>Within Budget</v>
      </c>
    </row>
    <row r="789" spans="1:8" x14ac:dyDescent="0.25">
      <c r="A789" s="14">
        <v>45658</v>
      </c>
      <c r="B789" s="13" t="s">
        <v>1799</v>
      </c>
      <c r="C789" s="13" t="s">
        <v>1797</v>
      </c>
      <c r="D789" s="15">
        <v>2673.58</v>
      </c>
      <c r="E789" s="15">
        <v>2584.71</v>
      </c>
      <c r="F789" s="15">
        <f t="shared" si="36"/>
        <v>-88.869999999999891</v>
      </c>
      <c r="G789" s="28">
        <f t="shared" si="37"/>
        <v>-3.32400751052895E-2</v>
      </c>
      <c r="H789" s="13" t="str">
        <f t="shared" si="38"/>
        <v>Under Budget</v>
      </c>
    </row>
    <row r="790" spans="1:8" x14ac:dyDescent="0.25">
      <c r="A790" s="11">
        <v>45658</v>
      </c>
      <c r="B790" s="10" t="s">
        <v>1862</v>
      </c>
      <c r="C790" s="10" t="s">
        <v>1786</v>
      </c>
      <c r="D790" s="12">
        <v>7116.89</v>
      </c>
      <c r="E790" s="12">
        <v>7900.04</v>
      </c>
      <c r="F790" s="12">
        <f t="shared" si="36"/>
        <v>783.14999999999964</v>
      </c>
      <c r="G790" s="27">
        <f t="shared" si="37"/>
        <v>0.11004104320848006</v>
      </c>
      <c r="H790" s="10" t="str">
        <f t="shared" si="38"/>
        <v>Slightly Over</v>
      </c>
    </row>
    <row r="791" spans="1:8" x14ac:dyDescent="0.25">
      <c r="A791" s="14">
        <v>45658</v>
      </c>
      <c r="B791" s="13" t="s">
        <v>1862</v>
      </c>
      <c r="C791" s="13" t="s">
        <v>1780</v>
      </c>
      <c r="D791" s="15">
        <v>4042.25</v>
      </c>
      <c r="E791" s="15">
        <v>3894.99</v>
      </c>
      <c r="F791" s="15">
        <f t="shared" si="36"/>
        <v>-147.26000000000022</v>
      </c>
      <c r="G791" s="28">
        <f t="shared" si="37"/>
        <v>-3.6430205949656805E-2</v>
      </c>
      <c r="H791" s="13" t="str">
        <f t="shared" si="38"/>
        <v>Under Budget</v>
      </c>
    </row>
    <row r="792" spans="1:8" x14ac:dyDescent="0.25">
      <c r="A792" s="11">
        <v>45658</v>
      </c>
      <c r="B792" s="10" t="s">
        <v>1786</v>
      </c>
      <c r="C792" s="10" t="s">
        <v>1780</v>
      </c>
      <c r="D792" s="12">
        <v>7287.46</v>
      </c>
      <c r="E792" s="12">
        <v>7573.54</v>
      </c>
      <c r="F792" s="12">
        <f t="shared" si="36"/>
        <v>286.07999999999993</v>
      </c>
      <c r="G792" s="27">
        <f t="shared" si="37"/>
        <v>3.9256476193351306E-2</v>
      </c>
      <c r="H792" s="10" t="str">
        <f t="shared" si="38"/>
        <v>Within Budget</v>
      </c>
    </row>
    <row r="793" spans="1:8" x14ac:dyDescent="0.25">
      <c r="A793" s="14">
        <v>45658</v>
      </c>
      <c r="B793" s="13" t="s">
        <v>1862</v>
      </c>
      <c r="C793" s="13" t="s">
        <v>1789</v>
      </c>
      <c r="D793" s="15">
        <v>3871.85</v>
      </c>
      <c r="E793" s="15">
        <v>3838.22</v>
      </c>
      <c r="F793" s="15">
        <f t="shared" si="36"/>
        <v>-33.630000000000109</v>
      </c>
      <c r="G793" s="28">
        <f t="shared" si="37"/>
        <v>-8.6857703681702831E-3</v>
      </c>
      <c r="H793" s="13" t="str">
        <f t="shared" si="38"/>
        <v>Under Budget</v>
      </c>
    </row>
    <row r="794" spans="1:8" x14ac:dyDescent="0.25">
      <c r="A794" s="11">
        <v>45658</v>
      </c>
      <c r="B794" s="10" t="s">
        <v>1818</v>
      </c>
      <c r="C794" s="10" t="s">
        <v>1775</v>
      </c>
      <c r="D794" s="12">
        <v>38658.269999999997</v>
      </c>
      <c r="E794" s="12">
        <v>40039.699999999997</v>
      </c>
      <c r="F794" s="12">
        <f t="shared" si="36"/>
        <v>1381.4300000000003</v>
      </c>
      <c r="G794" s="27">
        <f t="shared" si="37"/>
        <v>3.5734397840358617E-2</v>
      </c>
      <c r="H794" s="10" t="str">
        <f t="shared" si="38"/>
        <v>Within Budget</v>
      </c>
    </row>
    <row r="795" spans="1:8" x14ac:dyDescent="0.25">
      <c r="A795" s="14">
        <v>45658</v>
      </c>
      <c r="B795" s="13" t="s">
        <v>1799</v>
      </c>
      <c r="C795" s="13" t="s">
        <v>1780</v>
      </c>
      <c r="D795" s="15">
        <v>5170.71</v>
      </c>
      <c r="E795" s="15">
        <v>4620.1000000000004</v>
      </c>
      <c r="F795" s="15">
        <f t="shared" si="36"/>
        <v>-550.60999999999967</v>
      </c>
      <c r="G795" s="28">
        <f t="shared" si="37"/>
        <v>-0.10648634326813913</v>
      </c>
      <c r="H795" s="13" t="str">
        <f t="shared" si="38"/>
        <v>Under Budget</v>
      </c>
    </row>
    <row r="796" spans="1:8" x14ac:dyDescent="0.25">
      <c r="A796" s="11">
        <v>45658</v>
      </c>
      <c r="B796" s="10" t="s">
        <v>1799</v>
      </c>
      <c r="C796" s="10" t="s">
        <v>1792</v>
      </c>
      <c r="D796" s="12">
        <v>6578.3</v>
      </c>
      <c r="E796" s="12">
        <v>6918.81</v>
      </c>
      <c r="F796" s="12">
        <f t="shared" si="36"/>
        <v>340.51000000000022</v>
      </c>
      <c r="G796" s="27">
        <f t="shared" si="37"/>
        <v>5.176261344116264E-2</v>
      </c>
      <c r="H796" s="10" t="str">
        <f t="shared" si="38"/>
        <v>Slightly Over</v>
      </c>
    </row>
    <row r="797" spans="1:8" x14ac:dyDescent="0.25">
      <c r="A797" s="14">
        <v>45658</v>
      </c>
      <c r="B797" s="13" t="s">
        <v>1786</v>
      </c>
      <c r="C797" s="13" t="s">
        <v>1786</v>
      </c>
      <c r="D797" s="15">
        <v>10995.02</v>
      </c>
      <c r="E797" s="15">
        <v>9987.94</v>
      </c>
      <c r="F797" s="15">
        <f t="shared" si="36"/>
        <v>-1007.0799999999999</v>
      </c>
      <c r="G797" s="28">
        <f t="shared" si="37"/>
        <v>-9.1594194462583961E-2</v>
      </c>
      <c r="H797" s="13" t="str">
        <f t="shared" si="38"/>
        <v>Under Budget</v>
      </c>
    </row>
    <row r="798" spans="1:8" x14ac:dyDescent="0.25">
      <c r="A798" s="11">
        <v>45658</v>
      </c>
      <c r="B798" s="10" t="s">
        <v>1877</v>
      </c>
      <c r="C798" s="10" t="s">
        <v>1795</v>
      </c>
      <c r="D798" s="12">
        <v>4654.2700000000004</v>
      </c>
      <c r="E798" s="12">
        <v>4223.66</v>
      </c>
      <c r="F798" s="12">
        <f t="shared" si="36"/>
        <v>-430.61000000000058</v>
      </c>
      <c r="G798" s="27">
        <f t="shared" si="37"/>
        <v>-9.25193424532742E-2</v>
      </c>
      <c r="H798" s="10" t="str">
        <f t="shared" si="38"/>
        <v>Under Budget</v>
      </c>
    </row>
    <row r="799" spans="1:8" x14ac:dyDescent="0.25">
      <c r="A799" s="14">
        <v>45658</v>
      </c>
      <c r="B799" s="13" t="s">
        <v>1799</v>
      </c>
      <c r="C799" s="13" t="s">
        <v>1786</v>
      </c>
      <c r="D799" s="15">
        <v>8102.31</v>
      </c>
      <c r="E799" s="15">
        <v>8162.55</v>
      </c>
      <c r="F799" s="15">
        <f t="shared" si="36"/>
        <v>60.239999999999782</v>
      </c>
      <c r="G799" s="28">
        <f t="shared" si="37"/>
        <v>7.4349167089385344E-3</v>
      </c>
      <c r="H799" s="13" t="str">
        <f t="shared" si="38"/>
        <v>Within Budget</v>
      </c>
    </row>
    <row r="800" spans="1:8" x14ac:dyDescent="0.25">
      <c r="A800" s="11">
        <v>45658</v>
      </c>
      <c r="B800" s="10" t="s">
        <v>1774</v>
      </c>
      <c r="C800" s="10" t="s">
        <v>1795</v>
      </c>
      <c r="D800" s="12">
        <v>6321.21</v>
      </c>
      <c r="E800" s="12">
        <v>6537.74</v>
      </c>
      <c r="F800" s="12">
        <f t="shared" si="36"/>
        <v>216.52999999999975</v>
      </c>
      <c r="G800" s="27">
        <f t="shared" si="37"/>
        <v>3.4254517726827576E-2</v>
      </c>
      <c r="H800" s="10" t="str">
        <f t="shared" si="38"/>
        <v>Within Budget</v>
      </c>
    </row>
    <row r="801" spans="1:8" x14ac:dyDescent="0.25">
      <c r="A801" s="14">
        <v>45658</v>
      </c>
      <c r="B801" s="13" t="s">
        <v>1818</v>
      </c>
      <c r="C801" s="13" t="s">
        <v>1780</v>
      </c>
      <c r="D801" s="15">
        <v>4306.5200000000004</v>
      </c>
      <c r="E801" s="15">
        <v>4377.3100000000004</v>
      </c>
      <c r="F801" s="15">
        <f t="shared" si="36"/>
        <v>70.789999999999964</v>
      </c>
      <c r="G801" s="28">
        <f t="shared" si="37"/>
        <v>1.6437866305044433E-2</v>
      </c>
      <c r="H801" s="13" t="str">
        <f t="shared" si="38"/>
        <v>Within Budget</v>
      </c>
    </row>
    <row r="802" spans="1:8" x14ac:dyDescent="0.25">
      <c r="A802" s="11">
        <v>45658</v>
      </c>
      <c r="B802" s="10" t="s">
        <v>1774</v>
      </c>
      <c r="C802" s="10" t="s">
        <v>1792</v>
      </c>
      <c r="D802" s="12">
        <v>17312.34</v>
      </c>
      <c r="E802" s="12">
        <v>15489.88</v>
      </c>
      <c r="F802" s="12">
        <f t="shared" si="36"/>
        <v>-1822.4600000000009</v>
      </c>
      <c r="G802" s="27">
        <f t="shared" si="37"/>
        <v>-0.10526942054049314</v>
      </c>
      <c r="H802" s="10" t="str">
        <f t="shared" si="38"/>
        <v>Under Budget</v>
      </c>
    </row>
    <row r="803" spans="1:8" x14ac:dyDescent="0.25">
      <c r="A803" s="14">
        <v>45658</v>
      </c>
      <c r="B803" s="13" t="s">
        <v>1786</v>
      </c>
      <c r="C803" s="13" t="s">
        <v>1778</v>
      </c>
      <c r="D803" s="15">
        <v>14341.9</v>
      </c>
      <c r="E803" s="15">
        <v>13841.73</v>
      </c>
      <c r="F803" s="15">
        <f t="shared" si="36"/>
        <v>-500.17000000000007</v>
      </c>
      <c r="G803" s="28">
        <f t="shared" si="37"/>
        <v>-3.4874737656795829E-2</v>
      </c>
      <c r="H803" s="13" t="str">
        <f t="shared" si="38"/>
        <v>Under Budget</v>
      </c>
    </row>
    <row r="804" spans="1:8" x14ac:dyDescent="0.25">
      <c r="A804" s="11">
        <v>45658</v>
      </c>
      <c r="B804" s="10" t="s">
        <v>1792</v>
      </c>
      <c r="C804" s="10" t="s">
        <v>1775</v>
      </c>
      <c r="D804" s="12">
        <v>83828.08</v>
      </c>
      <c r="E804" s="12">
        <v>82196.350000000006</v>
      </c>
      <c r="F804" s="12">
        <f t="shared" si="36"/>
        <v>-1631.7299999999959</v>
      </c>
      <c r="G804" s="27">
        <f t="shared" si="37"/>
        <v>-1.9465195910487225E-2</v>
      </c>
      <c r="H804" s="10" t="str">
        <f t="shared" si="38"/>
        <v>Under Budget</v>
      </c>
    </row>
    <row r="805" spans="1:8" x14ac:dyDescent="0.25">
      <c r="A805" s="14">
        <v>45658</v>
      </c>
      <c r="B805" s="13" t="s">
        <v>1792</v>
      </c>
      <c r="C805" s="13" t="s">
        <v>1780</v>
      </c>
      <c r="D805" s="15">
        <v>7870.37</v>
      </c>
      <c r="E805" s="15">
        <v>8668.75</v>
      </c>
      <c r="F805" s="15">
        <f t="shared" si="36"/>
        <v>798.38000000000011</v>
      </c>
      <c r="G805" s="28">
        <f t="shared" si="37"/>
        <v>0.10144122830311664</v>
      </c>
      <c r="H805" s="13" t="str">
        <f t="shared" si="38"/>
        <v>Slightly Over</v>
      </c>
    </row>
    <row r="806" spans="1:8" x14ac:dyDescent="0.25">
      <c r="A806" s="11">
        <v>45658</v>
      </c>
      <c r="B806" s="10" t="s">
        <v>1786</v>
      </c>
      <c r="C806" s="10" t="s">
        <v>1792</v>
      </c>
      <c r="D806" s="12">
        <v>13169.69</v>
      </c>
      <c r="E806" s="12">
        <v>12120.92</v>
      </c>
      <c r="F806" s="12">
        <f t="shared" si="36"/>
        <v>-1048.7700000000004</v>
      </c>
      <c r="G806" s="27">
        <f t="shared" si="37"/>
        <v>-7.9635131882375393E-2</v>
      </c>
      <c r="H806" s="10" t="str">
        <f t="shared" si="38"/>
        <v>Under Budget</v>
      </c>
    </row>
    <row r="807" spans="1:8" x14ac:dyDescent="0.25">
      <c r="A807" s="14">
        <v>45658</v>
      </c>
      <c r="B807" s="13" t="s">
        <v>1877</v>
      </c>
      <c r="C807" s="13" t="s">
        <v>1797</v>
      </c>
      <c r="D807" s="15">
        <v>3824.09</v>
      </c>
      <c r="E807" s="15">
        <v>4163.6899999999996</v>
      </c>
      <c r="F807" s="15">
        <f t="shared" si="36"/>
        <v>339.59999999999945</v>
      </c>
      <c r="G807" s="28">
        <f t="shared" si="37"/>
        <v>8.8805441294530052E-2</v>
      </c>
      <c r="H807" s="13" t="str">
        <f t="shared" si="38"/>
        <v>Slightly Over</v>
      </c>
    </row>
    <row r="808" spans="1:8" x14ac:dyDescent="0.25">
      <c r="A808" s="11">
        <v>45658</v>
      </c>
      <c r="B808" s="10" t="s">
        <v>1877</v>
      </c>
      <c r="C808" s="10" t="s">
        <v>1775</v>
      </c>
      <c r="D808" s="12">
        <v>62759.39</v>
      </c>
      <c r="E808" s="12">
        <v>68941.070000000007</v>
      </c>
      <c r="F808" s="12">
        <f t="shared" si="36"/>
        <v>6181.6800000000076</v>
      </c>
      <c r="G808" s="27">
        <f t="shared" si="37"/>
        <v>9.8498089289905583E-2</v>
      </c>
      <c r="H808" s="10" t="str">
        <f t="shared" si="38"/>
        <v>Slightly Over</v>
      </c>
    </row>
    <row r="809" spans="1:8" x14ac:dyDescent="0.25">
      <c r="A809" s="14">
        <v>45658</v>
      </c>
      <c r="B809" s="13" t="s">
        <v>1792</v>
      </c>
      <c r="C809" s="13" t="s">
        <v>1797</v>
      </c>
      <c r="D809" s="15">
        <v>5026.7299999999996</v>
      </c>
      <c r="E809" s="15">
        <v>5233.62</v>
      </c>
      <c r="F809" s="15">
        <f t="shared" si="36"/>
        <v>206.89000000000033</v>
      </c>
      <c r="G809" s="28">
        <f t="shared" si="37"/>
        <v>4.1157969495079376E-2</v>
      </c>
      <c r="H809" s="13" t="str">
        <f t="shared" si="38"/>
        <v>Within Budget</v>
      </c>
    </row>
    <row r="810" spans="1:8" x14ac:dyDescent="0.25">
      <c r="A810" s="11">
        <v>45658</v>
      </c>
      <c r="B810" s="10" t="s">
        <v>1877</v>
      </c>
      <c r="C810" s="10" t="s">
        <v>1786</v>
      </c>
      <c r="D810" s="12">
        <v>9149.7000000000007</v>
      </c>
      <c r="E810" s="12">
        <v>9107.14</v>
      </c>
      <c r="F810" s="12">
        <f t="shared" si="36"/>
        <v>-42.56000000000131</v>
      </c>
      <c r="G810" s="27">
        <f t="shared" si="37"/>
        <v>-4.6515186290262307E-3</v>
      </c>
      <c r="H810" s="10" t="str">
        <f t="shared" si="38"/>
        <v>Under Budget</v>
      </c>
    </row>
    <row r="811" spans="1:8" x14ac:dyDescent="0.25">
      <c r="A811" s="14">
        <v>45658</v>
      </c>
      <c r="B811" s="13" t="s">
        <v>1792</v>
      </c>
      <c r="C811" s="13" t="s">
        <v>1789</v>
      </c>
      <c r="D811" s="15">
        <v>10469.049999999999</v>
      </c>
      <c r="E811" s="15">
        <v>9543.66</v>
      </c>
      <c r="F811" s="15">
        <f t="shared" si="36"/>
        <v>-925.38999999999942</v>
      </c>
      <c r="G811" s="28">
        <f t="shared" si="37"/>
        <v>-8.8392929635449202E-2</v>
      </c>
      <c r="H811" s="13" t="str">
        <f t="shared" si="38"/>
        <v>Under Budget</v>
      </c>
    </row>
    <row r="812" spans="1:8" x14ac:dyDescent="0.25">
      <c r="A812" s="11">
        <v>45658</v>
      </c>
      <c r="B812" s="10" t="s">
        <v>1799</v>
      </c>
      <c r="C812" s="10" t="s">
        <v>1775</v>
      </c>
      <c r="D812" s="12">
        <v>53999.05</v>
      </c>
      <c r="E812" s="12">
        <v>50287</v>
      </c>
      <c r="F812" s="12">
        <f t="shared" si="36"/>
        <v>-3712.0500000000029</v>
      </c>
      <c r="G812" s="27">
        <f t="shared" si="37"/>
        <v>-6.874287603207839E-2</v>
      </c>
      <c r="H812" s="10" t="str">
        <f t="shared" si="38"/>
        <v>Under Budget</v>
      </c>
    </row>
    <row r="813" spans="1:8" x14ac:dyDescent="0.25">
      <c r="A813" s="14">
        <v>45658</v>
      </c>
      <c r="B813" s="13" t="s">
        <v>1774</v>
      </c>
      <c r="C813" s="13" t="s">
        <v>1775</v>
      </c>
      <c r="D813" s="15">
        <v>104405.63</v>
      </c>
      <c r="E813" s="15">
        <v>110660.25</v>
      </c>
      <c r="F813" s="15">
        <f t="shared" si="36"/>
        <v>6254.6199999999953</v>
      </c>
      <c r="G813" s="28">
        <f t="shared" si="37"/>
        <v>5.9906922643922507E-2</v>
      </c>
      <c r="H813" s="13" t="str">
        <f t="shared" si="38"/>
        <v>Slightly Over</v>
      </c>
    </row>
    <row r="814" spans="1:8" x14ac:dyDescent="0.25">
      <c r="A814" s="11">
        <v>45658</v>
      </c>
      <c r="B814" s="10" t="s">
        <v>1862</v>
      </c>
      <c r="C814" s="10" t="s">
        <v>1775</v>
      </c>
      <c r="D814" s="12">
        <v>38883.4</v>
      </c>
      <c r="E814" s="12">
        <v>39601.879999999997</v>
      </c>
      <c r="F814" s="12">
        <f t="shared" si="36"/>
        <v>718.47999999999593</v>
      </c>
      <c r="G814" s="27">
        <f t="shared" si="37"/>
        <v>1.8477808010616249E-2</v>
      </c>
      <c r="H814" s="10" t="str">
        <f t="shared" si="38"/>
        <v>Within Budget</v>
      </c>
    </row>
    <row r="815" spans="1:8" x14ac:dyDescent="0.25">
      <c r="A815" s="14">
        <v>45658</v>
      </c>
      <c r="B815" s="13" t="s">
        <v>1818</v>
      </c>
      <c r="C815" s="13" t="s">
        <v>1795</v>
      </c>
      <c r="D815" s="15">
        <v>2198.2600000000002</v>
      </c>
      <c r="E815" s="15">
        <v>2051.2800000000002</v>
      </c>
      <c r="F815" s="15">
        <f t="shared" si="36"/>
        <v>-146.98000000000002</v>
      </c>
      <c r="G815" s="28">
        <f t="shared" si="37"/>
        <v>-6.6861972651096779E-2</v>
      </c>
      <c r="H815" s="13" t="str">
        <f t="shared" si="38"/>
        <v>Under Budget</v>
      </c>
    </row>
    <row r="816" spans="1:8" x14ac:dyDescent="0.25">
      <c r="A816" s="11">
        <v>45658</v>
      </c>
      <c r="B816" s="10" t="s">
        <v>1786</v>
      </c>
      <c r="C816" s="10" t="s">
        <v>1795</v>
      </c>
      <c r="D816" s="12">
        <v>4336.62</v>
      </c>
      <c r="E816" s="12">
        <v>4268.49</v>
      </c>
      <c r="F816" s="12">
        <f t="shared" si="36"/>
        <v>-68.130000000000109</v>
      </c>
      <c r="G816" s="27">
        <f t="shared" si="37"/>
        <v>-1.5710391964248682E-2</v>
      </c>
      <c r="H816" s="10" t="str">
        <f t="shared" si="38"/>
        <v>Under Budget</v>
      </c>
    </row>
    <row r="817" spans="1:8" x14ac:dyDescent="0.25">
      <c r="A817" s="14">
        <v>45658</v>
      </c>
      <c r="B817" s="13" t="s">
        <v>1818</v>
      </c>
      <c r="C817" s="13" t="s">
        <v>1786</v>
      </c>
      <c r="D817" s="15">
        <v>4769.92</v>
      </c>
      <c r="E817" s="15">
        <v>5083.1000000000004</v>
      </c>
      <c r="F817" s="15">
        <f t="shared" si="36"/>
        <v>313.18000000000029</v>
      </c>
      <c r="G817" s="28">
        <f t="shared" si="37"/>
        <v>6.5657285656782569E-2</v>
      </c>
      <c r="H817" s="13" t="str">
        <f t="shared" si="38"/>
        <v>Slightly Over</v>
      </c>
    </row>
    <row r="818" spans="1:8" x14ac:dyDescent="0.25">
      <c r="A818" s="11">
        <v>45658</v>
      </c>
      <c r="B818" s="10" t="s">
        <v>1774</v>
      </c>
      <c r="C818" s="10" t="s">
        <v>1797</v>
      </c>
      <c r="D818" s="12">
        <v>5672.01</v>
      </c>
      <c r="E818" s="12">
        <v>5745.95</v>
      </c>
      <c r="F818" s="12">
        <f t="shared" si="36"/>
        <v>73.9399999999996</v>
      </c>
      <c r="G818" s="27">
        <f t="shared" si="37"/>
        <v>1.3035943166531722E-2</v>
      </c>
      <c r="H818" s="10" t="str">
        <f t="shared" si="38"/>
        <v>Within Budget</v>
      </c>
    </row>
    <row r="819" spans="1:8" x14ac:dyDescent="0.25">
      <c r="A819" s="14">
        <v>45658</v>
      </c>
      <c r="B819" s="13" t="s">
        <v>1786</v>
      </c>
      <c r="C819" s="13" t="s">
        <v>1783</v>
      </c>
      <c r="D819" s="15">
        <v>12767.4</v>
      </c>
      <c r="E819" s="15">
        <v>12303.49</v>
      </c>
      <c r="F819" s="15">
        <f t="shared" si="36"/>
        <v>-463.90999999999985</v>
      </c>
      <c r="G819" s="28">
        <f t="shared" si="37"/>
        <v>-3.6335510753951458E-2</v>
      </c>
      <c r="H819" s="13" t="str">
        <f t="shared" si="38"/>
        <v>Under Budget</v>
      </c>
    </row>
    <row r="820" spans="1:8" x14ac:dyDescent="0.25">
      <c r="A820" s="11">
        <v>45658</v>
      </c>
      <c r="B820" s="10" t="s">
        <v>1792</v>
      </c>
      <c r="C820" s="10" t="s">
        <v>1778</v>
      </c>
      <c r="D820" s="12">
        <v>18611.89</v>
      </c>
      <c r="E820" s="12">
        <v>16705.62</v>
      </c>
      <c r="F820" s="12">
        <f t="shared" si="36"/>
        <v>-1906.2700000000004</v>
      </c>
      <c r="G820" s="27">
        <f t="shared" si="37"/>
        <v>-0.10242216131730848</v>
      </c>
      <c r="H820" s="10" t="str">
        <f t="shared" si="38"/>
        <v>Under Budget</v>
      </c>
    </row>
    <row r="821" spans="1:8" x14ac:dyDescent="0.25">
      <c r="A821" s="14">
        <v>45689</v>
      </c>
      <c r="B821" s="13" t="s">
        <v>1862</v>
      </c>
      <c r="C821" s="13" t="s">
        <v>1792</v>
      </c>
      <c r="D821" s="15">
        <v>8528.6299999999992</v>
      </c>
      <c r="E821" s="15">
        <v>8156.7</v>
      </c>
      <c r="F821" s="15">
        <f t="shared" si="36"/>
        <v>-371.92999999999938</v>
      </c>
      <c r="G821" s="28">
        <f t="shared" si="37"/>
        <v>-4.3609583250768226E-2</v>
      </c>
      <c r="H821" s="13" t="str">
        <f t="shared" si="38"/>
        <v>Under Budget</v>
      </c>
    </row>
    <row r="822" spans="1:8" x14ac:dyDescent="0.25">
      <c r="A822" s="11">
        <v>45689</v>
      </c>
      <c r="B822" s="10" t="s">
        <v>1862</v>
      </c>
      <c r="C822" s="10" t="s">
        <v>1778</v>
      </c>
      <c r="D822" s="12">
        <v>6679.96</v>
      </c>
      <c r="E822" s="12">
        <v>7392.91</v>
      </c>
      <c r="F822" s="12">
        <f t="shared" si="36"/>
        <v>712.94999999999982</v>
      </c>
      <c r="G822" s="27">
        <f t="shared" si="37"/>
        <v>0.10672968101605396</v>
      </c>
      <c r="H822" s="10" t="str">
        <f t="shared" si="38"/>
        <v>Slightly Over</v>
      </c>
    </row>
    <row r="823" spans="1:8" x14ac:dyDescent="0.25">
      <c r="A823" s="14">
        <v>45689</v>
      </c>
      <c r="B823" s="13" t="s">
        <v>1774</v>
      </c>
      <c r="C823" s="13" t="s">
        <v>1778</v>
      </c>
      <c r="D823" s="15">
        <v>25438.31</v>
      </c>
      <c r="E823" s="15">
        <v>24109.82</v>
      </c>
      <c r="F823" s="15">
        <f t="shared" si="36"/>
        <v>-1328.4900000000016</v>
      </c>
      <c r="G823" s="28">
        <f t="shared" si="37"/>
        <v>-5.2223988150156261E-2</v>
      </c>
      <c r="H823" s="13" t="str">
        <f t="shared" si="38"/>
        <v>Under Budget</v>
      </c>
    </row>
    <row r="824" spans="1:8" x14ac:dyDescent="0.25">
      <c r="A824" s="11">
        <v>45689</v>
      </c>
      <c r="B824" s="10" t="s">
        <v>1786</v>
      </c>
      <c r="C824" s="10" t="s">
        <v>1797</v>
      </c>
      <c r="D824" s="12">
        <v>4675.96</v>
      </c>
      <c r="E824" s="12">
        <v>4895.32</v>
      </c>
      <c r="F824" s="12">
        <f t="shared" si="36"/>
        <v>219.35999999999967</v>
      </c>
      <c r="G824" s="27">
        <f t="shared" si="37"/>
        <v>4.6912291807457651E-2</v>
      </c>
      <c r="H824" s="10" t="str">
        <f t="shared" si="38"/>
        <v>Within Budget</v>
      </c>
    </row>
    <row r="825" spans="1:8" x14ac:dyDescent="0.25">
      <c r="A825" s="14">
        <v>45689</v>
      </c>
      <c r="B825" s="13" t="s">
        <v>1786</v>
      </c>
      <c r="C825" s="13" t="s">
        <v>1789</v>
      </c>
      <c r="D825" s="15">
        <v>6911.14</v>
      </c>
      <c r="E825" s="15">
        <v>6342.39</v>
      </c>
      <c r="F825" s="15">
        <f t="shared" si="36"/>
        <v>-568.75</v>
      </c>
      <c r="G825" s="28">
        <f t="shared" si="37"/>
        <v>-8.2294672080148859E-2</v>
      </c>
      <c r="H825" s="13" t="str">
        <f t="shared" si="38"/>
        <v>Under Budget</v>
      </c>
    </row>
    <row r="826" spans="1:8" x14ac:dyDescent="0.25">
      <c r="A826" s="11">
        <v>45689</v>
      </c>
      <c r="B826" s="10" t="s">
        <v>1818</v>
      </c>
      <c r="C826" s="10" t="s">
        <v>1780</v>
      </c>
      <c r="D826" s="12">
        <v>4118.6099999999997</v>
      </c>
      <c r="E826" s="12">
        <v>4183.6400000000003</v>
      </c>
      <c r="F826" s="12">
        <f t="shared" si="36"/>
        <v>65.030000000000655</v>
      </c>
      <c r="G826" s="27">
        <f t="shared" si="37"/>
        <v>1.5789307557647035E-2</v>
      </c>
      <c r="H826" s="10" t="str">
        <f t="shared" si="38"/>
        <v>Within Budget</v>
      </c>
    </row>
    <row r="827" spans="1:8" x14ac:dyDescent="0.25">
      <c r="A827" s="14">
        <v>45689</v>
      </c>
      <c r="B827" s="13" t="s">
        <v>1799</v>
      </c>
      <c r="C827" s="13" t="s">
        <v>1783</v>
      </c>
      <c r="D827" s="15">
        <v>7065.36</v>
      </c>
      <c r="E827" s="15">
        <v>7485.16</v>
      </c>
      <c r="F827" s="15">
        <f t="shared" si="36"/>
        <v>419.80000000000018</v>
      </c>
      <c r="G827" s="28">
        <f t="shared" si="37"/>
        <v>5.9416646851682041E-2</v>
      </c>
      <c r="H827" s="13" t="str">
        <f t="shared" si="38"/>
        <v>Slightly Over</v>
      </c>
    </row>
    <row r="828" spans="1:8" x14ac:dyDescent="0.25">
      <c r="A828" s="11">
        <v>45689</v>
      </c>
      <c r="B828" s="10" t="s">
        <v>1774</v>
      </c>
      <c r="C828" s="10" t="s">
        <v>1780</v>
      </c>
      <c r="D828" s="12">
        <v>10526.93</v>
      </c>
      <c r="E828" s="12">
        <v>10495.98</v>
      </c>
      <c r="F828" s="12">
        <f t="shared" si="36"/>
        <v>-30.950000000000728</v>
      </c>
      <c r="G828" s="27">
        <f t="shared" si="37"/>
        <v>-2.9400784464227205E-3</v>
      </c>
      <c r="H828" s="10" t="str">
        <f t="shared" si="38"/>
        <v>Under Budget</v>
      </c>
    </row>
    <row r="829" spans="1:8" x14ac:dyDescent="0.25">
      <c r="A829" s="14">
        <v>45689</v>
      </c>
      <c r="B829" s="13" t="s">
        <v>1818</v>
      </c>
      <c r="C829" s="13" t="s">
        <v>1797</v>
      </c>
      <c r="D829" s="15">
        <v>2153.77</v>
      </c>
      <c r="E829" s="15">
        <v>2252.56</v>
      </c>
      <c r="F829" s="15">
        <f t="shared" si="36"/>
        <v>98.789999999999964</v>
      </c>
      <c r="G829" s="28">
        <f t="shared" si="37"/>
        <v>4.5868407490121957E-2</v>
      </c>
      <c r="H829" s="13" t="str">
        <f t="shared" si="38"/>
        <v>Within Budget</v>
      </c>
    </row>
    <row r="830" spans="1:8" x14ac:dyDescent="0.25">
      <c r="A830" s="11">
        <v>45689</v>
      </c>
      <c r="B830" s="10" t="s">
        <v>1818</v>
      </c>
      <c r="C830" s="10" t="s">
        <v>1783</v>
      </c>
      <c r="D830" s="12">
        <v>4922.6099999999997</v>
      </c>
      <c r="E830" s="12">
        <v>5171.46</v>
      </c>
      <c r="F830" s="12">
        <f t="shared" si="36"/>
        <v>248.85000000000036</v>
      </c>
      <c r="G830" s="27">
        <f t="shared" si="37"/>
        <v>5.0552450834008868E-2</v>
      </c>
      <c r="H830" s="10" t="str">
        <f t="shared" si="38"/>
        <v>Slightly Over</v>
      </c>
    </row>
    <row r="831" spans="1:8" x14ac:dyDescent="0.25">
      <c r="A831" s="14">
        <v>45689</v>
      </c>
      <c r="B831" s="13" t="s">
        <v>1799</v>
      </c>
      <c r="C831" s="13" t="s">
        <v>1786</v>
      </c>
      <c r="D831" s="15">
        <v>7459.6</v>
      </c>
      <c r="E831" s="15">
        <v>7269.73</v>
      </c>
      <c r="F831" s="15">
        <f t="shared" si="36"/>
        <v>-189.8700000000008</v>
      </c>
      <c r="G831" s="28">
        <f t="shared" si="37"/>
        <v>-2.5453107405222906E-2</v>
      </c>
      <c r="H831" s="13" t="str">
        <f t="shared" si="38"/>
        <v>Under Budget</v>
      </c>
    </row>
    <row r="832" spans="1:8" x14ac:dyDescent="0.25">
      <c r="A832" s="11">
        <v>45689</v>
      </c>
      <c r="B832" s="10" t="s">
        <v>1786</v>
      </c>
      <c r="C832" s="10" t="s">
        <v>1783</v>
      </c>
      <c r="D832" s="12">
        <v>14980.65</v>
      </c>
      <c r="E832" s="12">
        <v>14016.11</v>
      </c>
      <c r="F832" s="12">
        <f t="shared" si="36"/>
        <v>-964.53999999999905</v>
      </c>
      <c r="G832" s="27">
        <f t="shared" si="37"/>
        <v>-6.4385724250950335E-2</v>
      </c>
      <c r="H832" s="10" t="str">
        <f t="shared" si="38"/>
        <v>Under Budget</v>
      </c>
    </row>
    <row r="833" spans="1:8" x14ac:dyDescent="0.25">
      <c r="A833" s="14">
        <v>45689</v>
      </c>
      <c r="B833" s="13" t="s">
        <v>1792</v>
      </c>
      <c r="C833" s="13" t="s">
        <v>1778</v>
      </c>
      <c r="D833" s="15">
        <v>18209.05</v>
      </c>
      <c r="E833" s="15">
        <v>16802.82</v>
      </c>
      <c r="F833" s="15">
        <f t="shared" si="36"/>
        <v>-1406.2299999999996</v>
      </c>
      <c r="G833" s="28">
        <f t="shared" si="37"/>
        <v>-7.7226983285783701E-2</v>
      </c>
      <c r="H833" s="13" t="str">
        <f t="shared" si="38"/>
        <v>Under Budget</v>
      </c>
    </row>
    <row r="834" spans="1:8" x14ac:dyDescent="0.25">
      <c r="A834" s="11">
        <v>45689</v>
      </c>
      <c r="B834" s="10" t="s">
        <v>1818</v>
      </c>
      <c r="C834" s="10" t="s">
        <v>1786</v>
      </c>
      <c r="D834" s="12">
        <v>6679.83</v>
      </c>
      <c r="E834" s="12">
        <v>6764.47</v>
      </c>
      <c r="F834" s="12">
        <f t="shared" ref="F834:F897" si="39">E834-D834</f>
        <v>84.640000000000327</v>
      </c>
      <c r="G834" s="27">
        <f t="shared" ref="G834:G897" si="40">IFERROR(F834/D834,0)</f>
        <v>1.2670981147723869E-2</v>
      </c>
      <c r="H834" s="10" t="str">
        <f t="shared" ref="H834:H897" si="41">IF(G834&lt;=0,"Under Budget",IF(G834&lt;=5%,"Within Budget",IF(G834&lt;=15%,"Slightly Over","Significantly Over")))</f>
        <v>Within Budget</v>
      </c>
    </row>
    <row r="835" spans="1:8" x14ac:dyDescent="0.25">
      <c r="A835" s="14">
        <v>45689</v>
      </c>
      <c r="B835" s="13" t="s">
        <v>1877</v>
      </c>
      <c r="C835" s="13" t="s">
        <v>1797</v>
      </c>
      <c r="D835" s="15">
        <v>3741.22</v>
      </c>
      <c r="E835" s="15">
        <v>4090.12</v>
      </c>
      <c r="F835" s="15">
        <f t="shared" si="39"/>
        <v>348.90000000000009</v>
      </c>
      <c r="G835" s="28">
        <f t="shared" si="40"/>
        <v>9.3258348880846387E-2</v>
      </c>
      <c r="H835" s="13" t="str">
        <f t="shared" si="41"/>
        <v>Slightly Over</v>
      </c>
    </row>
    <row r="836" spans="1:8" x14ac:dyDescent="0.25">
      <c r="A836" s="11">
        <v>45689</v>
      </c>
      <c r="B836" s="10" t="s">
        <v>1786</v>
      </c>
      <c r="C836" s="10" t="s">
        <v>1778</v>
      </c>
      <c r="D836" s="12">
        <v>12736.84</v>
      </c>
      <c r="E836" s="12">
        <v>12654.91</v>
      </c>
      <c r="F836" s="12">
        <f t="shared" si="39"/>
        <v>-81.930000000000291</v>
      </c>
      <c r="G836" s="27">
        <f t="shared" si="40"/>
        <v>-6.4325217243837787E-3</v>
      </c>
      <c r="H836" s="10" t="str">
        <f t="shared" si="41"/>
        <v>Under Budget</v>
      </c>
    </row>
    <row r="837" spans="1:8" x14ac:dyDescent="0.25">
      <c r="A837" s="14">
        <v>45689</v>
      </c>
      <c r="B837" s="13" t="s">
        <v>1792</v>
      </c>
      <c r="C837" s="13" t="s">
        <v>1792</v>
      </c>
      <c r="D837" s="15">
        <v>13228.76</v>
      </c>
      <c r="E837" s="15">
        <v>13289.47</v>
      </c>
      <c r="F837" s="15">
        <f t="shared" si="39"/>
        <v>60.709999999999127</v>
      </c>
      <c r="G837" s="28">
        <f t="shared" si="40"/>
        <v>4.5892434362706045E-3</v>
      </c>
      <c r="H837" s="13" t="str">
        <f t="shared" si="41"/>
        <v>Within Budget</v>
      </c>
    </row>
    <row r="838" spans="1:8" x14ac:dyDescent="0.25">
      <c r="A838" s="11">
        <v>45689</v>
      </c>
      <c r="B838" s="10" t="s">
        <v>1792</v>
      </c>
      <c r="C838" s="10" t="s">
        <v>1797</v>
      </c>
      <c r="D838" s="12">
        <v>5987.95</v>
      </c>
      <c r="E838" s="12">
        <v>6347.64</v>
      </c>
      <c r="F838" s="12">
        <f t="shared" si="39"/>
        <v>359.69000000000051</v>
      </c>
      <c r="G838" s="27">
        <f t="shared" si="40"/>
        <v>6.0068971851802454E-2</v>
      </c>
      <c r="H838" s="10" t="str">
        <f t="shared" si="41"/>
        <v>Slightly Over</v>
      </c>
    </row>
    <row r="839" spans="1:8" x14ac:dyDescent="0.25">
      <c r="A839" s="14">
        <v>45689</v>
      </c>
      <c r="B839" s="13" t="s">
        <v>1877</v>
      </c>
      <c r="C839" s="13" t="s">
        <v>1792</v>
      </c>
      <c r="D839" s="15">
        <v>12943.42</v>
      </c>
      <c r="E839" s="15">
        <v>11797.29</v>
      </c>
      <c r="F839" s="15">
        <f t="shared" si="39"/>
        <v>-1146.1299999999992</v>
      </c>
      <c r="G839" s="28">
        <f t="shared" si="40"/>
        <v>-8.8549239690900797E-2</v>
      </c>
      <c r="H839" s="13" t="str">
        <f t="shared" si="41"/>
        <v>Under Budget</v>
      </c>
    </row>
    <row r="840" spans="1:8" x14ac:dyDescent="0.25">
      <c r="A840" s="11">
        <v>45689</v>
      </c>
      <c r="B840" s="10" t="s">
        <v>1792</v>
      </c>
      <c r="C840" s="10" t="s">
        <v>1783</v>
      </c>
      <c r="D840" s="12">
        <v>15105.83</v>
      </c>
      <c r="E840" s="12">
        <v>13556.19</v>
      </c>
      <c r="F840" s="12">
        <f t="shared" si="39"/>
        <v>-1549.6399999999994</v>
      </c>
      <c r="G840" s="27">
        <f t="shared" si="40"/>
        <v>-0.10258555802627194</v>
      </c>
      <c r="H840" s="10" t="str">
        <f t="shared" si="41"/>
        <v>Under Budget</v>
      </c>
    </row>
    <row r="841" spans="1:8" x14ac:dyDescent="0.25">
      <c r="A841" s="14">
        <v>45689</v>
      </c>
      <c r="B841" s="13" t="s">
        <v>1786</v>
      </c>
      <c r="C841" s="13" t="s">
        <v>1775</v>
      </c>
      <c r="D841" s="15">
        <v>79237.490000000005</v>
      </c>
      <c r="E841" s="15">
        <v>86941.9</v>
      </c>
      <c r="F841" s="15">
        <f t="shared" si="39"/>
        <v>7704.4099999999889</v>
      </c>
      <c r="G841" s="28">
        <f t="shared" si="40"/>
        <v>9.7231878495898705E-2</v>
      </c>
      <c r="H841" s="13" t="str">
        <f t="shared" si="41"/>
        <v>Slightly Over</v>
      </c>
    </row>
    <row r="842" spans="1:8" x14ac:dyDescent="0.25">
      <c r="A842" s="11">
        <v>45689</v>
      </c>
      <c r="B842" s="10" t="s">
        <v>1877</v>
      </c>
      <c r="C842" s="10" t="s">
        <v>1778</v>
      </c>
      <c r="D842" s="12">
        <v>12665.18</v>
      </c>
      <c r="E842" s="12">
        <v>11780.86</v>
      </c>
      <c r="F842" s="12">
        <f t="shared" si="39"/>
        <v>-884.31999999999971</v>
      </c>
      <c r="G842" s="27">
        <f t="shared" si="40"/>
        <v>-6.9822931849369663E-2</v>
      </c>
      <c r="H842" s="10" t="str">
        <f t="shared" si="41"/>
        <v>Under Budget</v>
      </c>
    </row>
    <row r="843" spans="1:8" x14ac:dyDescent="0.25">
      <c r="A843" s="14">
        <v>45689</v>
      </c>
      <c r="B843" s="13" t="s">
        <v>1877</v>
      </c>
      <c r="C843" s="13" t="s">
        <v>1780</v>
      </c>
      <c r="D843" s="15">
        <v>6687.86</v>
      </c>
      <c r="E843" s="15">
        <v>6417.94</v>
      </c>
      <c r="F843" s="15">
        <f t="shared" si="39"/>
        <v>-269.92000000000007</v>
      </c>
      <c r="G843" s="28">
        <f t="shared" si="40"/>
        <v>-4.0359696524747843E-2</v>
      </c>
      <c r="H843" s="13" t="str">
        <f t="shared" si="41"/>
        <v>Under Budget</v>
      </c>
    </row>
    <row r="844" spans="1:8" x14ac:dyDescent="0.25">
      <c r="A844" s="11">
        <v>45689</v>
      </c>
      <c r="B844" s="10" t="s">
        <v>1792</v>
      </c>
      <c r="C844" s="10" t="s">
        <v>1786</v>
      </c>
      <c r="D844" s="12">
        <v>16187.38</v>
      </c>
      <c r="E844" s="12">
        <v>16905.599999999999</v>
      </c>
      <c r="F844" s="12">
        <f t="shared" si="39"/>
        <v>718.21999999999935</v>
      </c>
      <c r="G844" s="27">
        <f t="shared" si="40"/>
        <v>4.4369132002831796E-2</v>
      </c>
      <c r="H844" s="10" t="str">
        <f t="shared" si="41"/>
        <v>Within Budget</v>
      </c>
    </row>
    <row r="845" spans="1:8" x14ac:dyDescent="0.25">
      <c r="A845" s="14">
        <v>45689</v>
      </c>
      <c r="B845" s="13" t="s">
        <v>1799</v>
      </c>
      <c r="C845" s="13" t="s">
        <v>1792</v>
      </c>
      <c r="D845" s="15">
        <v>7580.54</v>
      </c>
      <c r="E845" s="15">
        <v>7290.84</v>
      </c>
      <c r="F845" s="15">
        <f t="shared" si="39"/>
        <v>-289.69999999999982</v>
      </c>
      <c r="G845" s="28">
        <f t="shared" si="40"/>
        <v>-3.8216274830025279E-2</v>
      </c>
      <c r="H845" s="13" t="str">
        <f t="shared" si="41"/>
        <v>Under Budget</v>
      </c>
    </row>
    <row r="846" spans="1:8" x14ac:dyDescent="0.25">
      <c r="A846" s="11">
        <v>45689</v>
      </c>
      <c r="B846" s="10" t="s">
        <v>1774</v>
      </c>
      <c r="C846" s="10" t="s">
        <v>1795</v>
      </c>
      <c r="D846" s="12">
        <v>6113.12</v>
      </c>
      <c r="E846" s="12">
        <v>6585.27</v>
      </c>
      <c r="F846" s="12">
        <f t="shared" si="39"/>
        <v>472.15000000000055</v>
      </c>
      <c r="G846" s="27">
        <f t="shared" si="40"/>
        <v>7.7235519669170666E-2</v>
      </c>
      <c r="H846" s="10" t="str">
        <f t="shared" si="41"/>
        <v>Slightly Over</v>
      </c>
    </row>
    <row r="847" spans="1:8" x14ac:dyDescent="0.25">
      <c r="A847" s="14">
        <v>45689</v>
      </c>
      <c r="B847" s="13" t="s">
        <v>1877</v>
      </c>
      <c r="C847" s="13" t="s">
        <v>1795</v>
      </c>
      <c r="D847" s="15">
        <v>3625.43</v>
      </c>
      <c r="E847" s="15">
        <v>3961.05</v>
      </c>
      <c r="F847" s="15">
        <f t="shared" si="39"/>
        <v>335.62000000000035</v>
      </c>
      <c r="G847" s="28">
        <f t="shared" si="40"/>
        <v>9.2573846412701485E-2</v>
      </c>
      <c r="H847" s="13" t="str">
        <f t="shared" si="41"/>
        <v>Slightly Over</v>
      </c>
    </row>
    <row r="848" spans="1:8" x14ac:dyDescent="0.25">
      <c r="A848" s="11">
        <v>45689</v>
      </c>
      <c r="B848" s="10" t="s">
        <v>1862</v>
      </c>
      <c r="C848" s="10" t="s">
        <v>1797</v>
      </c>
      <c r="D848" s="12">
        <v>2978.38</v>
      </c>
      <c r="E848" s="12">
        <v>2662.67</v>
      </c>
      <c r="F848" s="12">
        <f t="shared" si="39"/>
        <v>-315.71000000000004</v>
      </c>
      <c r="G848" s="27">
        <f t="shared" si="40"/>
        <v>-0.10600057749514838</v>
      </c>
      <c r="H848" s="10" t="str">
        <f t="shared" si="41"/>
        <v>Under Budget</v>
      </c>
    </row>
    <row r="849" spans="1:8" x14ac:dyDescent="0.25">
      <c r="A849" s="14">
        <v>45689</v>
      </c>
      <c r="B849" s="13" t="s">
        <v>1862</v>
      </c>
      <c r="C849" s="13" t="s">
        <v>1780</v>
      </c>
      <c r="D849" s="15">
        <v>5315.86</v>
      </c>
      <c r="E849" s="15">
        <v>5111.3999999999996</v>
      </c>
      <c r="F849" s="15">
        <f t="shared" si="39"/>
        <v>-204.46000000000004</v>
      </c>
      <c r="G849" s="28">
        <f t="shared" si="40"/>
        <v>-3.8462261985831088E-2</v>
      </c>
      <c r="H849" s="13" t="str">
        <f t="shared" si="41"/>
        <v>Under Budget</v>
      </c>
    </row>
    <row r="850" spans="1:8" x14ac:dyDescent="0.25">
      <c r="A850" s="11">
        <v>45689</v>
      </c>
      <c r="B850" s="10" t="s">
        <v>1818</v>
      </c>
      <c r="C850" s="10" t="s">
        <v>1795</v>
      </c>
      <c r="D850" s="12">
        <v>2413.73</v>
      </c>
      <c r="E850" s="12">
        <v>2525.59</v>
      </c>
      <c r="F850" s="12">
        <f t="shared" si="39"/>
        <v>111.86000000000013</v>
      </c>
      <c r="G850" s="27">
        <f t="shared" si="40"/>
        <v>4.6343211543958984E-2</v>
      </c>
      <c r="H850" s="10" t="str">
        <f t="shared" si="41"/>
        <v>Within Budget</v>
      </c>
    </row>
    <row r="851" spans="1:8" x14ac:dyDescent="0.25">
      <c r="A851" s="14">
        <v>45689</v>
      </c>
      <c r="B851" s="13" t="s">
        <v>1774</v>
      </c>
      <c r="C851" s="13" t="s">
        <v>1783</v>
      </c>
      <c r="D851" s="15">
        <v>19700.25</v>
      </c>
      <c r="E851" s="15">
        <v>19719.82</v>
      </c>
      <c r="F851" s="15">
        <f t="shared" si="39"/>
        <v>19.569999999999709</v>
      </c>
      <c r="G851" s="28">
        <f t="shared" si="40"/>
        <v>9.9338840877652369E-4</v>
      </c>
      <c r="H851" s="13" t="str">
        <f t="shared" si="41"/>
        <v>Within Budget</v>
      </c>
    </row>
    <row r="852" spans="1:8" x14ac:dyDescent="0.25">
      <c r="A852" s="11">
        <v>45689</v>
      </c>
      <c r="B852" s="10" t="s">
        <v>1792</v>
      </c>
      <c r="C852" s="10" t="s">
        <v>1789</v>
      </c>
      <c r="D852" s="12">
        <v>10103.950000000001</v>
      </c>
      <c r="E852" s="12">
        <v>9110.7099999999991</v>
      </c>
      <c r="F852" s="12">
        <f t="shared" si="39"/>
        <v>-993.2400000000016</v>
      </c>
      <c r="G852" s="27">
        <f t="shared" si="40"/>
        <v>-9.8302149159487276E-2</v>
      </c>
      <c r="H852" s="10" t="str">
        <f t="shared" si="41"/>
        <v>Under Budget</v>
      </c>
    </row>
    <row r="853" spans="1:8" x14ac:dyDescent="0.25">
      <c r="A853" s="14">
        <v>45689</v>
      </c>
      <c r="B853" s="13" t="s">
        <v>1877</v>
      </c>
      <c r="C853" s="13" t="s">
        <v>1783</v>
      </c>
      <c r="D853" s="15">
        <v>10576.16</v>
      </c>
      <c r="E853" s="15">
        <v>10613.1</v>
      </c>
      <c r="F853" s="15">
        <f t="shared" si="39"/>
        <v>36.940000000000509</v>
      </c>
      <c r="G853" s="28">
        <f t="shared" si="40"/>
        <v>3.4927610777447118E-3</v>
      </c>
      <c r="H853" s="13" t="str">
        <f t="shared" si="41"/>
        <v>Within Budget</v>
      </c>
    </row>
    <row r="854" spans="1:8" x14ac:dyDescent="0.25">
      <c r="A854" s="11">
        <v>45689</v>
      </c>
      <c r="B854" s="10" t="s">
        <v>1786</v>
      </c>
      <c r="C854" s="10" t="s">
        <v>1780</v>
      </c>
      <c r="D854" s="12">
        <v>7470.68</v>
      </c>
      <c r="E854" s="12">
        <v>6803.29</v>
      </c>
      <c r="F854" s="12">
        <f t="shared" si="39"/>
        <v>-667.39000000000033</v>
      </c>
      <c r="G854" s="27">
        <f t="shared" si="40"/>
        <v>-8.9334571953289435E-2</v>
      </c>
      <c r="H854" s="10" t="str">
        <f t="shared" si="41"/>
        <v>Under Budget</v>
      </c>
    </row>
    <row r="855" spans="1:8" x14ac:dyDescent="0.25">
      <c r="A855" s="14">
        <v>45689</v>
      </c>
      <c r="B855" s="13" t="s">
        <v>1877</v>
      </c>
      <c r="C855" s="13" t="s">
        <v>1789</v>
      </c>
      <c r="D855" s="15">
        <v>7810.76</v>
      </c>
      <c r="E855" s="15">
        <v>7158.36</v>
      </c>
      <c r="F855" s="15">
        <f t="shared" si="39"/>
        <v>-652.40000000000055</v>
      </c>
      <c r="G855" s="28">
        <f t="shared" si="40"/>
        <v>-8.3525802866814561E-2</v>
      </c>
      <c r="H855" s="13" t="str">
        <f t="shared" si="41"/>
        <v>Under Budget</v>
      </c>
    </row>
    <row r="856" spans="1:8" x14ac:dyDescent="0.25">
      <c r="A856" s="11">
        <v>45689</v>
      </c>
      <c r="B856" s="10" t="s">
        <v>1818</v>
      </c>
      <c r="C856" s="10" t="s">
        <v>1789</v>
      </c>
      <c r="D856" s="12">
        <v>3453.47</v>
      </c>
      <c r="E856" s="12">
        <v>3539.43</v>
      </c>
      <c r="F856" s="12">
        <f t="shared" si="39"/>
        <v>85.960000000000036</v>
      </c>
      <c r="G856" s="27">
        <f t="shared" si="40"/>
        <v>2.4890906827046432E-2</v>
      </c>
      <c r="H856" s="10" t="str">
        <f t="shared" si="41"/>
        <v>Within Budget</v>
      </c>
    </row>
    <row r="857" spans="1:8" x14ac:dyDescent="0.25">
      <c r="A857" s="14">
        <v>45689</v>
      </c>
      <c r="B857" s="13" t="s">
        <v>1774</v>
      </c>
      <c r="C857" s="13" t="s">
        <v>1786</v>
      </c>
      <c r="D857" s="15">
        <v>19686.68</v>
      </c>
      <c r="E857" s="15">
        <v>18693.64</v>
      </c>
      <c r="F857" s="15">
        <f t="shared" si="39"/>
        <v>-993.04000000000087</v>
      </c>
      <c r="G857" s="28">
        <f t="shared" si="40"/>
        <v>-5.0442227942954367E-2</v>
      </c>
      <c r="H857" s="13" t="str">
        <f t="shared" si="41"/>
        <v>Under Budget</v>
      </c>
    </row>
    <row r="858" spans="1:8" x14ac:dyDescent="0.25">
      <c r="A858" s="11">
        <v>45689</v>
      </c>
      <c r="B858" s="10" t="s">
        <v>1774</v>
      </c>
      <c r="C858" s="10" t="s">
        <v>1775</v>
      </c>
      <c r="D858" s="12">
        <v>126316.47</v>
      </c>
      <c r="E858" s="12">
        <v>120841.2</v>
      </c>
      <c r="F858" s="12">
        <f t="shared" si="39"/>
        <v>-5475.2700000000041</v>
      </c>
      <c r="G858" s="27">
        <f t="shared" si="40"/>
        <v>-4.3345653975289243E-2</v>
      </c>
      <c r="H858" s="10" t="str">
        <f t="shared" si="41"/>
        <v>Under Budget</v>
      </c>
    </row>
    <row r="859" spans="1:8" x14ac:dyDescent="0.25">
      <c r="A859" s="14">
        <v>45689</v>
      </c>
      <c r="B859" s="13" t="s">
        <v>1862</v>
      </c>
      <c r="C859" s="13" t="s">
        <v>1786</v>
      </c>
      <c r="D859" s="15">
        <v>7707.42</v>
      </c>
      <c r="E859" s="15">
        <v>7205.44</v>
      </c>
      <c r="F859" s="15">
        <f t="shared" si="39"/>
        <v>-501.98000000000047</v>
      </c>
      <c r="G859" s="28">
        <f t="shared" si="40"/>
        <v>-6.5129446689034781E-2</v>
      </c>
      <c r="H859" s="13" t="str">
        <f t="shared" si="41"/>
        <v>Under Budget</v>
      </c>
    </row>
    <row r="860" spans="1:8" x14ac:dyDescent="0.25">
      <c r="A860" s="11">
        <v>45689</v>
      </c>
      <c r="B860" s="10" t="s">
        <v>1799</v>
      </c>
      <c r="C860" s="10" t="s">
        <v>1775</v>
      </c>
      <c r="D860" s="12">
        <v>42441.24</v>
      </c>
      <c r="E860" s="12">
        <v>43285.11</v>
      </c>
      <c r="F860" s="12">
        <f t="shared" si="39"/>
        <v>843.87000000000262</v>
      </c>
      <c r="G860" s="27">
        <f t="shared" si="40"/>
        <v>1.9883255060408288E-2</v>
      </c>
      <c r="H860" s="10" t="str">
        <f t="shared" si="41"/>
        <v>Within Budget</v>
      </c>
    </row>
    <row r="861" spans="1:8" x14ac:dyDescent="0.25">
      <c r="A861" s="14">
        <v>45689</v>
      </c>
      <c r="B861" s="13" t="s">
        <v>1799</v>
      </c>
      <c r="C861" s="13" t="s">
        <v>1789</v>
      </c>
      <c r="D861" s="15">
        <v>3695.47</v>
      </c>
      <c r="E861" s="15">
        <v>4054.31</v>
      </c>
      <c r="F861" s="15">
        <f t="shared" si="39"/>
        <v>358.84000000000015</v>
      </c>
      <c r="G861" s="28">
        <f t="shared" si="40"/>
        <v>9.7102668943327961E-2</v>
      </c>
      <c r="H861" s="13" t="str">
        <f t="shared" si="41"/>
        <v>Slightly Over</v>
      </c>
    </row>
    <row r="862" spans="1:8" x14ac:dyDescent="0.25">
      <c r="A862" s="11">
        <v>45689</v>
      </c>
      <c r="B862" s="10" t="s">
        <v>1862</v>
      </c>
      <c r="C862" s="10" t="s">
        <v>1795</v>
      </c>
      <c r="D862" s="12">
        <v>2213.87</v>
      </c>
      <c r="E862" s="12">
        <v>2361.14</v>
      </c>
      <c r="F862" s="12">
        <f t="shared" si="39"/>
        <v>147.26999999999998</v>
      </c>
      <c r="G862" s="27">
        <f t="shared" si="40"/>
        <v>6.6521521137194145E-2</v>
      </c>
      <c r="H862" s="10" t="str">
        <f t="shared" si="41"/>
        <v>Slightly Over</v>
      </c>
    </row>
    <row r="863" spans="1:8" x14ac:dyDescent="0.25">
      <c r="A863" s="14">
        <v>45689</v>
      </c>
      <c r="B863" s="13" t="s">
        <v>1792</v>
      </c>
      <c r="C863" s="13" t="s">
        <v>1780</v>
      </c>
      <c r="D863" s="15">
        <v>8308.0300000000007</v>
      </c>
      <c r="E863" s="15">
        <v>8022.11</v>
      </c>
      <c r="F863" s="15">
        <f t="shared" si="39"/>
        <v>-285.92000000000098</v>
      </c>
      <c r="G863" s="28">
        <f t="shared" si="40"/>
        <v>-3.4414897394448619E-2</v>
      </c>
      <c r="H863" s="13" t="str">
        <f t="shared" si="41"/>
        <v>Under Budget</v>
      </c>
    </row>
    <row r="864" spans="1:8" x14ac:dyDescent="0.25">
      <c r="A864" s="11">
        <v>45689</v>
      </c>
      <c r="B864" s="10" t="s">
        <v>1862</v>
      </c>
      <c r="C864" s="10" t="s">
        <v>1783</v>
      </c>
      <c r="D864" s="12">
        <v>8489.91</v>
      </c>
      <c r="E864" s="12">
        <v>7930.63</v>
      </c>
      <c r="F864" s="12">
        <f t="shared" si="39"/>
        <v>-559.27999999999975</v>
      </c>
      <c r="G864" s="27">
        <f t="shared" si="40"/>
        <v>-6.587584556255599E-2</v>
      </c>
      <c r="H864" s="10" t="str">
        <f t="shared" si="41"/>
        <v>Under Budget</v>
      </c>
    </row>
    <row r="865" spans="1:8" x14ac:dyDescent="0.25">
      <c r="A865" s="14">
        <v>45689</v>
      </c>
      <c r="B865" s="13" t="s">
        <v>1799</v>
      </c>
      <c r="C865" s="13" t="s">
        <v>1795</v>
      </c>
      <c r="D865" s="15">
        <v>2859.1</v>
      </c>
      <c r="E865" s="15">
        <v>2681.25</v>
      </c>
      <c r="F865" s="15">
        <f t="shared" si="39"/>
        <v>-177.84999999999991</v>
      </c>
      <c r="G865" s="28">
        <f t="shared" si="40"/>
        <v>-6.2204889650589318E-2</v>
      </c>
      <c r="H865" s="13" t="str">
        <f t="shared" si="41"/>
        <v>Under Budget</v>
      </c>
    </row>
    <row r="866" spans="1:8" x14ac:dyDescent="0.25">
      <c r="A866" s="11">
        <v>45689</v>
      </c>
      <c r="B866" s="10" t="s">
        <v>1774</v>
      </c>
      <c r="C866" s="10" t="s">
        <v>1797</v>
      </c>
      <c r="D866" s="12">
        <v>7965.69</v>
      </c>
      <c r="E866" s="12">
        <v>7745.64</v>
      </c>
      <c r="F866" s="12">
        <f t="shared" si="39"/>
        <v>-220.04999999999927</v>
      </c>
      <c r="G866" s="27">
        <f t="shared" si="40"/>
        <v>-2.7624725541666735E-2</v>
      </c>
      <c r="H866" s="10" t="str">
        <f t="shared" si="41"/>
        <v>Under Budget</v>
      </c>
    </row>
    <row r="867" spans="1:8" x14ac:dyDescent="0.25">
      <c r="A867" s="14">
        <v>45689</v>
      </c>
      <c r="B867" s="13" t="s">
        <v>1862</v>
      </c>
      <c r="C867" s="13" t="s">
        <v>1775</v>
      </c>
      <c r="D867" s="15">
        <v>42868.81</v>
      </c>
      <c r="E867" s="15">
        <v>46665.17</v>
      </c>
      <c r="F867" s="15">
        <f t="shared" si="39"/>
        <v>3796.3600000000006</v>
      </c>
      <c r="G867" s="28">
        <f t="shared" si="40"/>
        <v>8.8557624995888637E-2</v>
      </c>
      <c r="H867" s="13" t="str">
        <f t="shared" si="41"/>
        <v>Slightly Over</v>
      </c>
    </row>
    <row r="868" spans="1:8" x14ac:dyDescent="0.25">
      <c r="A868" s="11">
        <v>45689</v>
      </c>
      <c r="B868" s="10" t="s">
        <v>1818</v>
      </c>
      <c r="C868" s="10" t="s">
        <v>1775</v>
      </c>
      <c r="D868" s="12">
        <v>35063.58</v>
      </c>
      <c r="E868" s="12">
        <v>38795.58</v>
      </c>
      <c r="F868" s="12">
        <f t="shared" si="39"/>
        <v>3732</v>
      </c>
      <c r="G868" s="27">
        <f t="shared" si="40"/>
        <v>0.10643522424122123</v>
      </c>
      <c r="H868" s="10" t="str">
        <f t="shared" si="41"/>
        <v>Slightly Over</v>
      </c>
    </row>
    <row r="869" spans="1:8" x14ac:dyDescent="0.25">
      <c r="A869" s="14">
        <v>45689</v>
      </c>
      <c r="B869" s="13" t="s">
        <v>1786</v>
      </c>
      <c r="C869" s="13" t="s">
        <v>1786</v>
      </c>
      <c r="D869" s="15">
        <v>12145.07</v>
      </c>
      <c r="E869" s="15">
        <v>11328.6</v>
      </c>
      <c r="F869" s="15">
        <f t="shared" si="39"/>
        <v>-816.46999999999935</v>
      </c>
      <c r="G869" s="28">
        <f t="shared" si="40"/>
        <v>-6.7226454849580883E-2</v>
      </c>
      <c r="H869" s="13" t="str">
        <f t="shared" si="41"/>
        <v>Under Budget</v>
      </c>
    </row>
    <row r="870" spans="1:8" x14ac:dyDescent="0.25">
      <c r="A870" s="11">
        <v>45689</v>
      </c>
      <c r="B870" s="10" t="s">
        <v>1786</v>
      </c>
      <c r="C870" s="10" t="s">
        <v>1795</v>
      </c>
      <c r="D870" s="12">
        <v>5278.73</v>
      </c>
      <c r="E870" s="12">
        <v>5170.8500000000004</v>
      </c>
      <c r="F870" s="12">
        <f t="shared" si="39"/>
        <v>-107.8799999999992</v>
      </c>
      <c r="G870" s="27">
        <f t="shared" si="40"/>
        <v>-2.0436733835600459E-2</v>
      </c>
      <c r="H870" s="10" t="str">
        <f t="shared" si="41"/>
        <v>Under Budget</v>
      </c>
    </row>
    <row r="871" spans="1:8" x14ac:dyDescent="0.25">
      <c r="A871" s="14">
        <v>45689</v>
      </c>
      <c r="B871" s="13" t="s">
        <v>1792</v>
      </c>
      <c r="C871" s="13" t="s">
        <v>1775</v>
      </c>
      <c r="D871" s="15">
        <v>112314.95</v>
      </c>
      <c r="E871" s="15">
        <v>104752.19</v>
      </c>
      <c r="F871" s="15">
        <f t="shared" si="39"/>
        <v>-7562.7599999999948</v>
      </c>
      <c r="G871" s="28">
        <f t="shared" si="40"/>
        <v>-6.7335292407644715E-2</v>
      </c>
      <c r="H871" s="13" t="str">
        <f t="shared" si="41"/>
        <v>Under Budget</v>
      </c>
    </row>
    <row r="872" spans="1:8" x14ac:dyDescent="0.25">
      <c r="A872" s="11">
        <v>45689</v>
      </c>
      <c r="B872" s="10" t="s">
        <v>1818</v>
      </c>
      <c r="C872" s="10" t="s">
        <v>1778</v>
      </c>
      <c r="D872" s="12">
        <v>7868.69</v>
      </c>
      <c r="E872" s="12">
        <v>8408.4</v>
      </c>
      <c r="F872" s="12">
        <f t="shared" si="39"/>
        <v>539.71</v>
      </c>
      <c r="G872" s="27">
        <f t="shared" si="40"/>
        <v>6.8589561921997194E-2</v>
      </c>
      <c r="H872" s="10" t="str">
        <f t="shared" si="41"/>
        <v>Slightly Over</v>
      </c>
    </row>
    <row r="873" spans="1:8" x14ac:dyDescent="0.25">
      <c r="A873" s="14">
        <v>45689</v>
      </c>
      <c r="B873" s="13" t="s">
        <v>1799</v>
      </c>
      <c r="C873" s="13" t="s">
        <v>1780</v>
      </c>
      <c r="D873" s="15">
        <v>5392.62</v>
      </c>
      <c r="E873" s="15">
        <v>5449.11</v>
      </c>
      <c r="F873" s="15">
        <f t="shared" si="39"/>
        <v>56.489999999999782</v>
      </c>
      <c r="G873" s="28">
        <f t="shared" si="40"/>
        <v>1.0475427528733674E-2</v>
      </c>
      <c r="H873" s="13" t="str">
        <f t="shared" si="41"/>
        <v>Within Budget</v>
      </c>
    </row>
    <row r="874" spans="1:8" x14ac:dyDescent="0.25">
      <c r="A874" s="11">
        <v>45689</v>
      </c>
      <c r="B874" s="10" t="s">
        <v>1786</v>
      </c>
      <c r="C874" s="10" t="s">
        <v>1792</v>
      </c>
      <c r="D874" s="12">
        <v>11314.77</v>
      </c>
      <c r="E874" s="12">
        <v>10265.459999999999</v>
      </c>
      <c r="F874" s="12">
        <f t="shared" si="39"/>
        <v>-1049.3100000000013</v>
      </c>
      <c r="G874" s="27">
        <f t="shared" si="40"/>
        <v>-9.2738075983868989E-2</v>
      </c>
      <c r="H874" s="10" t="str">
        <f t="shared" si="41"/>
        <v>Under Budget</v>
      </c>
    </row>
    <row r="875" spans="1:8" x14ac:dyDescent="0.25">
      <c r="A875" s="14">
        <v>45689</v>
      </c>
      <c r="B875" s="13" t="s">
        <v>1862</v>
      </c>
      <c r="C875" s="13" t="s">
        <v>1789</v>
      </c>
      <c r="D875" s="15">
        <v>4447.8599999999997</v>
      </c>
      <c r="E875" s="15">
        <v>4743.1099999999997</v>
      </c>
      <c r="F875" s="15">
        <f t="shared" si="39"/>
        <v>295.25</v>
      </c>
      <c r="G875" s="28">
        <f t="shared" si="40"/>
        <v>6.6380236788028402E-2</v>
      </c>
      <c r="H875" s="13" t="str">
        <f t="shared" si="41"/>
        <v>Slightly Over</v>
      </c>
    </row>
    <row r="876" spans="1:8" x14ac:dyDescent="0.25">
      <c r="A876" s="11">
        <v>45689</v>
      </c>
      <c r="B876" s="10" t="s">
        <v>1818</v>
      </c>
      <c r="C876" s="10" t="s">
        <v>1792</v>
      </c>
      <c r="D876" s="12">
        <v>6278.12</v>
      </c>
      <c r="E876" s="12">
        <v>6872.33</v>
      </c>
      <c r="F876" s="12">
        <f t="shared" si="39"/>
        <v>594.21</v>
      </c>
      <c r="G876" s="27">
        <f t="shared" si="40"/>
        <v>9.4647760794632801E-2</v>
      </c>
      <c r="H876" s="10" t="str">
        <f t="shared" si="41"/>
        <v>Slightly Over</v>
      </c>
    </row>
    <row r="877" spans="1:8" x14ac:dyDescent="0.25">
      <c r="A877" s="14">
        <v>45689</v>
      </c>
      <c r="B877" s="13" t="s">
        <v>1774</v>
      </c>
      <c r="C877" s="13" t="s">
        <v>1792</v>
      </c>
      <c r="D877" s="15">
        <v>19944.52</v>
      </c>
      <c r="E877" s="15">
        <v>19108.29</v>
      </c>
      <c r="F877" s="15">
        <f t="shared" si="39"/>
        <v>-836.22999999999956</v>
      </c>
      <c r="G877" s="28">
        <f t="shared" si="40"/>
        <v>-4.1927807738667042E-2</v>
      </c>
      <c r="H877" s="13" t="str">
        <f t="shared" si="41"/>
        <v>Under Budget</v>
      </c>
    </row>
    <row r="878" spans="1:8" x14ac:dyDescent="0.25">
      <c r="A878" s="11">
        <v>45689</v>
      </c>
      <c r="B878" s="10" t="s">
        <v>1799</v>
      </c>
      <c r="C878" s="10" t="s">
        <v>1778</v>
      </c>
      <c r="D878" s="12">
        <v>9469.2099999999991</v>
      </c>
      <c r="E878" s="12">
        <v>9186.2900000000009</v>
      </c>
      <c r="F878" s="12">
        <f t="shared" si="39"/>
        <v>-282.91999999999825</v>
      </c>
      <c r="G878" s="27">
        <f t="shared" si="40"/>
        <v>-2.9877888440534985E-2</v>
      </c>
      <c r="H878" s="10" t="str">
        <f t="shared" si="41"/>
        <v>Under Budget</v>
      </c>
    </row>
    <row r="879" spans="1:8" x14ac:dyDescent="0.25">
      <c r="A879" s="14">
        <v>45689</v>
      </c>
      <c r="B879" s="13" t="s">
        <v>1877</v>
      </c>
      <c r="C879" s="13" t="s">
        <v>1786</v>
      </c>
      <c r="D879" s="15">
        <v>10832.73</v>
      </c>
      <c r="E879" s="15">
        <v>9764.08</v>
      </c>
      <c r="F879" s="15">
        <f t="shared" si="39"/>
        <v>-1068.6499999999996</v>
      </c>
      <c r="G879" s="28">
        <f t="shared" si="40"/>
        <v>-9.8650109436863989E-2</v>
      </c>
      <c r="H879" s="13" t="str">
        <f t="shared" si="41"/>
        <v>Under Budget</v>
      </c>
    </row>
    <row r="880" spans="1:8" x14ac:dyDescent="0.25">
      <c r="A880" s="11">
        <v>45689</v>
      </c>
      <c r="B880" s="10" t="s">
        <v>1792</v>
      </c>
      <c r="C880" s="10" t="s">
        <v>1795</v>
      </c>
      <c r="D880" s="12">
        <v>6619.36</v>
      </c>
      <c r="E880" s="12">
        <v>6020.76</v>
      </c>
      <c r="F880" s="12">
        <f t="shared" si="39"/>
        <v>-598.59999999999945</v>
      </c>
      <c r="G880" s="27">
        <f t="shared" si="40"/>
        <v>-9.0431703367092817E-2</v>
      </c>
      <c r="H880" s="10" t="str">
        <f t="shared" si="41"/>
        <v>Under Budget</v>
      </c>
    </row>
    <row r="881" spans="1:8" x14ac:dyDescent="0.25">
      <c r="A881" s="14">
        <v>45689</v>
      </c>
      <c r="B881" s="13" t="s">
        <v>1877</v>
      </c>
      <c r="C881" s="13" t="s">
        <v>1775</v>
      </c>
      <c r="D881" s="15">
        <v>74081.570000000007</v>
      </c>
      <c r="E881" s="15">
        <v>69568.350000000006</v>
      </c>
      <c r="F881" s="15">
        <f t="shared" si="39"/>
        <v>-4513.2200000000012</v>
      </c>
      <c r="G881" s="28">
        <f t="shared" si="40"/>
        <v>-6.0922304967348836E-2</v>
      </c>
      <c r="H881" s="13" t="str">
        <f t="shared" si="41"/>
        <v>Under Budget</v>
      </c>
    </row>
    <row r="882" spans="1:8" x14ac:dyDescent="0.25">
      <c r="A882" s="11">
        <v>45689</v>
      </c>
      <c r="B882" s="10" t="s">
        <v>1799</v>
      </c>
      <c r="C882" s="10" t="s">
        <v>1797</v>
      </c>
      <c r="D882" s="12">
        <v>2787.58</v>
      </c>
      <c r="E882" s="12">
        <v>3082.87</v>
      </c>
      <c r="F882" s="12">
        <f t="shared" si="39"/>
        <v>295.28999999999996</v>
      </c>
      <c r="G882" s="27">
        <f t="shared" si="40"/>
        <v>0.10593059212650398</v>
      </c>
      <c r="H882" s="10" t="str">
        <f t="shared" si="41"/>
        <v>Slightly Over</v>
      </c>
    </row>
    <row r="883" spans="1:8" x14ac:dyDescent="0.25">
      <c r="A883" s="14">
        <v>45689</v>
      </c>
      <c r="B883" s="13" t="s">
        <v>1774</v>
      </c>
      <c r="C883" s="13" t="s">
        <v>1789</v>
      </c>
      <c r="D883" s="15">
        <v>12820.46</v>
      </c>
      <c r="E883" s="15">
        <v>12747.99</v>
      </c>
      <c r="F883" s="15">
        <f t="shared" si="39"/>
        <v>-72.469999999999345</v>
      </c>
      <c r="G883" s="28">
        <f t="shared" si="40"/>
        <v>-5.6526832890551005E-3</v>
      </c>
      <c r="H883" s="13" t="str">
        <f t="shared" si="41"/>
        <v>Under Budget</v>
      </c>
    </row>
    <row r="884" spans="1:8" x14ac:dyDescent="0.25">
      <c r="A884" s="11">
        <v>45717</v>
      </c>
      <c r="B884" s="10" t="s">
        <v>1818</v>
      </c>
      <c r="C884" s="10" t="s">
        <v>1778</v>
      </c>
      <c r="D884" s="12">
        <v>8233.48</v>
      </c>
      <c r="E884" s="12">
        <v>7504.48</v>
      </c>
      <c r="F884" s="12">
        <f t="shared" si="39"/>
        <v>-729</v>
      </c>
      <c r="G884" s="27">
        <f t="shared" si="40"/>
        <v>-8.8540932874070263E-2</v>
      </c>
      <c r="H884" s="10" t="str">
        <f t="shared" si="41"/>
        <v>Under Budget</v>
      </c>
    </row>
    <row r="885" spans="1:8" x14ac:dyDescent="0.25">
      <c r="A885" s="14">
        <v>45717</v>
      </c>
      <c r="B885" s="13" t="s">
        <v>1774</v>
      </c>
      <c r="C885" s="13" t="s">
        <v>1792</v>
      </c>
      <c r="D885" s="15">
        <v>15298.36</v>
      </c>
      <c r="E885" s="15">
        <v>15369.01</v>
      </c>
      <c r="F885" s="15">
        <f t="shared" si="39"/>
        <v>70.649999999999636</v>
      </c>
      <c r="G885" s="28">
        <f t="shared" si="40"/>
        <v>4.6181420753596877E-3</v>
      </c>
      <c r="H885" s="13" t="str">
        <f t="shared" si="41"/>
        <v>Within Budget</v>
      </c>
    </row>
    <row r="886" spans="1:8" x14ac:dyDescent="0.25">
      <c r="A886" s="11">
        <v>45717</v>
      </c>
      <c r="B886" s="10" t="s">
        <v>1877</v>
      </c>
      <c r="C886" s="10" t="s">
        <v>1778</v>
      </c>
      <c r="D886" s="12">
        <v>15161.73</v>
      </c>
      <c r="E886" s="12">
        <v>13638.67</v>
      </c>
      <c r="F886" s="12">
        <f t="shared" si="39"/>
        <v>-1523.0599999999995</v>
      </c>
      <c r="G886" s="27">
        <f t="shared" si="40"/>
        <v>-0.10045423576333304</v>
      </c>
      <c r="H886" s="10" t="str">
        <f t="shared" si="41"/>
        <v>Under Budget</v>
      </c>
    </row>
    <row r="887" spans="1:8" x14ac:dyDescent="0.25">
      <c r="A887" s="14">
        <v>45717</v>
      </c>
      <c r="B887" s="13" t="s">
        <v>1818</v>
      </c>
      <c r="C887" s="13" t="s">
        <v>1775</v>
      </c>
      <c r="D887" s="15">
        <v>39979.599999999999</v>
      </c>
      <c r="E887" s="15">
        <v>38311.25</v>
      </c>
      <c r="F887" s="15">
        <f t="shared" si="39"/>
        <v>-1668.3499999999985</v>
      </c>
      <c r="G887" s="28">
        <f t="shared" si="40"/>
        <v>-4.1730032316481369E-2</v>
      </c>
      <c r="H887" s="13" t="str">
        <f t="shared" si="41"/>
        <v>Under Budget</v>
      </c>
    </row>
    <row r="888" spans="1:8" x14ac:dyDescent="0.25">
      <c r="A888" s="11">
        <v>45717</v>
      </c>
      <c r="B888" s="10" t="s">
        <v>1774</v>
      </c>
      <c r="C888" s="10" t="s">
        <v>1789</v>
      </c>
      <c r="D888" s="12">
        <v>10344.67</v>
      </c>
      <c r="E888" s="12">
        <v>11194.55</v>
      </c>
      <c r="F888" s="12">
        <f t="shared" si="39"/>
        <v>849.8799999999992</v>
      </c>
      <c r="G888" s="27">
        <f t="shared" si="40"/>
        <v>8.2156318181246885E-2</v>
      </c>
      <c r="H888" s="10" t="str">
        <f t="shared" si="41"/>
        <v>Slightly Over</v>
      </c>
    </row>
    <row r="889" spans="1:8" x14ac:dyDescent="0.25">
      <c r="A889" s="14">
        <v>45717</v>
      </c>
      <c r="B889" s="13" t="s">
        <v>1792</v>
      </c>
      <c r="C889" s="13" t="s">
        <v>1792</v>
      </c>
      <c r="D889" s="15">
        <v>15206.79</v>
      </c>
      <c r="E889" s="15">
        <v>15025.88</v>
      </c>
      <c r="F889" s="15">
        <f t="shared" si="39"/>
        <v>-180.91000000000167</v>
      </c>
      <c r="G889" s="28">
        <f t="shared" si="40"/>
        <v>-1.1896659321263834E-2</v>
      </c>
      <c r="H889" s="13" t="str">
        <f t="shared" si="41"/>
        <v>Under Budget</v>
      </c>
    </row>
    <row r="890" spans="1:8" x14ac:dyDescent="0.25">
      <c r="A890" s="11">
        <v>45717</v>
      </c>
      <c r="B890" s="10" t="s">
        <v>1862</v>
      </c>
      <c r="C890" s="10" t="s">
        <v>1797</v>
      </c>
      <c r="D890" s="12">
        <v>3232.1</v>
      </c>
      <c r="E890" s="12">
        <v>3069.32</v>
      </c>
      <c r="F890" s="12">
        <f t="shared" si="39"/>
        <v>-162.77999999999975</v>
      </c>
      <c r="G890" s="27">
        <f t="shared" si="40"/>
        <v>-5.0363540732031725E-2</v>
      </c>
      <c r="H890" s="10" t="str">
        <f t="shared" si="41"/>
        <v>Under Budget</v>
      </c>
    </row>
    <row r="891" spans="1:8" x14ac:dyDescent="0.25">
      <c r="A891" s="14">
        <v>45717</v>
      </c>
      <c r="B891" s="13" t="s">
        <v>1799</v>
      </c>
      <c r="C891" s="13" t="s">
        <v>1789</v>
      </c>
      <c r="D891" s="15">
        <v>4770.04</v>
      </c>
      <c r="E891" s="15">
        <v>5216.6899999999996</v>
      </c>
      <c r="F891" s="15">
        <f t="shared" si="39"/>
        <v>446.64999999999964</v>
      </c>
      <c r="G891" s="28">
        <f t="shared" si="40"/>
        <v>9.3636531349841859E-2</v>
      </c>
      <c r="H891" s="13" t="str">
        <f t="shared" si="41"/>
        <v>Slightly Over</v>
      </c>
    </row>
    <row r="892" spans="1:8" x14ac:dyDescent="0.25">
      <c r="A892" s="11">
        <v>45717</v>
      </c>
      <c r="B892" s="10" t="s">
        <v>1774</v>
      </c>
      <c r="C892" s="10" t="s">
        <v>1786</v>
      </c>
      <c r="D892" s="12">
        <v>18897.84</v>
      </c>
      <c r="E892" s="12">
        <v>19366.060000000001</v>
      </c>
      <c r="F892" s="12">
        <f t="shared" si="39"/>
        <v>468.22000000000116</v>
      </c>
      <c r="G892" s="27">
        <f t="shared" si="40"/>
        <v>2.4776376559437541E-2</v>
      </c>
      <c r="H892" s="10" t="str">
        <f t="shared" si="41"/>
        <v>Within Budget</v>
      </c>
    </row>
    <row r="893" spans="1:8" x14ac:dyDescent="0.25">
      <c r="A893" s="14">
        <v>45717</v>
      </c>
      <c r="B893" s="13" t="s">
        <v>1877</v>
      </c>
      <c r="C893" s="13" t="s">
        <v>1783</v>
      </c>
      <c r="D893" s="15">
        <v>10488.23</v>
      </c>
      <c r="E893" s="15">
        <v>9915.5300000000007</v>
      </c>
      <c r="F893" s="15">
        <f t="shared" si="39"/>
        <v>-572.69999999999891</v>
      </c>
      <c r="G893" s="28">
        <f t="shared" si="40"/>
        <v>-5.4604065700313488E-2</v>
      </c>
      <c r="H893" s="13" t="str">
        <f t="shared" si="41"/>
        <v>Under Budget</v>
      </c>
    </row>
    <row r="894" spans="1:8" x14ac:dyDescent="0.25">
      <c r="A894" s="11">
        <v>45717</v>
      </c>
      <c r="B894" s="10" t="s">
        <v>1818</v>
      </c>
      <c r="C894" s="10" t="s">
        <v>1792</v>
      </c>
      <c r="D894" s="12">
        <v>5013.54</v>
      </c>
      <c r="E894" s="12">
        <v>5364.62</v>
      </c>
      <c r="F894" s="12">
        <f t="shared" si="39"/>
        <v>351.07999999999993</v>
      </c>
      <c r="G894" s="27">
        <f t="shared" si="40"/>
        <v>7.0026368593847851E-2</v>
      </c>
      <c r="H894" s="10" t="str">
        <f t="shared" si="41"/>
        <v>Slightly Over</v>
      </c>
    </row>
    <row r="895" spans="1:8" x14ac:dyDescent="0.25">
      <c r="A895" s="14">
        <v>45717</v>
      </c>
      <c r="B895" s="13" t="s">
        <v>1786</v>
      </c>
      <c r="C895" s="13" t="s">
        <v>1778</v>
      </c>
      <c r="D895" s="15">
        <v>17811.330000000002</v>
      </c>
      <c r="E895" s="15">
        <v>18237.45</v>
      </c>
      <c r="F895" s="15">
        <f t="shared" si="39"/>
        <v>426.11999999999898</v>
      </c>
      <c r="G895" s="28">
        <f t="shared" si="40"/>
        <v>2.3924097751262759E-2</v>
      </c>
      <c r="H895" s="13" t="str">
        <f t="shared" si="41"/>
        <v>Within Budget</v>
      </c>
    </row>
    <row r="896" spans="1:8" x14ac:dyDescent="0.25">
      <c r="A896" s="11">
        <v>45717</v>
      </c>
      <c r="B896" s="10" t="s">
        <v>1792</v>
      </c>
      <c r="C896" s="10" t="s">
        <v>1797</v>
      </c>
      <c r="D896" s="12">
        <v>6056.21</v>
      </c>
      <c r="E896" s="12">
        <v>5758.06</v>
      </c>
      <c r="F896" s="12">
        <f t="shared" si="39"/>
        <v>-298.14999999999964</v>
      </c>
      <c r="G896" s="27">
        <f t="shared" si="40"/>
        <v>-4.9230459313663107E-2</v>
      </c>
      <c r="H896" s="10" t="str">
        <f t="shared" si="41"/>
        <v>Under Budget</v>
      </c>
    </row>
    <row r="897" spans="1:8" x14ac:dyDescent="0.25">
      <c r="A897" s="14">
        <v>45717</v>
      </c>
      <c r="B897" s="13" t="s">
        <v>1799</v>
      </c>
      <c r="C897" s="13" t="s">
        <v>1795</v>
      </c>
      <c r="D897" s="15">
        <v>2676.06</v>
      </c>
      <c r="E897" s="15">
        <v>2499.54</v>
      </c>
      <c r="F897" s="15">
        <f t="shared" si="39"/>
        <v>-176.51999999999998</v>
      </c>
      <c r="G897" s="28">
        <f t="shared" si="40"/>
        <v>-6.5962646577430992E-2</v>
      </c>
      <c r="H897" s="13" t="str">
        <f t="shared" si="41"/>
        <v>Under Budget</v>
      </c>
    </row>
    <row r="898" spans="1:8" x14ac:dyDescent="0.25">
      <c r="A898" s="11">
        <v>45717</v>
      </c>
      <c r="B898" s="10" t="s">
        <v>1786</v>
      </c>
      <c r="C898" s="10" t="s">
        <v>1797</v>
      </c>
      <c r="D898" s="12">
        <v>4194.38</v>
      </c>
      <c r="E898" s="12">
        <v>4136.17</v>
      </c>
      <c r="F898" s="12">
        <f t="shared" ref="F898:F961" si="42">E898-D898</f>
        <v>-58.210000000000036</v>
      </c>
      <c r="G898" s="27">
        <f t="shared" ref="G898:G961" si="43">IFERROR(F898/D898,0)</f>
        <v>-1.3878094021047218E-2</v>
      </c>
      <c r="H898" s="10" t="str">
        <f t="shared" ref="H898:H961" si="44">IF(G898&lt;=0,"Under Budget",IF(G898&lt;=5%,"Within Budget",IF(G898&lt;=15%,"Slightly Over","Significantly Over")))</f>
        <v>Under Budget</v>
      </c>
    </row>
    <row r="899" spans="1:8" x14ac:dyDescent="0.25">
      <c r="A899" s="14">
        <v>45717</v>
      </c>
      <c r="B899" s="13" t="s">
        <v>1818</v>
      </c>
      <c r="C899" s="13" t="s">
        <v>1783</v>
      </c>
      <c r="D899" s="15">
        <v>6830.05</v>
      </c>
      <c r="E899" s="15">
        <v>6150.38</v>
      </c>
      <c r="F899" s="15">
        <f t="shared" si="42"/>
        <v>-679.67000000000007</v>
      </c>
      <c r="G899" s="28">
        <f t="shared" si="43"/>
        <v>-9.9511716605295716E-2</v>
      </c>
      <c r="H899" s="13" t="str">
        <f t="shared" si="44"/>
        <v>Under Budget</v>
      </c>
    </row>
    <row r="900" spans="1:8" x14ac:dyDescent="0.25">
      <c r="A900" s="11">
        <v>45717</v>
      </c>
      <c r="B900" s="10" t="s">
        <v>1799</v>
      </c>
      <c r="C900" s="10" t="s">
        <v>1783</v>
      </c>
      <c r="D900" s="12">
        <v>7667.11</v>
      </c>
      <c r="E900" s="12">
        <v>6947.53</v>
      </c>
      <c r="F900" s="12">
        <f t="shared" si="42"/>
        <v>-719.57999999999993</v>
      </c>
      <c r="G900" s="27">
        <f t="shared" si="43"/>
        <v>-9.3852833727440979E-2</v>
      </c>
      <c r="H900" s="10" t="str">
        <f t="shared" si="44"/>
        <v>Under Budget</v>
      </c>
    </row>
    <row r="901" spans="1:8" x14ac:dyDescent="0.25">
      <c r="A901" s="14">
        <v>45717</v>
      </c>
      <c r="B901" s="13" t="s">
        <v>1774</v>
      </c>
      <c r="C901" s="13" t="s">
        <v>1780</v>
      </c>
      <c r="D901" s="15">
        <v>13409.06</v>
      </c>
      <c r="E901" s="15">
        <v>13353.56</v>
      </c>
      <c r="F901" s="15">
        <f t="shared" si="42"/>
        <v>-55.5</v>
      </c>
      <c r="G901" s="28">
        <f t="shared" si="43"/>
        <v>-4.1389925915761433E-3</v>
      </c>
      <c r="H901" s="13" t="str">
        <f t="shared" si="44"/>
        <v>Under Budget</v>
      </c>
    </row>
    <row r="902" spans="1:8" x14ac:dyDescent="0.25">
      <c r="A902" s="11">
        <v>45717</v>
      </c>
      <c r="B902" s="10" t="s">
        <v>1786</v>
      </c>
      <c r="C902" s="10" t="s">
        <v>1792</v>
      </c>
      <c r="D902" s="12">
        <v>10135.219999999999</v>
      </c>
      <c r="E902" s="12">
        <v>10836.79</v>
      </c>
      <c r="F902" s="12">
        <f t="shared" si="42"/>
        <v>701.57000000000153</v>
      </c>
      <c r="G902" s="27">
        <f t="shared" si="43"/>
        <v>6.9220993722879376E-2</v>
      </c>
      <c r="H902" s="10" t="str">
        <f t="shared" si="44"/>
        <v>Slightly Over</v>
      </c>
    </row>
    <row r="903" spans="1:8" x14ac:dyDescent="0.25">
      <c r="A903" s="14">
        <v>45717</v>
      </c>
      <c r="B903" s="13" t="s">
        <v>1792</v>
      </c>
      <c r="C903" s="13" t="s">
        <v>1778</v>
      </c>
      <c r="D903" s="15">
        <v>24335.84</v>
      </c>
      <c r="E903" s="15">
        <v>22742.82</v>
      </c>
      <c r="F903" s="15">
        <f t="shared" si="42"/>
        <v>-1593.0200000000004</v>
      </c>
      <c r="G903" s="28">
        <f t="shared" si="43"/>
        <v>-6.5459832083051187E-2</v>
      </c>
      <c r="H903" s="13" t="str">
        <f t="shared" si="44"/>
        <v>Under Budget</v>
      </c>
    </row>
    <row r="904" spans="1:8" x14ac:dyDescent="0.25">
      <c r="A904" s="11">
        <v>45717</v>
      </c>
      <c r="B904" s="10" t="s">
        <v>1774</v>
      </c>
      <c r="C904" s="10" t="s">
        <v>1778</v>
      </c>
      <c r="D904" s="12">
        <v>19187.419999999998</v>
      </c>
      <c r="E904" s="12">
        <v>20123.34</v>
      </c>
      <c r="F904" s="12">
        <f t="shared" si="42"/>
        <v>935.92000000000189</v>
      </c>
      <c r="G904" s="27">
        <f t="shared" si="43"/>
        <v>4.8777792949755726E-2</v>
      </c>
      <c r="H904" s="10" t="str">
        <f t="shared" si="44"/>
        <v>Within Budget</v>
      </c>
    </row>
    <row r="905" spans="1:8" x14ac:dyDescent="0.25">
      <c r="A905" s="14">
        <v>45717</v>
      </c>
      <c r="B905" s="13" t="s">
        <v>1792</v>
      </c>
      <c r="C905" s="13" t="s">
        <v>1786</v>
      </c>
      <c r="D905" s="15">
        <v>17952.12</v>
      </c>
      <c r="E905" s="15">
        <v>16539.32</v>
      </c>
      <c r="F905" s="15">
        <f t="shared" si="42"/>
        <v>-1412.7999999999993</v>
      </c>
      <c r="G905" s="28">
        <f t="shared" si="43"/>
        <v>-7.8698226170502386E-2</v>
      </c>
      <c r="H905" s="13" t="str">
        <f t="shared" si="44"/>
        <v>Under Budget</v>
      </c>
    </row>
    <row r="906" spans="1:8" x14ac:dyDescent="0.25">
      <c r="A906" s="11">
        <v>45717</v>
      </c>
      <c r="B906" s="10" t="s">
        <v>1877</v>
      </c>
      <c r="C906" s="10" t="s">
        <v>1786</v>
      </c>
      <c r="D906" s="12">
        <v>11867.56</v>
      </c>
      <c r="E906" s="12">
        <v>11531.18</v>
      </c>
      <c r="F906" s="12">
        <f t="shared" si="42"/>
        <v>-336.3799999999992</v>
      </c>
      <c r="G906" s="27">
        <f t="shared" si="43"/>
        <v>-2.8344495414390086E-2</v>
      </c>
      <c r="H906" s="10" t="str">
        <f t="shared" si="44"/>
        <v>Under Budget</v>
      </c>
    </row>
    <row r="907" spans="1:8" x14ac:dyDescent="0.25">
      <c r="A907" s="14">
        <v>45717</v>
      </c>
      <c r="B907" s="13" t="s">
        <v>1877</v>
      </c>
      <c r="C907" s="13" t="s">
        <v>1795</v>
      </c>
      <c r="D907" s="15">
        <v>4453.9799999999996</v>
      </c>
      <c r="E907" s="15">
        <v>4514.01</v>
      </c>
      <c r="F907" s="15">
        <f t="shared" si="42"/>
        <v>60.030000000000655</v>
      </c>
      <c r="G907" s="28">
        <f t="shared" si="43"/>
        <v>1.3477833308636469E-2</v>
      </c>
      <c r="H907" s="13" t="str">
        <f t="shared" si="44"/>
        <v>Within Budget</v>
      </c>
    </row>
    <row r="908" spans="1:8" x14ac:dyDescent="0.25">
      <c r="A908" s="11">
        <v>45717</v>
      </c>
      <c r="B908" s="10" t="s">
        <v>1862</v>
      </c>
      <c r="C908" s="10" t="s">
        <v>1778</v>
      </c>
      <c r="D908" s="12">
        <v>8705.43</v>
      </c>
      <c r="E908" s="12">
        <v>8514.66</v>
      </c>
      <c r="F908" s="12">
        <f t="shared" si="42"/>
        <v>-190.77000000000044</v>
      </c>
      <c r="G908" s="27">
        <f t="shared" si="43"/>
        <v>-2.1913908905131674E-2</v>
      </c>
      <c r="H908" s="10" t="str">
        <f t="shared" si="44"/>
        <v>Under Budget</v>
      </c>
    </row>
    <row r="909" spans="1:8" x14ac:dyDescent="0.25">
      <c r="A909" s="14">
        <v>45717</v>
      </c>
      <c r="B909" s="13" t="s">
        <v>1786</v>
      </c>
      <c r="C909" s="13" t="s">
        <v>1775</v>
      </c>
      <c r="D909" s="15">
        <v>77840.47</v>
      </c>
      <c r="E909" s="15">
        <v>76522.899999999994</v>
      </c>
      <c r="F909" s="15">
        <f t="shared" si="42"/>
        <v>-1317.570000000007</v>
      </c>
      <c r="G909" s="28">
        <f t="shared" si="43"/>
        <v>-1.6926542195852708E-2</v>
      </c>
      <c r="H909" s="13" t="str">
        <f t="shared" si="44"/>
        <v>Under Budget</v>
      </c>
    </row>
    <row r="910" spans="1:8" x14ac:dyDescent="0.25">
      <c r="A910" s="11">
        <v>45717</v>
      </c>
      <c r="B910" s="10" t="s">
        <v>1862</v>
      </c>
      <c r="C910" s="10" t="s">
        <v>1780</v>
      </c>
      <c r="D910" s="12">
        <v>5634.33</v>
      </c>
      <c r="E910" s="12">
        <v>5106.1400000000003</v>
      </c>
      <c r="F910" s="12">
        <f t="shared" si="42"/>
        <v>-528.1899999999996</v>
      </c>
      <c r="G910" s="27">
        <f t="shared" si="43"/>
        <v>-9.3744952816040172E-2</v>
      </c>
      <c r="H910" s="10" t="str">
        <f t="shared" si="44"/>
        <v>Under Budget</v>
      </c>
    </row>
    <row r="911" spans="1:8" x14ac:dyDescent="0.25">
      <c r="A911" s="14">
        <v>45717</v>
      </c>
      <c r="B911" s="13" t="s">
        <v>1818</v>
      </c>
      <c r="C911" s="13" t="s">
        <v>1795</v>
      </c>
      <c r="D911" s="15">
        <v>2634.3</v>
      </c>
      <c r="E911" s="15">
        <v>2781.26</v>
      </c>
      <c r="F911" s="15">
        <f t="shared" si="42"/>
        <v>146.96000000000004</v>
      </c>
      <c r="G911" s="28">
        <f t="shared" si="43"/>
        <v>5.5787116121929936E-2</v>
      </c>
      <c r="H911" s="13" t="str">
        <f t="shared" si="44"/>
        <v>Slightly Over</v>
      </c>
    </row>
    <row r="912" spans="1:8" x14ac:dyDescent="0.25">
      <c r="A912" s="11">
        <v>45717</v>
      </c>
      <c r="B912" s="10" t="s">
        <v>1786</v>
      </c>
      <c r="C912" s="10" t="s">
        <v>1783</v>
      </c>
      <c r="D912" s="12">
        <v>13023.53</v>
      </c>
      <c r="E912" s="12">
        <v>11794.59</v>
      </c>
      <c r="F912" s="12">
        <f t="shared" si="42"/>
        <v>-1228.9400000000005</v>
      </c>
      <c r="G912" s="27">
        <f t="shared" si="43"/>
        <v>-9.4363049035092669E-2</v>
      </c>
      <c r="H912" s="10" t="str">
        <f t="shared" si="44"/>
        <v>Under Budget</v>
      </c>
    </row>
    <row r="913" spans="1:8" x14ac:dyDescent="0.25">
      <c r="A913" s="14">
        <v>45717</v>
      </c>
      <c r="B913" s="13" t="s">
        <v>1792</v>
      </c>
      <c r="C913" s="13" t="s">
        <v>1783</v>
      </c>
      <c r="D913" s="15">
        <v>16331.9</v>
      </c>
      <c r="E913" s="15">
        <v>18008.59</v>
      </c>
      <c r="F913" s="15">
        <f t="shared" si="42"/>
        <v>1676.6900000000005</v>
      </c>
      <c r="G913" s="28">
        <f t="shared" si="43"/>
        <v>0.10266349904175268</v>
      </c>
      <c r="H913" s="13" t="str">
        <f t="shared" si="44"/>
        <v>Slightly Over</v>
      </c>
    </row>
    <row r="914" spans="1:8" x14ac:dyDescent="0.25">
      <c r="A914" s="11">
        <v>45717</v>
      </c>
      <c r="B914" s="10" t="s">
        <v>1792</v>
      </c>
      <c r="C914" s="10" t="s">
        <v>1775</v>
      </c>
      <c r="D914" s="12">
        <v>93190.38</v>
      </c>
      <c r="E914" s="12">
        <v>87156.96</v>
      </c>
      <c r="F914" s="12">
        <f t="shared" si="42"/>
        <v>-6033.4199999999983</v>
      </c>
      <c r="G914" s="27">
        <f t="shared" si="43"/>
        <v>-6.4742948789349261E-2</v>
      </c>
      <c r="H914" s="10" t="str">
        <f t="shared" si="44"/>
        <v>Under Budget</v>
      </c>
    </row>
    <row r="915" spans="1:8" x14ac:dyDescent="0.25">
      <c r="A915" s="14">
        <v>45717</v>
      </c>
      <c r="B915" s="13" t="s">
        <v>1799</v>
      </c>
      <c r="C915" s="13" t="s">
        <v>1778</v>
      </c>
      <c r="D915" s="15">
        <v>11122.64</v>
      </c>
      <c r="E915" s="15">
        <v>10090.15</v>
      </c>
      <c r="F915" s="15">
        <f t="shared" si="42"/>
        <v>-1032.4899999999998</v>
      </c>
      <c r="G915" s="28">
        <f t="shared" si="43"/>
        <v>-9.282778189350728E-2</v>
      </c>
      <c r="H915" s="13" t="str">
        <f t="shared" si="44"/>
        <v>Under Budget</v>
      </c>
    </row>
    <row r="916" spans="1:8" x14ac:dyDescent="0.25">
      <c r="A916" s="11">
        <v>45717</v>
      </c>
      <c r="B916" s="10" t="s">
        <v>1877</v>
      </c>
      <c r="C916" s="10" t="s">
        <v>1775</v>
      </c>
      <c r="D916" s="12">
        <v>62339.02</v>
      </c>
      <c r="E916" s="12">
        <v>63179.85</v>
      </c>
      <c r="F916" s="12">
        <f t="shared" si="42"/>
        <v>840.83000000000175</v>
      </c>
      <c r="G916" s="27">
        <f t="shared" si="43"/>
        <v>1.3488020825479801E-2</v>
      </c>
      <c r="H916" s="10" t="str">
        <f t="shared" si="44"/>
        <v>Within Budget</v>
      </c>
    </row>
    <row r="917" spans="1:8" x14ac:dyDescent="0.25">
      <c r="A917" s="14">
        <v>45717</v>
      </c>
      <c r="B917" s="13" t="s">
        <v>1818</v>
      </c>
      <c r="C917" s="13" t="s">
        <v>1786</v>
      </c>
      <c r="D917" s="15">
        <v>6596.06</v>
      </c>
      <c r="E917" s="15">
        <v>7200.35</v>
      </c>
      <c r="F917" s="15">
        <f t="shared" si="42"/>
        <v>604.29</v>
      </c>
      <c r="G917" s="28">
        <f t="shared" si="43"/>
        <v>9.1613781560507326E-2</v>
      </c>
      <c r="H917" s="13" t="str">
        <f t="shared" si="44"/>
        <v>Slightly Over</v>
      </c>
    </row>
    <row r="918" spans="1:8" x14ac:dyDescent="0.25">
      <c r="A918" s="11">
        <v>45717</v>
      </c>
      <c r="B918" s="10" t="s">
        <v>1818</v>
      </c>
      <c r="C918" s="10" t="s">
        <v>1789</v>
      </c>
      <c r="D918" s="12">
        <v>5121.84</v>
      </c>
      <c r="E918" s="12">
        <v>4755.54</v>
      </c>
      <c r="F918" s="12">
        <f t="shared" si="42"/>
        <v>-366.30000000000018</v>
      </c>
      <c r="G918" s="27">
        <f t="shared" si="43"/>
        <v>-7.1517267232088497E-2</v>
      </c>
      <c r="H918" s="10" t="str">
        <f t="shared" si="44"/>
        <v>Under Budget</v>
      </c>
    </row>
    <row r="919" spans="1:8" x14ac:dyDescent="0.25">
      <c r="A919" s="14">
        <v>45717</v>
      </c>
      <c r="B919" s="13" t="s">
        <v>1774</v>
      </c>
      <c r="C919" s="13" t="s">
        <v>1783</v>
      </c>
      <c r="D919" s="15">
        <v>19310.71</v>
      </c>
      <c r="E919" s="15">
        <v>17790.830000000002</v>
      </c>
      <c r="F919" s="15">
        <f t="shared" si="42"/>
        <v>-1519.8799999999974</v>
      </c>
      <c r="G919" s="28">
        <f t="shared" si="43"/>
        <v>-7.8706583030867194E-2</v>
      </c>
      <c r="H919" s="13" t="str">
        <f t="shared" si="44"/>
        <v>Under Budget</v>
      </c>
    </row>
    <row r="920" spans="1:8" x14ac:dyDescent="0.25">
      <c r="A920" s="11">
        <v>45717</v>
      </c>
      <c r="B920" s="10" t="s">
        <v>1792</v>
      </c>
      <c r="C920" s="10" t="s">
        <v>1789</v>
      </c>
      <c r="D920" s="12">
        <v>10050.41</v>
      </c>
      <c r="E920" s="12">
        <v>10318.94</v>
      </c>
      <c r="F920" s="12">
        <f t="shared" si="42"/>
        <v>268.53000000000065</v>
      </c>
      <c r="G920" s="27">
        <f t="shared" si="43"/>
        <v>2.671831298424648E-2</v>
      </c>
      <c r="H920" s="10" t="str">
        <f t="shared" si="44"/>
        <v>Within Budget</v>
      </c>
    </row>
    <row r="921" spans="1:8" x14ac:dyDescent="0.25">
      <c r="A921" s="14">
        <v>45717</v>
      </c>
      <c r="B921" s="13" t="s">
        <v>1799</v>
      </c>
      <c r="C921" s="13" t="s">
        <v>1775</v>
      </c>
      <c r="D921" s="15">
        <v>49653.74</v>
      </c>
      <c r="E921" s="15">
        <v>48963.81</v>
      </c>
      <c r="F921" s="15">
        <f t="shared" si="42"/>
        <v>-689.93000000000029</v>
      </c>
      <c r="G921" s="28">
        <f t="shared" si="43"/>
        <v>-1.3894824438199425E-2</v>
      </c>
      <c r="H921" s="13" t="str">
        <f t="shared" si="44"/>
        <v>Under Budget</v>
      </c>
    </row>
    <row r="922" spans="1:8" x14ac:dyDescent="0.25">
      <c r="A922" s="11">
        <v>45717</v>
      </c>
      <c r="B922" s="10" t="s">
        <v>1786</v>
      </c>
      <c r="C922" s="10" t="s">
        <v>1795</v>
      </c>
      <c r="D922" s="12">
        <v>5906.46</v>
      </c>
      <c r="E922" s="12">
        <v>5478.67</v>
      </c>
      <c r="F922" s="12">
        <f t="shared" si="42"/>
        <v>-427.78999999999996</v>
      </c>
      <c r="G922" s="27">
        <f t="shared" si="43"/>
        <v>-7.24274777108454E-2</v>
      </c>
      <c r="H922" s="10" t="str">
        <f t="shared" si="44"/>
        <v>Under Budget</v>
      </c>
    </row>
    <row r="923" spans="1:8" x14ac:dyDescent="0.25">
      <c r="A923" s="14">
        <v>45717</v>
      </c>
      <c r="B923" s="13" t="s">
        <v>1786</v>
      </c>
      <c r="C923" s="13" t="s">
        <v>1789</v>
      </c>
      <c r="D923" s="15">
        <v>7246.35</v>
      </c>
      <c r="E923" s="15">
        <v>7690.48</v>
      </c>
      <c r="F923" s="15">
        <f t="shared" si="42"/>
        <v>444.1299999999992</v>
      </c>
      <c r="G923" s="28">
        <f t="shared" si="43"/>
        <v>6.1290166773616948E-2</v>
      </c>
      <c r="H923" s="13" t="str">
        <f t="shared" si="44"/>
        <v>Slightly Over</v>
      </c>
    </row>
    <row r="924" spans="1:8" x14ac:dyDescent="0.25">
      <c r="A924" s="11">
        <v>45717</v>
      </c>
      <c r="B924" s="10" t="s">
        <v>1877</v>
      </c>
      <c r="C924" s="10" t="s">
        <v>1797</v>
      </c>
      <c r="D924" s="12">
        <v>4510.17</v>
      </c>
      <c r="E924" s="12">
        <v>4343.49</v>
      </c>
      <c r="F924" s="12">
        <f t="shared" si="42"/>
        <v>-166.68000000000029</v>
      </c>
      <c r="G924" s="27">
        <f t="shared" si="43"/>
        <v>-3.6956478358908931E-2</v>
      </c>
      <c r="H924" s="10" t="str">
        <f t="shared" si="44"/>
        <v>Under Budget</v>
      </c>
    </row>
    <row r="925" spans="1:8" x14ac:dyDescent="0.25">
      <c r="A925" s="14">
        <v>45717</v>
      </c>
      <c r="B925" s="13" t="s">
        <v>1877</v>
      </c>
      <c r="C925" s="13" t="s">
        <v>1780</v>
      </c>
      <c r="D925" s="15">
        <v>7291.61</v>
      </c>
      <c r="E925" s="15">
        <v>7330.18</v>
      </c>
      <c r="F925" s="15">
        <f t="shared" si="42"/>
        <v>38.570000000000618</v>
      </c>
      <c r="G925" s="28">
        <f t="shared" si="43"/>
        <v>5.2896411080681251E-3</v>
      </c>
      <c r="H925" s="13" t="str">
        <f t="shared" si="44"/>
        <v>Within Budget</v>
      </c>
    </row>
    <row r="926" spans="1:8" x14ac:dyDescent="0.25">
      <c r="A926" s="11">
        <v>45717</v>
      </c>
      <c r="B926" s="10" t="s">
        <v>1818</v>
      </c>
      <c r="C926" s="10" t="s">
        <v>1797</v>
      </c>
      <c r="D926" s="12">
        <v>2511.46</v>
      </c>
      <c r="E926" s="12">
        <v>2676.4</v>
      </c>
      <c r="F926" s="12">
        <f t="shared" si="42"/>
        <v>164.94000000000005</v>
      </c>
      <c r="G926" s="27">
        <f t="shared" si="43"/>
        <v>6.5674946047319105E-2</v>
      </c>
      <c r="H926" s="10" t="str">
        <f t="shared" si="44"/>
        <v>Slightly Over</v>
      </c>
    </row>
    <row r="927" spans="1:8" x14ac:dyDescent="0.25">
      <c r="A927" s="14">
        <v>45717</v>
      </c>
      <c r="B927" s="13" t="s">
        <v>1818</v>
      </c>
      <c r="C927" s="13" t="s">
        <v>1780</v>
      </c>
      <c r="D927" s="15">
        <v>4660.1499999999996</v>
      </c>
      <c r="E927" s="15">
        <v>4303.33</v>
      </c>
      <c r="F927" s="15">
        <f t="shared" si="42"/>
        <v>-356.81999999999971</v>
      </c>
      <c r="G927" s="28">
        <f t="shared" si="43"/>
        <v>-7.6568350804158608E-2</v>
      </c>
      <c r="H927" s="13" t="str">
        <f t="shared" si="44"/>
        <v>Under Budget</v>
      </c>
    </row>
    <row r="928" spans="1:8" x14ac:dyDescent="0.25">
      <c r="A928" s="11">
        <v>45717</v>
      </c>
      <c r="B928" s="10" t="s">
        <v>1799</v>
      </c>
      <c r="C928" s="10" t="s">
        <v>1792</v>
      </c>
      <c r="D928" s="12">
        <v>7974.79</v>
      </c>
      <c r="E928" s="12">
        <v>8209.33</v>
      </c>
      <c r="F928" s="12">
        <f t="shared" si="42"/>
        <v>234.53999999999996</v>
      </c>
      <c r="G928" s="27">
        <f t="shared" si="43"/>
        <v>2.9410178826025507E-2</v>
      </c>
      <c r="H928" s="10" t="str">
        <f t="shared" si="44"/>
        <v>Within Budget</v>
      </c>
    </row>
    <row r="929" spans="1:8" x14ac:dyDescent="0.25">
      <c r="A929" s="14">
        <v>45717</v>
      </c>
      <c r="B929" s="13" t="s">
        <v>1862</v>
      </c>
      <c r="C929" s="13" t="s">
        <v>1792</v>
      </c>
      <c r="D929" s="15">
        <v>8973.73</v>
      </c>
      <c r="E929" s="15">
        <v>8116.81</v>
      </c>
      <c r="F929" s="15">
        <f t="shared" si="42"/>
        <v>-856.91999999999916</v>
      </c>
      <c r="G929" s="28">
        <f t="shared" si="43"/>
        <v>-9.5492064058089465E-2</v>
      </c>
      <c r="H929" s="13" t="str">
        <f t="shared" si="44"/>
        <v>Under Budget</v>
      </c>
    </row>
    <row r="930" spans="1:8" x14ac:dyDescent="0.25">
      <c r="A930" s="11">
        <v>45717</v>
      </c>
      <c r="B930" s="10" t="s">
        <v>1799</v>
      </c>
      <c r="C930" s="10" t="s">
        <v>1786</v>
      </c>
      <c r="D930" s="12">
        <v>9118.06</v>
      </c>
      <c r="E930" s="12">
        <v>8894.23</v>
      </c>
      <c r="F930" s="12">
        <f t="shared" si="42"/>
        <v>-223.82999999999993</v>
      </c>
      <c r="G930" s="27">
        <f t="shared" si="43"/>
        <v>-2.4547984988034729E-2</v>
      </c>
      <c r="H930" s="10" t="str">
        <f t="shared" si="44"/>
        <v>Under Budget</v>
      </c>
    </row>
    <row r="931" spans="1:8" x14ac:dyDescent="0.25">
      <c r="A931" s="14">
        <v>45717</v>
      </c>
      <c r="B931" s="13" t="s">
        <v>1786</v>
      </c>
      <c r="C931" s="13" t="s">
        <v>1780</v>
      </c>
      <c r="D931" s="15">
        <v>8740.7800000000007</v>
      </c>
      <c r="E931" s="15">
        <v>8626.9699999999993</v>
      </c>
      <c r="F931" s="15">
        <f t="shared" si="42"/>
        <v>-113.81000000000131</v>
      </c>
      <c r="G931" s="28">
        <f t="shared" si="43"/>
        <v>-1.3020577110967362E-2</v>
      </c>
      <c r="H931" s="13" t="str">
        <f t="shared" si="44"/>
        <v>Under Budget</v>
      </c>
    </row>
    <row r="932" spans="1:8" x14ac:dyDescent="0.25">
      <c r="A932" s="11">
        <v>45717</v>
      </c>
      <c r="B932" s="10" t="s">
        <v>1792</v>
      </c>
      <c r="C932" s="10" t="s">
        <v>1780</v>
      </c>
      <c r="D932" s="12">
        <v>10256.69</v>
      </c>
      <c r="E932" s="12">
        <v>10327.67</v>
      </c>
      <c r="F932" s="12">
        <f t="shared" si="42"/>
        <v>70.979999999999563</v>
      </c>
      <c r="G932" s="27">
        <f t="shared" si="43"/>
        <v>6.9203612471469408E-3</v>
      </c>
      <c r="H932" s="10" t="str">
        <f t="shared" si="44"/>
        <v>Within Budget</v>
      </c>
    </row>
    <row r="933" spans="1:8" x14ac:dyDescent="0.25">
      <c r="A933" s="14">
        <v>45717</v>
      </c>
      <c r="B933" s="13" t="s">
        <v>1774</v>
      </c>
      <c r="C933" s="13" t="s">
        <v>1795</v>
      </c>
      <c r="D933" s="15">
        <v>6879.71</v>
      </c>
      <c r="E933" s="15">
        <v>6962.23</v>
      </c>
      <c r="F933" s="15">
        <f t="shared" si="42"/>
        <v>82.519999999999527</v>
      </c>
      <c r="G933" s="28">
        <f t="shared" si="43"/>
        <v>1.1994691636711362E-2</v>
      </c>
      <c r="H933" s="13" t="str">
        <f t="shared" si="44"/>
        <v>Within Budget</v>
      </c>
    </row>
    <row r="934" spans="1:8" x14ac:dyDescent="0.25">
      <c r="A934" s="11">
        <v>45717</v>
      </c>
      <c r="B934" s="10" t="s">
        <v>1862</v>
      </c>
      <c r="C934" s="10" t="s">
        <v>1795</v>
      </c>
      <c r="D934" s="12">
        <v>3468.48</v>
      </c>
      <c r="E934" s="12">
        <v>3211.7</v>
      </c>
      <c r="F934" s="12">
        <f t="shared" si="42"/>
        <v>-256.7800000000002</v>
      </c>
      <c r="G934" s="27">
        <f t="shared" si="43"/>
        <v>-7.4032429190884819E-2</v>
      </c>
      <c r="H934" s="10" t="str">
        <f t="shared" si="44"/>
        <v>Under Budget</v>
      </c>
    </row>
    <row r="935" spans="1:8" x14ac:dyDescent="0.25">
      <c r="A935" s="14">
        <v>45717</v>
      </c>
      <c r="B935" s="13" t="s">
        <v>1786</v>
      </c>
      <c r="C935" s="13" t="s">
        <v>1786</v>
      </c>
      <c r="D935" s="15">
        <v>14954.23</v>
      </c>
      <c r="E935" s="15">
        <v>14255.02</v>
      </c>
      <c r="F935" s="15">
        <f t="shared" si="42"/>
        <v>-699.20999999999913</v>
      </c>
      <c r="G935" s="28">
        <f t="shared" si="43"/>
        <v>-4.6756670186295056E-2</v>
      </c>
      <c r="H935" s="13" t="str">
        <f t="shared" si="44"/>
        <v>Under Budget</v>
      </c>
    </row>
    <row r="936" spans="1:8" x14ac:dyDescent="0.25">
      <c r="A936" s="11">
        <v>45717</v>
      </c>
      <c r="B936" s="10" t="s">
        <v>1792</v>
      </c>
      <c r="C936" s="10" t="s">
        <v>1795</v>
      </c>
      <c r="D936" s="12">
        <v>6330.45</v>
      </c>
      <c r="E936" s="12">
        <v>5915.14</v>
      </c>
      <c r="F936" s="12">
        <f t="shared" si="42"/>
        <v>-415.30999999999949</v>
      </c>
      <c r="G936" s="27">
        <f t="shared" si="43"/>
        <v>-6.560513075689714E-2</v>
      </c>
      <c r="H936" s="10" t="str">
        <f t="shared" si="44"/>
        <v>Under Budget</v>
      </c>
    </row>
    <row r="937" spans="1:8" x14ac:dyDescent="0.25">
      <c r="A937" s="14">
        <v>45717</v>
      </c>
      <c r="B937" s="13" t="s">
        <v>1862</v>
      </c>
      <c r="C937" s="13" t="s">
        <v>1775</v>
      </c>
      <c r="D937" s="15">
        <v>44462.9</v>
      </c>
      <c r="E937" s="15">
        <v>44792.639999999999</v>
      </c>
      <c r="F937" s="15">
        <f t="shared" si="42"/>
        <v>329.73999999999796</v>
      </c>
      <c r="G937" s="28">
        <f t="shared" si="43"/>
        <v>7.4160704767344899E-3</v>
      </c>
      <c r="H937" s="13" t="str">
        <f t="shared" si="44"/>
        <v>Within Budget</v>
      </c>
    </row>
    <row r="938" spans="1:8" x14ac:dyDescent="0.25">
      <c r="A938" s="11">
        <v>45717</v>
      </c>
      <c r="B938" s="10" t="s">
        <v>1862</v>
      </c>
      <c r="C938" s="10" t="s">
        <v>1783</v>
      </c>
      <c r="D938" s="12">
        <v>6515.44</v>
      </c>
      <c r="E938" s="12">
        <v>6804.52</v>
      </c>
      <c r="F938" s="12">
        <f t="shared" si="42"/>
        <v>289.08000000000084</v>
      </c>
      <c r="G938" s="27">
        <f t="shared" si="43"/>
        <v>4.4368454010780677E-2</v>
      </c>
      <c r="H938" s="10" t="str">
        <f t="shared" si="44"/>
        <v>Within Budget</v>
      </c>
    </row>
    <row r="939" spans="1:8" x14ac:dyDescent="0.25">
      <c r="A939" s="14">
        <v>45717</v>
      </c>
      <c r="B939" s="13" t="s">
        <v>1862</v>
      </c>
      <c r="C939" s="13" t="s">
        <v>1789</v>
      </c>
      <c r="D939" s="15">
        <v>4744.1000000000004</v>
      </c>
      <c r="E939" s="15">
        <v>5161.62</v>
      </c>
      <c r="F939" s="15">
        <f t="shared" si="42"/>
        <v>417.51999999999953</v>
      </c>
      <c r="G939" s="28">
        <f t="shared" si="43"/>
        <v>8.8008262894964162E-2</v>
      </c>
      <c r="H939" s="13" t="str">
        <f t="shared" si="44"/>
        <v>Slightly Over</v>
      </c>
    </row>
    <row r="940" spans="1:8" x14ac:dyDescent="0.25">
      <c r="A940" s="11">
        <v>45717</v>
      </c>
      <c r="B940" s="10" t="s">
        <v>1862</v>
      </c>
      <c r="C940" s="10" t="s">
        <v>1786</v>
      </c>
      <c r="D940" s="12">
        <v>6542.99</v>
      </c>
      <c r="E940" s="12">
        <v>6110.01</v>
      </c>
      <c r="F940" s="12">
        <f t="shared" si="42"/>
        <v>-432.97999999999956</v>
      </c>
      <c r="G940" s="27">
        <f t="shared" si="43"/>
        <v>-6.6174638811919262E-2</v>
      </c>
      <c r="H940" s="10" t="str">
        <f t="shared" si="44"/>
        <v>Under Budget</v>
      </c>
    </row>
    <row r="941" spans="1:8" x14ac:dyDescent="0.25">
      <c r="A941" s="14">
        <v>45717</v>
      </c>
      <c r="B941" s="13" t="s">
        <v>1774</v>
      </c>
      <c r="C941" s="13" t="s">
        <v>1775</v>
      </c>
      <c r="D941" s="15">
        <v>97158.99</v>
      </c>
      <c r="E941" s="15">
        <v>98005.68</v>
      </c>
      <c r="F941" s="15">
        <f t="shared" si="42"/>
        <v>846.68999999998778</v>
      </c>
      <c r="G941" s="28">
        <f t="shared" si="43"/>
        <v>8.714479226266017E-3</v>
      </c>
      <c r="H941" s="13" t="str">
        <f t="shared" si="44"/>
        <v>Within Budget</v>
      </c>
    </row>
    <row r="942" spans="1:8" x14ac:dyDescent="0.25">
      <c r="A942" s="11">
        <v>45717</v>
      </c>
      <c r="B942" s="10" t="s">
        <v>1774</v>
      </c>
      <c r="C942" s="10" t="s">
        <v>1797</v>
      </c>
      <c r="D942" s="12">
        <v>8131.68</v>
      </c>
      <c r="E942" s="12">
        <v>8035.03</v>
      </c>
      <c r="F942" s="12">
        <f t="shared" si="42"/>
        <v>-96.650000000000546</v>
      </c>
      <c r="G942" s="27">
        <f t="shared" si="43"/>
        <v>-1.18856128130965E-2</v>
      </c>
      <c r="H942" s="10" t="str">
        <f t="shared" si="44"/>
        <v>Under Budget</v>
      </c>
    </row>
    <row r="943" spans="1:8" x14ac:dyDescent="0.25">
      <c r="A943" s="14">
        <v>45717</v>
      </c>
      <c r="B943" s="13" t="s">
        <v>1877</v>
      </c>
      <c r="C943" s="13" t="s">
        <v>1792</v>
      </c>
      <c r="D943" s="15">
        <v>9957.65</v>
      </c>
      <c r="E943" s="15">
        <v>9925.34</v>
      </c>
      <c r="F943" s="15">
        <f t="shared" si="42"/>
        <v>-32.309999999999491</v>
      </c>
      <c r="G943" s="28">
        <f t="shared" si="43"/>
        <v>-3.2447414801684625E-3</v>
      </c>
      <c r="H943" s="13" t="str">
        <f t="shared" si="44"/>
        <v>Under Budget</v>
      </c>
    </row>
    <row r="944" spans="1:8" x14ac:dyDescent="0.25">
      <c r="A944" s="11">
        <v>45717</v>
      </c>
      <c r="B944" s="10" t="s">
        <v>1877</v>
      </c>
      <c r="C944" s="10" t="s">
        <v>1789</v>
      </c>
      <c r="D944" s="12">
        <v>5808.02</v>
      </c>
      <c r="E944" s="12">
        <v>5838.08</v>
      </c>
      <c r="F944" s="12">
        <f t="shared" si="42"/>
        <v>30.059999999999491</v>
      </c>
      <c r="G944" s="27">
        <f t="shared" si="43"/>
        <v>5.1756020123896766E-3</v>
      </c>
      <c r="H944" s="10" t="str">
        <f t="shared" si="44"/>
        <v>Within Budget</v>
      </c>
    </row>
    <row r="945" spans="1:8" x14ac:dyDescent="0.25">
      <c r="A945" s="14">
        <v>45717</v>
      </c>
      <c r="B945" s="13" t="s">
        <v>1799</v>
      </c>
      <c r="C945" s="13" t="s">
        <v>1797</v>
      </c>
      <c r="D945" s="15">
        <v>3573.52</v>
      </c>
      <c r="E945" s="15">
        <v>3401.87</v>
      </c>
      <c r="F945" s="15">
        <f t="shared" si="42"/>
        <v>-171.65000000000009</v>
      </c>
      <c r="G945" s="28">
        <f t="shared" si="43"/>
        <v>-4.8033871364928725E-2</v>
      </c>
      <c r="H945" s="13" t="str">
        <f t="shared" si="44"/>
        <v>Under Budget</v>
      </c>
    </row>
    <row r="946" spans="1:8" x14ac:dyDescent="0.25">
      <c r="A946" s="11">
        <v>45717</v>
      </c>
      <c r="B946" s="10" t="s">
        <v>1799</v>
      </c>
      <c r="C946" s="10" t="s">
        <v>1780</v>
      </c>
      <c r="D946" s="12">
        <v>5842.58</v>
      </c>
      <c r="E946" s="12">
        <v>5650.89</v>
      </c>
      <c r="F946" s="12">
        <f t="shared" si="42"/>
        <v>-191.6899999999996</v>
      </c>
      <c r="G946" s="27">
        <f t="shared" si="43"/>
        <v>-3.2809135690054669E-2</v>
      </c>
      <c r="H946" s="10" t="str">
        <f t="shared" si="44"/>
        <v>Under Budget</v>
      </c>
    </row>
    <row r="947" spans="1:8" x14ac:dyDescent="0.25">
      <c r="A947" s="14">
        <v>45748</v>
      </c>
      <c r="B947" s="13" t="s">
        <v>1862</v>
      </c>
      <c r="C947" s="13" t="s">
        <v>1786</v>
      </c>
      <c r="D947" s="15">
        <v>7498.87</v>
      </c>
      <c r="E947" s="15">
        <v>6732.38</v>
      </c>
      <c r="F947" s="15">
        <f t="shared" si="42"/>
        <v>-766.48999999999978</v>
      </c>
      <c r="G947" s="28">
        <f t="shared" si="43"/>
        <v>-0.10221406691941583</v>
      </c>
      <c r="H947" s="13" t="str">
        <f t="shared" si="44"/>
        <v>Under Budget</v>
      </c>
    </row>
    <row r="948" spans="1:8" x14ac:dyDescent="0.25">
      <c r="A948" s="11">
        <v>45748</v>
      </c>
      <c r="B948" s="10" t="s">
        <v>1774</v>
      </c>
      <c r="C948" s="10" t="s">
        <v>1783</v>
      </c>
      <c r="D948" s="12">
        <v>16540.669999999998</v>
      </c>
      <c r="E948" s="12">
        <v>17774.990000000002</v>
      </c>
      <c r="F948" s="12">
        <f t="shared" si="42"/>
        <v>1234.3200000000033</v>
      </c>
      <c r="G948" s="27">
        <f t="shared" si="43"/>
        <v>7.4623337506884754E-2</v>
      </c>
      <c r="H948" s="10" t="str">
        <f t="shared" si="44"/>
        <v>Slightly Over</v>
      </c>
    </row>
    <row r="949" spans="1:8" x14ac:dyDescent="0.25">
      <c r="A949" s="14">
        <v>45748</v>
      </c>
      <c r="B949" s="13" t="s">
        <v>1774</v>
      </c>
      <c r="C949" s="13" t="s">
        <v>1789</v>
      </c>
      <c r="D949" s="15">
        <v>12067.73</v>
      </c>
      <c r="E949" s="15">
        <v>11759.92</v>
      </c>
      <c r="F949" s="15">
        <f t="shared" si="42"/>
        <v>-307.80999999999949</v>
      </c>
      <c r="G949" s="28">
        <f t="shared" si="43"/>
        <v>-2.5506868317405139E-2</v>
      </c>
      <c r="H949" s="13" t="str">
        <f t="shared" si="44"/>
        <v>Under Budget</v>
      </c>
    </row>
    <row r="950" spans="1:8" x14ac:dyDescent="0.25">
      <c r="A950" s="11">
        <v>45748</v>
      </c>
      <c r="B950" s="10" t="s">
        <v>1786</v>
      </c>
      <c r="C950" s="10" t="s">
        <v>1797</v>
      </c>
      <c r="D950" s="12">
        <v>4564.71</v>
      </c>
      <c r="E950" s="12">
        <v>4994.6899999999996</v>
      </c>
      <c r="F950" s="12">
        <f t="shared" si="42"/>
        <v>429.97999999999956</v>
      </c>
      <c r="G950" s="27">
        <f t="shared" si="43"/>
        <v>9.4196564513408201E-2</v>
      </c>
      <c r="H950" s="10" t="str">
        <f t="shared" si="44"/>
        <v>Slightly Over</v>
      </c>
    </row>
    <row r="951" spans="1:8" x14ac:dyDescent="0.25">
      <c r="A951" s="14">
        <v>45748</v>
      </c>
      <c r="B951" s="13" t="s">
        <v>1862</v>
      </c>
      <c r="C951" s="13" t="s">
        <v>1775</v>
      </c>
      <c r="D951" s="15">
        <v>49058.78</v>
      </c>
      <c r="E951" s="15">
        <v>45519.96</v>
      </c>
      <c r="F951" s="15">
        <f t="shared" si="42"/>
        <v>-3538.8199999999997</v>
      </c>
      <c r="G951" s="28">
        <f t="shared" si="43"/>
        <v>-7.2134284627542705E-2</v>
      </c>
      <c r="H951" s="13" t="str">
        <f t="shared" si="44"/>
        <v>Under Budget</v>
      </c>
    </row>
    <row r="952" spans="1:8" x14ac:dyDescent="0.25">
      <c r="A952" s="11">
        <v>45748</v>
      </c>
      <c r="B952" s="10" t="s">
        <v>1774</v>
      </c>
      <c r="C952" s="10" t="s">
        <v>1797</v>
      </c>
      <c r="D952" s="12">
        <v>6236.69</v>
      </c>
      <c r="E952" s="12">
        <v>6022.36</v>
      </c>
      <c r="F952" s="12">
        <f t="shared" si="42"/>
        <v>-214.32999999999993</v>
      </c>
      <c r="G952" s="27">
        <f t="shared" si="43"/>
        <v>-3.436598580336684E-2</v>
      </c>
      <c r="H952" s="10" t="str">
        <f t="shared" si="44"/>
        <v>Under Budget</v>
      </c>
    </row>
    <row r="953" spans="1:8" x14ac:dyDescent="0.25">
      <c r="A953" s="14">
        <v>45748</v>
      </c>
      <c r="B953" s="13" t="s">
        <v>1792</v>
      </c>
      <c r="C953" s="13" t="s">
        <v>1775</v>
      </c>
      <c r="D953" s="15">
        <v>101409.03</v>
      </c>
      <c r="E953" s="15">
        <v>101996.19</v>
      </c>
      <c r="F953" s="15">
        <f t="shared" si="42"/>
        <v>587.16000000000349</v>
      </c>
      <c r="G953" s="28">
        <f t="shared" si="43"/>
        <v>5.7900169245283534E-3</v>
      </c>
      <c r="H953" s="13" t="str">
        <f t="shared" si="44"/>
        <v>Within Budget</v>
      </c>
    </row>
    <row r="954" spans="1:8" x14ac:dyDescent="0.25">
      <c r="A954" s="11">
        <v>45748</v>
      </c>
      <c r="B954" s="10" t="s">
        <v>1799</v>
      </c>
      <c r="C954" s="10" t="s">
        <v>1792</v>
      </c>
      <c r="D954" s="12">
        <v>7335.51</v>
      </c>
      <c r="E954" s="12">
        <v>6814.27</v>
      </c>
      <c r="F954" s="12">
        <f t="shared" si="42"/>
        <v>-521.23999999999978</v>
      </c>
      <c r="G954" s="27">
        <f t="shared" si="43"/>
        <v>-7.1057090781690674E-2</v>
      </c>
      <c r="H954" s="10" t="str">
        <f t="shared" si="44"/>
        <v>Under Budget</v>
      </c>
    </row>
    <row r="955" spans="1:8" x14ac:dyDescent="0.25">
      <c r="A955" s="14">
        <v>45748</v>
      </c>
      <c r="B955" s="13" t="s">
        <v>1786</v>
      </c>
      <c r="C955" s="13" t="s">
        <v>1775</v>
      </c>
      <c r="D955" s="15">
        <v>90298.43</v>
      </c>
      <c r="E955" s="15">
        <v>90289.35</v>
      </c>
      <c r="F955" s="15">
        <f t="shared" si="42"/>
        <v>-9.0799999999871943</v>
      </c>
      <c r="G955" s="28">
        <f t="shared" si="43"/>
        <v>-1.0055545816230908E-4</v>
      </c>
      <c r="H955" s="13" t="str">
        <f t="shared" si="44"/>
        <v>Under Budget</v>
      </c>
    </row>
    <row r="956" spans="1:8" x14ac:dyDescent="0.25">
      <c r="A956" s="11">
        <v>45748</v>
      </c>
      <c r="B956" s="10" t="s">
        <v>1877</v>
      </c>
      <c r="C956" s="10" t="s">
        <v>1780</v>
      </c>
      <c r="D956" s="12">
        <v>7859.82</v>
      </c>
      <c r="E956" s="12">
        <v>8272.51</v>
      </c>
      <c r="F956" s="12">
        <f t="shared" si="42"/>
        <v>412.69000000000051</v>
      </c>
      <c r="G956" s="27">
        <f t="shared" si="43"/>
        <v>5.250629149268056E-2</v>
      </c>
      <c r="H956" s="10" t="str">
        <f t="shared" si="44"/>
        <v>Slightly Over</v>
      </c>
    </row>
    <row r="957" spans="1:8" x14ac:dyDescent="0.25">
      <c r="A957" s="14">
        <v>45748</v>
      </c>
      <c r="B957" s="13" t="s">
        <v>1862</v>
      </c>
      <c r="C957" s="13" t="s">
        <v>1792</v>
      </c>
      <c r="D957" s="15">
        <v>6575.55</v>
      </c>
      <c r="E957" s="15">
        <v>6549.68</v>
      </c>
      <c r="F957" s="15">
        <f t="shared" si="42"/>
        <v>-25.869999999999891</v>
      </c>
      <c r="G957" s="28">
        <f t="shared" si="43"/>
        <v>-3.9342716578841148E-3</v>
      </c>
      <c r="H957" s="13" t="str">
        <f t="shared" si="44"/>
        <v>Under Budget</v>
      </c>
    </row>
    <row r="958" spans="1:8" x14ac:dyDescent="0.25">
      <c r="A958" s="11">
        <v>45748</v>
      </c>
      <c r="B958" s="10" t="s">
        <v>1786</v>
      </c>
      <c r="C958" s="10" t="s">
        <v>1792</v>
      </c>
      <c r="D958" s="12">
        <v>13578.87</v>
      </c>
      <c r="E958" s="12">
        <v>14830.85</v>
      </c>
      <c r="F958" s="12">
        <f t="shared" si="42"/>
        <v>1251.9799999999996</v>
      </c>
      <c r="G958" s="27">
        <f t="shared" si="43"/>
        <v>9.220060284839604E-2</v>
      </c>
      <c r="H958" s="10" t="str">
        <f t="shared" si="44"/>
        <v>Slightly Over</v>
      </c>
    </row>
    <row r="959" spans="1:8" x14ac:dyDescent="0.25">
      <c r="A959" s="14">
        <v>45748</v>
      </c>
      <c r="B959" s="13" t="s">
        <v>1786</v>
      </c>
      <c r="C959" s="13" t="s">
        <v>1783</v>
      </c>
      <c r="D959" s="15">
        <v>14984.11</v>
      </c>
      <c r="E959" s="15">
        <v>13652.58</v>
      </c>
      <c r="F959" s="15">
        <f t="shared" si="42"/>
        <v>-1331.5300000000007</v>
      </c>
      <c r="G959" s="28">
        <f t="shared" si="43"/>
        <v>-8.8862801994913324E-2</v>
      </c>
      <c r="H959" s="13" t="str">
        <f t="shared" si="44"/>
        <v>Under Budget</v>
      </c>
    </row>
    <row r="960" spans="1:8" x14ac:dyDescent="0.25">
      <c r="A960" s="11">
        <v>45748</v>
      </c>
      <c r="B960" s="10" t="s">
        <v>1799</v>
      </c>
      <c r="C960" s="10" t="s">
        <v>1775</v>
      </c>
      <c r="D960" s="12">
        <v>58575.68</v>
      </c>
      <c r="E960" s="12">
        <v>55217.84</v>
      </c>
      <c r="F960" s="12">
        <f t="shared" si="42"/>
        <v>-3357.8400000000038</v>
      </c>
      <c r="G960" s="27">
        <f t="shared" si="43"/>
        <v>-5.7324814667111056E-2</v>
      </c>
      <c r="H960" s="10" t="str">
        <f t="shared" si="44"/>
        <v>Under Budget</v>
      </c>
    </row>
    <row r="961" spans="1:8" x14ac:dyDescent="0.25">
      <c r="A961" s="14">
        <v>45748</v>
      </c>
      <c r="B961" s="13" t="s">
        <v>1799</v>
      </c>
      <c r="C961" s="13" t="s">
        <v>1789</v>
      </c>
      <c r="D961" s="15">
        <v>4543.88</v>
      </c>
      <c r="E961" s="15">
        <v>4257.4799999999996</v>
      </c>
      <c r="F961" s="15">
        <f t="shared" si="42"/>
        <v>-286.40000000000055</v>
      </c>
      <c r="G961" s="28">
        <f t="shared" si="43"/>
        <v>-6.3029833534336416E-2</v>
      </c>
      <c r="H961" s="13" t="str">
        <f t="shared" si="44"/>
        <v>Under Budget</v>
      </c>
    </row>
    <row r="962" spans="1:8" x14ac:dyDescent="0.25">
      <c r="A962" s="11">
        <v>45748</v>
      </c>
      <c r="B962" s="10" t="s">
        <v>1774</v>
      </c>
      <c r="C962" s="10" t="s">
        <v>1786</v>
      </c>
      <c r="D962" s="12">
        <v>23302.94</v>
      </c>
      <c r="E962" s="12">
        <v>21332.1</v>
      </c>
      <c r="F962" s="12">
        <f t="shared" ref="F962:F1025" si="45">E962-D962</f>
        <v>-1970.8400000000001</v>
      </c>
      <c r="G962" s="27">
        <f t="shared" ref="G962:G1025" si="46">IFERROR(F962/D962,0)</f>
        <v>-8.457473606334652E-2</v>
      </c>
      <c r="H962" s="10" t="str">
        <f t="shared" ref="H962:H1025" si="47">IF(G962&lt;=0,"Under Budget",IF(G962&lt;=5%,"Within Budget",IF(G962&lt;=15%,"Slightly Over","Significantly Over")))</f>
        <v>Under Budget</v>
      </c>
    </row>
    <row r="963" spans="1:8" x14ac:dyDescent="0.25">
      <c r="A963" s="14">
        <v>45748</v>
      </c>
      <c r="B963" s="13" t="s">
        <v>1774</v>
      </c>
      <c r="C963" s="13" t="s">
        <v>1792</v>
      </c>
      <c r="D963" s="15">
        <v>20689.88</v>
      </c>
      <c r="E963" s="15">
        <v>19261.7</v>
      </c>
      <c r="F963" s="15">
        <f t="shared" si="45"/>
        <v>-1428.1800000000003</v>
      </c>
      <c r="G963" s="28">
        <f t="shared" si="46"/>
        <v>-6.9027949896277807E-2</v>
      </c>
      <c r="H963" s="13" t="str">
        <f t="shared" si="47"/>
        <v>Under Budget</v>
      </c>
    </row>
    <row r="964" spans="1:8" x14ac:dyDescent="0.25">
      <c r="A964" s="11">
        <v>45748</v>
      </c>
      <c r="B964" s="10" t="s">
        <v>1792</v>
      </c>
      <c r="C964" s="10" t="s">
        <v>1783</v>
      </c>
      <c r="D964" s="12">
        <v>13719.2</v>
      </c>
      <c r="E964" s="12">
        <v>13788.04</v>
      </c>
      <c r="F964" s="12">
        <f t="shared" si="45"/>
        <v>68.840000000000146</v>
      </c>
      <c r="G964" s="27">
        <f t="shared" si="46"/>
        <v>5.017785293603136E-3</v>
      </c>
      <c r="H964" s="10" t="str">
        <f t="shared" si="47"/>
        <v>Within Budget</v>
      </c>
    </row>
    <row r="965" spans="1:8" x14ac:dyDescent="0.25">
      <c r="A965" s="14">
        <v>45748</v>
      </c>
      <c r="B965" s="13" t="s">
        <v>1774</v>
      </c>
      <c r="C965" s="13" t="s">
        <v>1778</v>
      </c>
      <c r="D965" s="15">
        <v>19760.53</v>
      </c>
      <c r="E965" s="15">
        <v>21337.360000000001</v>
      </c>
      <c r="F965" s="15">
        <f t="shared" si="45"/>
        <v>1576.8300000000017</v>
      </c>
      <c r="G965" s="28">
        <f t="shared" si="46"/>
        <v>7.9796948766050396E-2</v>
      </c>
      <c r="H965" s="13" t="str">
        <f t="shared" si="47"/>
        <v>Slightly Over</v>
      </c>
    </row>
    <row r="966" spans="1:8" x14ac:dyDescent="0.25">
      <c r="A966" s="11">
        <v>45748</v>
      </c>
      <c r="B966" s="10" t="s">
        <v>1774</v>
      </c>
      <c r="C966" s="10" t="s">
        <v>1780</v>
      </c>
      <c r="D966" s="12">
        <v>11346.3</v>
      </c>
      <c r="E966" s="12">
        <v>11552.63</v>
      </c>
      <c r="F966" s="12">
        <f t="shared" si="45"/>
        <v>206.32999999999993</v>
      </c>
      <c r="G966" s="27">
        <f t="shared" si="46"/>
        <v>1.818478270449397E-2</v>
      </c>
      <c r="H966" s="10" t="str">
        <f t="shared" si="47"/>
        <v>Within Budget</v>
      </c>
    </row>
    <row r="967" spans="1:8" x14ac:dyDescent="0.25">
      <c r="A967" s="14">
        <v>45748</v>
      </c>
      <c r="B967" s="13" t="s">
        <v>1792</v>
      </c>
      <c r="C967" s="13" t="s">
        <v>1778</v>
      </c>
      <c r="D967" s="15">
        <v>22159.83</v>
      </c>
      <c r="E967" s="15">
        <v>20045.099999999999</v>
      </c>
      <c r="F967" s="15">
        <f t="shared" si="45"/>
        <v>-2114.7300000000032</v>
      </c>
      <c r="G967" s="28">
        <f t="shared" si="46"/>
        <v>-9.5430786247006544E-2</v>
      </c>
      <c r="H967" s="13" t="str">
        <f t="shared" si="47"/>
        <v>Under Budget</v>
      </c>
    </row>
    <row r="968" spans="1:8" x14ac:dyDescent="0.25">
      <c r="A968" s="11">
        <v>45748</v>
      </c>
      <c r="B968" s="10" t="s">
        <v>1792</v>
      </c>
      <c r="C968" s="10" t="s">
        <v>1795</v>
      </c>
      <c r="D968" s="12">
        <v>5583.28</v>
      </c>
      <c r="E968" s="12">
        <v>5035.43</v>
      </c>
      <c r="F968" s="12">
        <f t="shared" si="45"/>
        <v>-547.84999999999945</v>
      </c>
      <c r="G968" s="27">
        <f t="shared" si="46"/>
        <v>-9.812332535713765E-2</v>
      </c>
      <c r="H968" s="10" t="str">
        <f t="shared" si="47"/>
        <v>Under Budget</v>
      </c>
    </row>
    <row r="969" spans="1:8" x14ac:dyDescent="0.25">
      <c r="A969" s="14">
        <v>45748</v>
      </c>
      <c r="B969" s="13" t="s">
        <v>1877</v>
      </c>
      <c r="C969" s="13" t="s">
        <v>1795</v>
      </c>
      <c r="D969" s="15">
        <v>4600.01</v>
      </c>
      <c r="E969" s="15">
        <v>4303.37</v>
      </c>
      <c r="F969" s="15">
        <f t="shared" si="45"/>
        <v>-296.64000000000033</v>
      </c>
      <c r="G969" s="28">
        <f t="shared" si="46"/>
        <v>-6.448681633300804E-2</v>
      </c>
      <c r="H969" s="13" t="str">
        <f t="shared" si="47"/>
        <v>Under Budget</v>
      </c>
    </row>
    <row r="970" spans="1:8" x14ac:dyDescent="0.25">
      <c r="A970" s="11">
        <v>45748</v>
      </c>
      <c r="B970" s="10" t="s">
        <v>1862</v>
      </c>
      <c r="C970" s="10" t="s">
        <v>1780</v>
      </c>
      <c r="D970" s="12">
        <v>4098.0200000000004</v>
      </c>
      <c r="E970" s="12">
        <v>4336.6499999999996</v>
      </c>
      <c r="F970" s="12">
        <f t="shared" si="45"/>
        <v>238.6299999999992</v>
      </c>
      <c r="G970" s="27">
        <f t="shared" si="46"/>
        <v>5.8230560124157317E-2</v>
      </c>
      <c r="H970" s="10" t="str">
        <f t="shared" si="47"/>
        <v>Slightly Over</v>
      </c>
    </row>
    <row r="971" spans="1:8" x14ac:dyDescent="0.25">
      <c r="A971" s="14">
        <v>45748</v>
      </c>
      <c r="B971" s="13" t="s">
        <v>1818</v>
      </c>
      <c r="C971" s="13" t="s">
        <v>1783</v>
      </c>
      <c r="D971" s="15">
        <v>6465.53</v>
      </c>
      <c r="E971" s="15">
        <v>6857.95</v>
      </c>
      <c r="F971" s="15">
        <f t="shared" si="45"/>
        <v>392.42000000000007</v>
      </c>
      <c r="G971" s="28">
        <f t="shared" si="46"/>
        <v>6.0694173563497517E-2</v>
      </c>
      <c r="H971" s="13" t="str">
        <f t="shared" si="47"/>
        <v>Slightly Over</v>
      </c>
    </row>
    <row r="972" spans="1:8" x14ac:dyDescent="0.25">
      <c r="A972" s="11">
        <v>45748</v>
      </c>
      <c r="B972" s="10" t="s">
        <v>1792</v>
      </c>
      <c r="C972" s="10" t="s">
        <v>1792</v>
      </c>
      <c r="D972" s="12">
        <v>19638.52</v>
      </c>
      <c r="E972" s="12">
        <v>17958.509999999998</v>
      </c>
      <c r="F972" s="12">
        <f t="shared" si="45"/>
        <v>-1680.010000000002</v>
      </c>
      <c r="G972" s="27">
        <f t="shared" si="46"/>
        <v>-8.55466705230334E-2</v>
      </c>
      <c r="H972" s="10" t="str">
        <f t="shared" si="47"/>
        <v>Under Budget</v>
      </c>
    </row>
    <row r="973" spans="1:8" x14ac:dyDescent="0.25">
      <c r="A973" s="14">
        <v>45748</v>
      </c>
      <c r="B973" s="13" t="s">
        <v>1877</v>
      </c>
      <c r="C973" s="13" t="s">
        <v>1775</v>
      </c>
      <c r="D973" s="15">
        <v>68286.97</v>
      </c>
      <c r="E973" s="15">
        <v>73330.53</v>
      </c>
      <c r="F973" s="15">
        <f t="shared" si="45"/>
        <v>5043.5599999999977</v>
      </c>
      <c r="G973" s="28">
        <f t="shared" si="46"/>
        <v>7.3858307082595664E-2</v>
      </c>
      <c r="H973" s="13" t="str">
        <f t="shared" si="47"/>
        <v>Slightly Over</v>
      </c>
    </row>
    <row r="974" spans="1:8" x14ac:dyDescent="0.25">
      <c r="A974" s="11">
        <v>45748</v>
      </c>
      <c r="B974" s="10" t="s">
        <v>1818</v>
      </c>
      <c r="C974" s="10" t="s">
        <v>1797</v>
      </c>
      <c r="D974" s="12">
        <v>2366.6</v>
      </c>
      <c r="E974" s="12">
        <v>2301</v>
      </c>
      <c r="F974" s="12">
        <f t="shared" si="45"/>
        <v>-65.599999999999909</v>
      </c>
      <c r="G974" s="27">
        <f t="shared" si="46"/>
        <v>-2.7719090678610628E-2</v>
      </c>
      <c r="H974" s="10" t="str">
        <f t="shared" si="47"/>
        <v>Under Budget</v>
      </c>
    </row>
    <row r="975" spans="1:8" x14ac:dyDescent="0.25">
      <c r="A975" s="14">
        <v>45748</v>
      </c>
      <c r="B975" s="13" t="s">
        <v>1799</v>
      </c>
      <c r="C975" s="13" t="s">
        <v>1780</v>
      </c>
      <c r="D975" s="15">
        <v>5115.8100000000004</v>
      </c>
      <c r="E975" s="15">
        <v>5203.1400000000003</v>
      </c>
      <c r="F975" s="15">
        <f t="shared" si="45"/>
        <v>87.329999999999927</v>
      </c>
      <c r="G975" s="28">
        <f t="shared" si="46"/>
        <v>1.7070610519155309E-2</v>
      </c>
      <c r="H975" s="13" t="str">
        <f t="shared" si="47"/>
        <v>Within Budget</v>
      </c>
    </row>
    <row r="976" spans="1:8" x14ac:dyDescent="0.25">
      <c r="A976" s="11">
        <v>45748</v>
      </c>
      <c r="B976" s="10" t="s">
        <v>1786</v>
      </c>
      <c r="C976" s="10" t="s">
        <v>1778</v>
      </c>
      <c r="D976" s="12">
        <v>14945.86</v>
      </c>
      <c r="E976" s="12">
        <v>15464.82</v>
      </c>
      <c r="F976" s="12">
        <f t="shared" si="45"/>
        <v>518.95999999999913</v>
      </c>
      <c r="G976" s="27">
        <f t="shared" si="46"/>
        <v>3.4722658983825559E-2</v>
      </c>
      <c r="H976" s="10" t="str">
        <f t="shared" si="47"/>
        <v>Within Budget</v>
      </c>
    </row>
    <row r="977" spans="1:8" x14ac:dyDescent="0.25">
      <c r="A977" s="14">
        <v>45748</v>
      </c>
      <c r="B977" s="13" t="s">
        <v>1774</v>
      </c>
      <c r="C977" s="13" t="s">
        <v>1775</v>
      </c>
      <c r="D977" s="15">
        <v>140629.85999999999</v>
      </c>
      <c r="E977" s="15">
        <v>134057.79999999999</v>
      </c>
      <c r="F977" s="15">
        <f t="shared" si="45"/>
        <v>-6572.0599999999977</v>
      </c>
      <c r="G977" s="28">
        <f t="shared" si="46"/>
        <v>-4.6733033795240915E-2</v>
      </c>
      <c r="H977" s="13" t="str">
        <f t="shared" si="47"/>
        <v>Under Budget</v>
      </c>
    </row>
    <row r="978" spans="1:8" x14ac:dyDescent="0.25">
      <c r="A978" s="11">
        <v>45748</v>
      </c>
      <c r="B978" s="10" t="s">
        <v>1774</v>
      </c>
      <c r="C978" s="10" t="s">
        <v>1795</v>
      </c>
      <c r="D978" s="12">
        <v>8996.24</v>
      </c>
      <c r="E978" s="12">
        <v>8096.66</v>
      </c>
      <c r="F978" s="12">
        <f t="shared" si="45"/>
        <v>-899.57999999999993</v>
      </c>
      <c r="G978" s="27">
        <f t="shared" si="46"/>
        <v>-9.9995109067788315E-2</v>
      </c>
      <c r="H978" s="10" t="str">
        <f t="shared" si="47"/>
        <v>Under Budget</v>
      </c>
    </row>
    <row r="979" spans="1:8" x14ac:dyDescent="0.25">
      <c r="A979" s="14">
        <v>45748</v>
      </c>
      <c r="B979" s="13" t="s">
        <v>1786</v>
      </c>
      <c r="C979" s="13" t="s">
        <v>1789</v>
      </c>
      <c r="D979" s="15">
        <v>9472.09</v>
      </c>
      <c r="E979" s="15">
        <v>8843.5</v>
      </c>
      <c r="F979" s="15">
        <f t="shared" si="45"/>
        <v>-628.59000000000015</v>
      </c>
      <c r="G979" s="28">
        <f t="shared" si="46"/>
        <v>-6.636233397275576E-2</v>
      </c>
      <c r="H979" s="13" t="str">
        <f t="shared" si="47"/>
        <v>Under Budget</v>
      </c>
    </row>
    <row r="980" spans="1:8" x14ac:dyDescent="0.25">
      <c r="A980" s="11">
        <v>45748</v>
      </c>
      <c r="B980" s="10" t="s">
        <v>1818</v>
      </c>
      <c r="C980" s="10" t="s">
        <v>1775</v>
      </c>
      <c r="D980" s="12">
        <v>39172.86</v>
      </c>
      <c r="E980" s="12">
        <v>38902.26</v>
      </c>
      <c r="F980" s="12">
        <f t="shared" si="45"/>
        <v>-270.59999999999854</v>
      </c>
      <c r="G980" s="27">
        <f t="shared" si="46"/>
        <v>-6.9078438490321756E-3</v>
      </c>
      <c r="H980" s="10" t="str">
        <f t="shared" si="47"/>
        <v>Under Budget</v>
      </c>
    </row>
    <row r="981" spans="1:8" x14ac:dyDescent="0.25">
      <c r="A981" s="14">
        <v>45748</v>
      </c>
      <c r="B981" s="13" t="s">
        <v>1818</v>
      </c>
      <c r="C981" s="13" t="s">
        <v>1786</v>
      </c>
      <c r="D981" s="15">
        <v>7288.56</v>
      </c>
      <c r="E981" s="15">
        <v>7310.81</v>
      </c>
      <c r="F981" s="15">
        <f t="shared" si="45"/>
        <v>22.25</v>
      </c>
      <c r="G981" s="28">
        <f t="shared" si="46"/>
        <v>3.0527292085130667E-3</v>
      </c>
      <c r="H981" s="13" t="str">
        <f t="shared" si="47"/>
        <v>Within Budget</v>
      </c>
    </row>
    <row r="982" spans="1:8" x14ac:dyDescent="0.25">
      <c r="A982" s="11">
        <v>45748</v>
      </c>
      <c r="B982" s="10" t="s">
        <v>1799</v>
      </c>
      <c r="C982" s="10" t="s">
        <v>1795</v>
      </c>
      <c r="D982" s="12">
        <v>2892.91</v>
      </c>
      <c r="E982" s="12">
        <v>2630.67</v>
      </c>
      <c r="F982" s="12">
        <f t="shared" si="45"/>
        <v>-262.23999999999978</v>
      </c>
      <c r="G982" s="27">
        <f t="shared" si="46"/>
        <v>-9.0649207891016242E-2</v>
      </c>
      <c r="H982" s="10" t="str">
        <f t="shared" si="47"/>
        <v>Under Budget</v>
      </c>
    </row>
    <row r="983" spans="1:8" x14ac:dyDescent="0.25">
      <c r="A983" s="14">
        <v>45748</v>
      </c>
      <c r="B983" s="13" t="s">
        <v>1792</v>
      </c>
      <c r="C983" s="13" t="s">
        <v>1789</v>
      </c>
      <c r="D983" s="15">
        <v>10259.040000000001</v>
      </c>
      <c r="E983" s="15">
        <v>9987.5400000000009</v>
      </c>
      <c r="F983" s="15">
        <f t="shared" si="45"/>
        <v>-271.5</v>
      </c>
      <c r="G983" s="28">
        <f t="shared" si="46"/>
        <v>-2.6464464511299302E-2</v>
      </c>
      <c r="H983" s="13" t="str">
        <f t="shared" si="47"/>
        <v>Under Budget</v>
      </c>
    </row>
    <row r="984" spans="1:8" x14ac:dyDescent="0.25">
      <c r="A984" s="11">
        <v>45748</v>
      </c>
      <c r="B984" s="10" t="s">
        <v>1792</v>
      </c>
      <c r="C984" s="10" t="s">
        <v>1780</v>
      </c>
      <c r="D984" s="12">
        <v>11244.95</v>
      </c>
      <c r="E984" s="12">
        <v>11141.77</v>
      </c>
      <c r="F984" s="12">
        <f t="shared" si="45"/>
        <v>-103.18000000000029</v>
      </c>
      <c r="G984" s="27">
        <f t="shared" si="46"/>
        <v>-9.1756744138480201E-3</v>
      </c>
      <c r="H984" s="10" t="str">
        <f t="shared" si="47"/>
        <v>Under Budget</v>
      </c>
    </row>
    <row r="985" spans="1:8" x14ac:dyDescent="0.25">
      <c r="A985" s="14">
        <v>45748</v>
      </c>
      <c r="B985" s="13" t="s">
        <v>1877</v>
      </c>
      <c r="C985" s="13" t="s">
        <v>1789</v>
      </c>
      <c r="D985" s="15">
        <v>6974.77</v>
      </c>
      <c r="E985" s="15">
        <v>6641.22</v>
      </c>
      <c r="F985" s="15">
        <f t="shared" si="45"/>
        <v>-333.55000000000018</v>
      </c>
      <c r="G985" s="28">
        <f t="shared" si="46"/>
        <v>-4.7822365468682147E-2</v>
      </c>
      <c r="H985" s="13" t="str">
        <f t="shared" si="47"/>
        <v>Under Budget</v>
      </c>
    </row>
    <row r="986" spans="1:8" x14ac:dyDescent="0.25">
      <c r="A986" s="11">
        <v>45748</v>
      </c>
      <c r="B986" s="10" t="s">
        <v>1862</v>
      </c>
      <c r="C986" s="10" t="s">
        <v>1783</v>
      </c>
      <c r="D986" s="12">
        <v>7538.12</v>
      </c>
      <c r="E986" s="12">
        <v>7916.75</v>
      </c>
      <c r="F986" s="12">
        <f t="shared" si="45"/>
        <v>378.63000000000011</v>
      </c>
      <c r="G986" s="27">
        <f t="shared" si="46"/>
        <v>5.0228704239253304E-2</v>
      </c>
      <c r="H986" s="10" t="str">
        <f t="shared" si="47"/>
        <v>Slightly Over</v>
      </c>
    </row>
    <row r="987" spans="1:8" x14ac:dyDescent="0.25">
      <c r="A987" s="14">
        <v>45748</v>
      </c>
      <c r="B987" s="13" t="s">
        <v>1799</v>
      </c>
      <c r="C987" s="13" t="s">
        <v>1786</v>
      </c>
      <c r="D987" s="15">
        <v>7862.52</v>
      </c>
      <c r="E987" s="15">
        <v>8602.11</v>
      </c>
      <c r="F987" s="15">
        <f t="shared" si="45"/>
        <v>739.59000000000015</v>
      </c>
      <c r="G987" s="28">
        <f t="shared" si="46"/>
        <v>9.4065261519207591E-2</v>
      </c>
      <c r="H987" s="13" t="str">
        <f t="shared" si="47"/>
        <v>Slightly Over</v>
      </c>
    </row>
    <row r="988" spans="1:8" x14ac:dyDescent="0.25">
      <c r="A988" s="11">
        <v>45748</v>
      </c>
      <c r="B988" s="10" t="s">
        <v>1786</v>
      </c>
      <c r="C988" s="10" t="s">
        <v>1795</v>
      </c>
      <c r="D988" s="12">
        <v>4311.79</v>
      </c>
      <c r="E988" s="12">
        <v>3962.59</v>
      </c>
      <c r="F988" s="12">
        <f t="shared" si="45"/>
        <v>-349.19999999999982</v>
      </c>
      <c r="G988" s="27">
        <f t="shared" si="46"/>
        <v>-8.0987246595961265E-2</v>
      </c>
      <c r="H988" s="10" t="str">
        <f t="shared" si="47"/>
        <v>Under Budget</v>
      </c>
    </row>
    <row r="989" spans="1:8" x14ac:dyDescent="0.25">
      <c r="A989" s="14">
        <v>45748</v>
      </c>
      <c r="B989" s="13" t="s">
        <v>1877</v>
      </c>
      <c r="C989" s="13" t="s">
        <v>1783</v>
      </c>
      <c r="D989" s="15">
        <v>10530.85</v>
      </c>
      <c r="E989" s="15">
        <v>10188.540000000001</v>
      </c>
      <c r="F989" s="15">
        <f t="shared" si="45"/>
        <v>-342.30999999999949</v>
      </c>
      <c r="G989" s="28">
        <f t="shared" si="46"/>
        <v>-3.2505448278154138E-2</v>
      </c>
      <c r="H989" s="13" t="str">
        <f t="shared" si="47"/>
        <v>Under Budget</v>
      </c>
    </row>
    <row r="990" spans="1:8" x14ac:dyDescent="0.25">
      <c r="A990" s="11">
        <v>45748</v>
      </c>
      <c r="B990" s="10" t="s">
        <v>1818</v>
      </c>
      <c r="C990" s="10" t="s">
        <v>1780</v>
      </c>
      <c r="D990" s="12">
        <v>4200.8</v>
      </c>
      <c r="E990" s="12">
        <v>4486.7299999999996</v>
      </c>
      <c r="F990" s="12">
        <f t="shared" si="45"/>
        <v>285.92999999999938</v>
      </c>
      <c r="G990" s="27">
        <f t="shared" si="46"/>
        <v>6.8065606551132973E-2</v>
      </c>
      <c r="H990" s="10" t="str">
        <f t="shared" si="47"/>
        <v>Slightly Over</v>
      </c>
    </row>
    <row r="991" spans="1:8" x14ac:dyDescent="0.25">
      <c r="A991" s="14">
        <v>45748</v>
      </c>
      <c r="B991" s="13" t="s">
        <v>1799</v>
      </c>
      <c r="C991" s="13" t="s">
        <v>1778</v>
      </c>
      <c r="D991" s="15">
        <v>10415.39</v>
      </c>
      <c r="E991" s="15">
        <v>10786.77</v>
      </c>
      <c r="F991" s="15">
        <f t="shared" si="45"/>
        <v>371.38000000000102</v>
      </c>
      <c r="G991" s="28">
        <f t="shared" si="46"/>
        <v>3.5656850103548791E-2</v>
      </c>
      <c r="H991" s="13" t="str">
        <f t="shared" si="47"/>
        <v>Within Budget</v>
      </c>
    </row>
    <row r="992" spans="1:8" x14ac:dyDescent="0.25">
      <c r="A992" s="11">
        <v>45748</v>
      </c>
      <c r="B992" s="10" t="s">
        <v>1786</v>
      </c>
      <c r="C992" s="10" t="s">
        <v>1786</v>
      </c>
      <c r="D992" s="12">
        <v>14919.68</v>
      </c>
      <c r="E992" s="12">
        <v>13347.54</v>
      </c>
      <c r="F992" s="12">
        <f t="shared" si="45"/>
        <v>-1572.1399999999994</v>
      </c>
      <c r="G992" s="27">
        <f t="shared" si="46"/>
        <v>-0.10537357369595055</v>
      </c>
      <c r="H992" s="10" t="str">
        <f t="shared" si="47"/>
        <v>Under Budget</v>
      </c>
    </row>
    <row r="993" spans="1:8" x14ac:dyDescent="0.25">
      <c r="A993" s="14">
        <v>45748</v>
      </c>
      <c r="B993" s="13" t="s">
        <v>1862</v>
      </c>
      <c r="C993" s="13" t="s">
        <v>1778</v>
      </c>
      <c r="D993" s="15">
        <v>9847.17</v>
      </c>
      <c r="E993" s="15">
        <v>9472.32</v>
      </c>
      <c r="F993" s="15">
        <f t="shared" si="45"/>
        <v>-374.85000000000036</v>
      </c>
      <c r="G993" s="28">
        <f t="shared" si="46"/>
        <v>-3.8066774514911431E-2</v>
      </c>
      <c r="H993" s="13" t="str">
        <f t="shared" si="47"/>
        <v>Under Budget</v>
      </c>
    </row>
    <row r="994" spans="1:8" x14ac:dyDescent="0.25">
      <c r="A994" s="11">
        <v>45748</v>
      </c>
      <c r="B994" s="10" t="s">
        <v>1818</v>
      </c>
      <c r="C994" s="10" t="s">
        <v>1789</v>
      </c>
      <c r="D994" s="12">
        <v>4740.37</v>
      </c>
      <c r="E994" s="12">
        <v>4558.29</v>
      </c>
      <c r="F994" s="12">
        <f t="shared" si="45"/>
        <v>-182.07999999999993</v>
      </c>
      <c r="G994" s="27">
        <f t="shared" si="46"/>
        <v>-3.8410503821431644E-2</v>
      </c>
      <c r="H994" s="10" t="str">
        <f t="shared" si="47"/>
        <v>Under Budget</v>
      </c>
    </row>
    <row r="995" spans="1:8" x14ac:dyDescent="0.25">
      <c r="A995" s="14">
        <v>45748</v>
      </c>
      <c r="B995" s="13" t="s">
        <v>1792</v>
      </c>
      <c r="C995" s="13" t="s">
        <v>1797</v>
      </c>
      <c r="D995" s="15">
        <v>5753.96</v>
      </c>
      <c r="E995" s="15">
        <v>6282.47</v>
      </c>
      <c r="F995" s="15">
        <f t="shared" si="45"/>
        <v>528.51000000000022</v>
      </c>
      <c r="G995" s="28">
        <f t="shared" si="46"/>
        <v>9.1851524862877079E-2</v>
      </c>
      <c r="H995" s="13" t="str">
        <f t="shared" si="47"/>
        <v>Slightly Over</v>
      </c>
    </row>
    <row r="996" spans="1:8" x14ac:dyDescent="0.25">
      <c r="A996" s="11">
        <v>45748</v>
      </c>
      <c r="B996" s="10" t="s">
        <v>1877</v>
      </c>
      <c r="C996" s="10" t="s">
        <v>1786</v>
      </c>
      <c r="D996" s="12">
        <v>12015.37</v>
      </c>
      <c r="E996" s="12">
        <v>10793.75</v>
      </c>
      <c r="F996" s="12">
        <f t="shared" si="45"/>
        <v>-1221.6200000000008</v>
      </c>
      <c r="G996" s="27">
        <f t="shared" si="46"/>
        <v>-0.10167144249407224</v>
      </c>
      <c r="H996" s="10" t="str">
        <f t="shared" si="47"/>
        <v>Under Budget</v>
      </c>
    </row>
    <row r="997" spans="1:8" x14ac:dyDescent="0.25">
      <c r="A997" s="14">
        <v>45748</v>
      </c>
      <c r="B997" s="13" t="s">
        <v>1877</v>
      </c>
      <c r="C997" s="13" t="s">
        <v>1792</v>
      </c>
      <c r="D997" s="15">
        <v>12141.71</v>
      </c>
      <c r="E997" s="15">
        <v>11074.04</v>
      </c>
      <c r="F997" s="15">
        <f t="shared" si="45"/>
        <v>-1067.6699999999983</v>
      </c>
      <c r="G997" s="28">
        <f t="shared" si="46"/>
        <v>-8.7934071889379531E-2</v>
      </c>
      <c r="H997" s="13" t="str">
        <f t="shared" si="47"/>
        <v>Under Budget</v>
      </c>
    </row>
    <row r="998" spans="1:8" x14ac:dyDescent="0.25">
      <c r="A998" s="11">
        <v>45748</v>
      </c>
      <c r="B998" s="10" t="s">
        <v>1862</v>
      </c>
      <c r="C998" s="10" t="s">
        <v>1795</v>
      </c>
      <c r="D998" s="12">
        <v>3009.7</v>
      </c>
      <c r="E998" s="12">
        <v>2949.21</v>
      </c>
      <c r="F998" s="12">
        <f t="shared" si="45"/>
        <v>-60.489999999999782</v>
      </c>
      <c r="G998" s="27">
        <f t="shared" si="46"/>
        <v>-2.0098348672625107E-2</v>
      </c>
      <c r="H998" s="10" t="str">
        <f t="shared" si="47"/>
        <v>Under Budget</v>
      </c>
    </row>
    <row r="999" spans="1:8" x14ac:dyDescent="0.25">
      <c r="A999" s="14">
        <v>45748</v>
      </c>
      <c r="B999" s="13" t="s">
        <v>1862</v>
      </c>
      <c r="C999" s="13" t="s">
        <v>1789</v>
      </c>
      <c r="D999" s="15">
        <v>4135.16</v>
      </c>
      <c r="E999" s="15">
        <v>4271.57</v>
      </c>
      <c r="F999" s="15">
        <f t="shared" si="45"/>
        <v>136.40999999999985</v>
      </c>
      <c r="G999" s="28">
        <f t="shared" si="46"/>
        <v>3.2987840857427488E-2</v>
      </c>
      <c r="H999" s="13" t="str">
        <f t="shared" si="47"/>
        <v>Within Budget</v>
      </c>
    </row>
    <row r="1000" spans="1:8" x14ac:dyDescent="0.25">
      <c r="A1000" s="11">
        <v>45748</v>
      </c>
      <c r="B1000" s="10" t="s">
        <v>1818</v>
      </c>
      <c r="C1000" s="10" t="s">
        <v>1792</v>
      </c>
      <c r="D1000" s="12">
        <v>7398.34</v>
      </c>
      <c r="E1000" s="12">
        <v>7022.15</v>
      </c>
      <c r="F1000" s="12">
        <f t="shared" si="45"/>
        <v>-376.19000000000051</v>
      </c>
      <c r="G1000" s="27">
        <f t="shared" si="46"/>
        <v>-5.084789290570594E-2</v>
      </c>
      <c r="H1000" s="10" t="str">
        <f t="shared" si="47"/>
        <v>Under Budget</v>
      </c>
    </row>
    <row r="1001" spans="1:8" x14ac:dyDescent="0.25">
      <c r="A1001" s="14">
        <v>45748</v>
      </c>
      <c r="B1001" s="13" t="s">
        <v>1877</v>
      </c>
      <c r="C1001" s="13" t="s">
        <v>1778</v>
      </c>
      <c r="D1001" s="15">
        <v>13696.2</v>
      </c>
      <c r="E1001" s="15">
        <v>12642.54</v>
      </c>
      <c r="F1001" s="15">
        <f t="shared" si="45"/>
        <v>-1053.6599999999999</v>
      </c>
      <c r="G1001" s="28">
        <f t="shared" si="46"/>
        <v>-7.6930827528803591E-2</v>
      </c>
      <c r="H1001" s="13" t="str">
        <f t="shared" si="47"/>
        <v>Under Budget</v>
      </c>
    </row>
    <row r="1002" spans="1:8" x14ac:dyDescent="0.25">
      <c r="A1002" s="11">
        <v>45748</v>
      </c>
      <c r="B1002" s="10" t="s">
        <v>1818</v>
      </c>
      <c r="C1002" s="10" t="s">
        <v>1778</v>
      </c>
      <c r="D1002" s="12">
        <v>9635.52</v>
      </c>
      <c r="E1002" s="12">
        <v>8980.43</v>
      </c>
      <c r="F1002" s="12">
        <f t="shared" si="45"/>
        <v>-655.09000000000015</v>
      </c>
      <c r="G1002" s="27">
        <f t="shared" si="46"/>
        <v>-6.7986989804390441E-2</v>
      </c>
      <c r="H1002" s="10" t="str">
        <f t="shared" si="47"/>
        <v>Under Budget</v>
      </c>
    </row>
    <row r="1003" spans="1:8" x14ac:dyDescent="0.25">
      <c r="A1003" s="14">
        <v>45748</v>
      </c>
      <c r="B1003" s="13" t="s">
        <v>1818</v>
      </c>
      <c r="C1003" s="13" t="s">
        <v>1795</v>
      </c>
      <c r="D1003" s="15">
        <v>2560.7800000000002</v>
      </c>
      <c r="E1003" s="15">
        <v>2296.77</v>
      </c>
      <c r="F1003" s="15">
        <f t="shared" si="45"/>
        <v>-264.01000000000022</v>
      </c>
      <c r="G1003" s="28">
        <f t="shared" si="46"/>
        <v>-0.10309749373237849</v>
      </c>
      <c r="H1003" s="13" t="str">
        <f t="shared" si="47"/>
        <v>Under Budget</v>
      </c>
    </row>
    <row r="1004" spans="1:8" x14ac:dyDescent="0.25">
      <c r="A1004" s="11">
        <v>45748</v>
      </c>
      <c r="B1004" s="10" t="s">
        <v>1786</v>
      </c>
      <c r="C1004" s="10" t="s">
        <v>1780</v>
      </c>
      <c r="D1004" s="12">
        <v>9483.5400000000009</v>
      </c>
      <c r="E1004" s="12">
        <v>9117.84</v>
      </c>
      <c r="F1004" s="12">
        <f t="shared" si="45"/>
        <v>-365.70000000000073</v>
      </c>
      <c r="G1004" s="27">
        <f t="shared" si="46"/>
        <v>-3.8561549801023741E-2</v>
      </c>
      <c r="H1004" s="10" t="str">
        <f t="shared" si="47"/>
        <v>Under Budget</v>
      </c>
    </row>
    <row r="1005" spans="1:8" x14ac:dyDescent="0.25">
      <c r="A1005" s="14">
        <v>45748</v>
      </c>
      <c r="B1005" s="13" t="s">
        <v>1877</v>
      </c>
      <c r="C1005" s="13" t="s">
        <v>1797</v>
      </c>
      <c r="D1005" s="15">
        <v>3422.45</v>
      </c>
      <c r="E1005" s="15">
        <v>3525.86</v>
      </c>
      <c r="F1005" s="15">
        <f t="shared" si="45"/>
        <v>103.41000000000031</v>
      </c>
      <c r="G1005" s="28">
        <f t="shared" si="46"/>
        <v>3.0215196715803097E-2</v>
      </c>
      <c r="H1005" s="13" t="str">
        <f t="shared" si="47"/>
        <v>Within Budget</v>
      </c>
    </row>
    <row r="1006" spans="1:8" x14ac:dyDescent="0.25">
      <c r="A1006" s="11">
        <v>45748</v>
      </c>
      <c r="B1006" s="10" t="s">
        <v>1862</v>
      </c>
      <c r="C1006" s="10" t="s">
        <v>1797</v>
      </c>
      <c r="D1006" s="12">
        <v>2439.33</v>
      </c>
      <c r="E1006" s="12">
        <v>2416.27</v>
      </c>
      <c r="F1006" s="12">
        <f t="shared" si="45"/>
        <v>-23.059999999999945</v>
      </c>
      <c r="G1006" s="27">
        <f t="shared" si="46"/>
        <v>-9.4534154870394519E-3</v>
      </c>
      <c r="H1006" s="10" t="str">
        <f t="shared" si="47"/>
        <v>Under Budget</v>
      </c>
    </row>
    <row r="1007" spans="1:8" x14ac:dyDescent="0.25">
      <c r="A1007" s="14">
        <v>45748</v>
      </c>
      <c r="B1007" s="13" t="s">
        <v>1792</v>
      </c>
      <c r="C1007" s="13" t="s">
        <v>1786</v>
      </c>
      <c r="D1007" s="15">
        <v>17015.61</v>
      </c>
      <c r="E1007" s="15">
        <v>15761.18</v>
      </c>
      <c r="F1007" s="15">
        <f t="shared" si="45"/>
        <v>-1254.4300000000003</v>
      </c>
      <c r="G1007" s="28">
        <f t="shared" si="46"/>
        <v>-7.3722305577055433E-2</v>
      </c>
      <c r="H1007" s="13" t="str">
        <f t="shared" si="47"/>
        <v>Under Budget</v>
      </c>
    </row>
    <row r="1008" spans="1:8" x14ac:dyDescent="0.25">
      <c r="A1008" s="11">
        <v>45748</v>
      </c>
      <c r="B1008" s="10" t="s">
        <v>1799</v>
      </c>
      <c r="C1008" s="10" t="s">
        <v>1797</v>
      </c>
      <c r="D1008" s="12">
        <v>2655.92</v>
      </c>
      <c r="E1008" s="12">
        <v>2771.27</v>
      </c>
      <c r="F1008" s="12">
        <f t="shared" si="45"/>
        <v>115.34999999999991</v>
      </c>
      <c r="G1008" s="27">
        <f t="shared" si="46"/>
        <v>4.3431278050543656E-2</v>
      </c>
      <c r="H1008" s="10" t="str">
        <f t="shared" si="47"/>
        <v>Within Budget</v>
      </c>
    </row>
    <row r="1009" spans="1:8" x14ac:dyDescent="0.25">
      <c r="A1009" s="14">
        <v>45748</v>
      </c>
      <c r="B1009" s="13" t="s">
        <v>1799</v>
      </c>
      <c r="C1009" s="13" t="s">
        <v>1783</v>
      </c>
      <c r="D1009" s="15">
        <v>6709.4</v>
      </c>
      <c r="E1009" s="15">
        <v>7055.77</v>
      </c>
      <c r="F1009" s="15">
        <f t="shared" si="45"/>
        <v>346.3700000000008</v>
      </c>
      <c r="G1009" s="28">
        <f t="shared" si="46"/>
        <v>5.1624586401168633E-2</v>
      </c>
      <c r="H1009" s="13" t="str">
        <f t="shared" si="47"/>
        <v>Slightly Over</v>
      </c>
    </row>
    <row r="1010" spans="1:8" x14ac:dyDescent="0.25">
      <c r="A1010" s="11">
        <v>45778</v>
      </c>
      <c r="B1010" s="10" t="s">
        <v>1862</v>
      </c>
      <c r="C1010" s="10" t="s">
        <v>1783</v>
      </c>
      <c r="D1010" s="12">
        <v>7048.63</v>
      </c>
      <c r="E1010" s="12">
        <v>6653.02</v>
      </c>
      <c r="F1010" s="12">
        <f t="shared" si="45"/>
        <v>-395.60999999999967</v>
      </c>
      <c r="G1010" s="27">
        <f t="shared" si="46"/>
        <v>-5.6125800332830586E-2</v>
      </c>
      <c r="H1010" s="10" t="str">
        <f t="shared" si="47"/>
        <v>Under Budget</v>
      </c>
    </row>
    <row r="1011" spans="1:8" x14ac:dyDescent="0.25">
      <c r="A1011" s="14">
        <v>45778</v>
      </c>
      <c r="B1011" s="13" t="s">
        <v>1774</v>
      </c>
      <c r="C1011" s="13" t="s">
        <v>1795</v>
      </c>
      <c r="D1011" s="15">
        <v>6732.66</v>
      </c>
      <c r="E1011" s="15">
        <v>6747.68</v>
      </c>
      <c r="F1011" s="15">
        <f t="shared" si="45"/>
        <v>15.020000000000437</v>
      </c>
      <c r="G1011" s="28">
        <f t="shared" si="46"/>
        <v>2.2309161609230877E-3</v>
      </c>
      <c r="H1011" s="13" t="str">
        <f t="shared" si="47"/>
        <v>Within Budget</v>
      </c>
    </row>
    <row r="1012" spans="1:8" x14ac:dyDescent="0.25">
      <c r="A1012" s="11">
        <v>45778</v>
      </c>
      <c r="B1012" s="10" t="s">
        <v>1818</v>
      </c>
      <c r="C1012" s="10" t="s">
        <v>1775</v>
      </c>
      <c r="D1012" s="12">
        <v>37135.15</v>
      </c>
      <c r="E1012" s="12">
        <v>34395.69</v>
      </c>
      <c r="F1012" s="12">
        <f t="shared" si="45"/>
        <v>-2739.4599999999991</v>
      </c>
      <c r="G1012" s="27">
        <f t="shared" si="46"/>
        <v>-7.3769999582605675E-2</v>
      </c>
      <c r="H1012" s="10" t="str">
        <f t="shared" si="47"/>
        <v>Under Budget</v>
      </c>
    </row>
    <row r="1013" spans="1:8" x14ac:dyDescent="0.25">
      <c r="A1013" s="14">
        <v>45778</v>
      </c>
      <c r="B1013" s="13" t="s">
        <v>1774</v>
      </c>
      <c r="C1013" s="13" t="s">
        <v>1775</v>
      </c>
      <c r="D1013" s="15">
        <v>91283.64</v>
      </c>
      <c r="E1013" s="15">
        <v>97984.78</v>
      </c>
      <c r="F1013" s="15">
        <f t="shared" si="45"/>
        <v>6701.1399999999994</v>
      </c>
      <c r="G1013" s="28">
        <f t="shared" si="46"/>
        <v>7.3410087503083782E-2</v>
      </c>
      <c r="H1013" s="13" t="str">
        <f t="shared" si="47"/>
        <v>Slightly Over</v>
      </c>
    </row>
    <row r="1014" spans="1:8" x14ac:dyDescent="0.25">
      <c r="A1014" s="11">
        <v>45778</v>
      </c>
      <c r="B1014" s="10" t="s">
        <v>1862</v>
      </c>
      <c r="C1014" s="10" t="s">
        <v>1789</v>
      </c>
      <c r="D1014" s="12">
        <v>4923.42</v>
      </c>
      <c r="E1014" s="12">
        <v>5055.6099999999997</v>
      </c>
      <c r="F1014" s="12">
        <f t="shared" si="45"/>
        <v>132.1899999999996</v>
      </c>
      <c r="G1014" s="27">
        <f t="shared" si="46"/>
        <v>2.6849222694793375E-2</v>
      </c>
      <c r="H1014" s="10" t="str">
        <f t="shared" si="47"/>
        <v>Within Budget</v>
      </c>
    </row>
    <row r="1015" spans="1:8" x14ac:dyDescent="0.25">
      <c r="A1015" s="14">
        <v>45778</v>
      </c>
      <c r="B1015" s="13" t="s">
        <v>1786</v>
      </c>
      <c r="C1015" s="13" t="s">
        <v>1775</v>
      </c>
      <c r="D1015" s="15">
        <v>62817.2</v>
      </c>
      <c r="E1015" s="15">
        <v>65504.05</v>
      </c>
      <c r="F1015" s="15">
        <f t="shared" si="45"/>
        <v>2686.8500000000058</v>
      </c>
      <c r="G1015" s="28">
        <f t="shared" si="46"/>
        <v>4.277252090191868E-2</v>
      </c>
      <c r="H1015" s="13" t="str">
        <f t="shared" si="47"/>
        <v>Within Budget</v>
      </c>
    </row>
    <row r="1016" spans="1:8" x14ac:dyDescent="0.25">
      <c r="A1016" s="11">
        <v>45778</v>
      </c>
      <c r="B1016" s="10" t="s">
        <v>1792</v>
      </c>
      <c r="C1016" s="10" t="s">
        <v>1783</v>
      </c>
      <c r="D1016" s="12">
        <v>18187.759999999998</v>
      </c>
      <c r="E1016" s="12">
        <v>17263.62</v>
      </c>
      <c r="F1016" s="12">
        <f t="shared" si="45"/>
        <v>-924.13999999999942</v>
      </c>
      <c r="G1016" s="27">
        <f t="shared" si="46"/>
        <v>-5.0811094934175481E-2</v>
      </c>
      <c r="H1016" s="10" t="str">
        <f t="shared" si="47"/>
        <v>Under Budget</v>
      </c>
    </row>
    <row r="1017" spans="1:8" x14ac:dyDescent="0.25">
      <c r="A1017" s="14">
        <v>45778</v>
      </c>
      <c r="B1017" s="13" t="s">
        <v>1774</v>
      </c>
      <c r="C1017" s="13" t="s">
        <v>1792</v>
      </c>
      <c r="D1017" s="15">
        <v>20774.72</v>
      </c>
      <c r="E1017" s="15">
        <v>19469.259999999998</v>
      </c>
      <c r="F1017" s="15">
        <f t="shared" si="45"/>
        <v>-1305.4600000000028</v>
      </c>
      <c r="G1017" s="28">
        <f t="shared" si="46"/>
        <v>-6.2838873399978568E-2</v>
      </c>
      <c r="H1017" s="13" t="str">
        <f t="shared" si="47"/>
        <v>Under Budget</v>
      </c>
    </row>
    <row r="1018" spans="1:8" x14ac:dyDescent="0.25">
      <c r="A1018" s="11">
        <v>45778</v>
      </c>
      <c r="B1018" s="10" t="s">
        <v>1786</v>
      </c>
      <c r="C1018" s="10" t="s">
        <v>1797</v>
      </c>
      <c r="D1018" s="12">
        <v>4690.67</v>
      </c>
      <c r="E1018" s="12">
        <v>4689.17</v>
      </c>
      <c r="F1018" s="12">
        <f t="shared" si="45"/>
        <v>-1.5</v>
      </c>
      <c r="G1018" s="27">
        <f t="shared" si="46"/>
        <v>-3.1978374091547689E-4</v>
      </c>
      <c r="H1018" s="10" t="str">
        <f t="shared" si="47"/>
        <v>Under Budget</v>
      </c>
    </row>
    <row r="1019" spans="1:8" x14ac:dyDescent="0.25">
      <c r="A1019" s="14">
        <v>45778</v>
      </c>
      <c r="B1019" s="13" t="s">
        <v>1774</v>
      </c>
      <c r="C1019" s="13" t="s">
        <v>1780</v>
      </c>
      <c r="D1019" s="15">
        <v>11621.35</v>
      </c>
      <c r="E1019" s="15">
        <v>11561.62</v>
      </c>
      <c r="F1019" s="15">
        <f t="shared" si="45"/>
        <v>-59.729999999999563</v>
      </c>
      <c r="G1019" s="28">
        <f t="shared" si="46"/>
        <v>-5.1396782645733554E-3</v>
      </c>
      <c r="H1019" s="13" t="str">
        <f t="shared" si="47"/>
        <v>Under Budget</v>
      </c>
    </row>
    <row r="1020" spans="1:8" x14ac:dyDescent="0.25">
      <c r="A1020" s="11">
        <v>45778</v>
      </c>
      <c r="B1020" s="10" t="s">
        <v>1792</v>
      </c>
      <c r="C1020" s="10" t="s">
        <v>1778</v>
      </c>
      <c r="D1020" s="12">
        <v>15132.24</v>
      </c>
      <c r="E1020" s="12">
        <v>16287.92</v>
      </c>
      <c r="F1020" s="12">
        <f t="shared" si="45"/>
        <v>1155.6800000000003</v>
      </c>
      <c r="G1020" s="27">
        <f t="shared" si="46"/>
        <v>7.6372037451163888E-2</v>
      </c>
      <c r="H1020" s="10" t="str">
        <f t="shared" si="47"/>
        <v>Slightly Over</v>
      </c>
    </row>
    <row r="1021" spans="1:8" x14ac:dyDescent="0.25">
      <c r="A1021" s="14">
        <v>45778</v>
      </c>
      <c r="B1021" s="13" t="s">
        <v>1774</v>
      </c>
      <c r="C1021" s="13" t="s">
        <v>1786</v>
      </c>
      <c r="D1021" s="15">
        <v>16181.12</v>
      </c>
      <c r="E1021" s="15">
        <v>15346.25</v>
      </c>
      <c r="F1021" s="15">
        <f t="shared" si="45"/>
        <v>-834.8700000000008</v>
      </c>
      <c r="G1021" s="28">
        <f t="shared" si="46"/>
        <v>-5.1595316022623947E-2</v>
      </c>
      <c r="H1021" s="13" t="str">
        <f t="shared" si="47"/>
        <v>Under Budget</v>
      </c>
    </row>
    <row r="1022" spans="1:8" x14ac:dyDescent="0.25">
      <c r="A1022" s="11">
        <v>45778</v>
      </c>
      <c r="B1022" s="10" t="s">
        <v>1877</v>
      </c>
      <c r="C1022" s="10" t="s">
        <v>1797</v>
      </c>
      <c r="D1022" s="12">
        <v>4555.7700000000004</v>
      </c>
      <c r="E1022" s="12">
        <v>4073.8</v>
      </c>
      <c r="F1022" s="12">
        <f t="shared" si="45"/>
        <v>-481.97000000000025</v>
      </c>
      <c r="G1022" s="27">
        <f t="shared" si="46"/>
        <v>-0.10579331265625794</v>
      </c>
      <c r="H1022" s="10" t="str">
        <f t="shared" si="47"/>
        <v>Under Budget</v>
      </c>
    </row>
    <row r="1023" spans="1:8" x14ac:dyDescent="0.25">
      <c r="A1023" s="14">
        <v>45778</v>
      </c>
      <c r="B1023" s="13" t="s">
        <v>1877</v>
      </c>
      <c r="C1023" s="13" t="s">
        <v>1789</v>
      </c>
      <c r="D1023" s="15">
        <v>8352.57</v>
      </c>
      <c r="E1023" s="15">
        <v>7797.81</v>
      </c>
      <c r="F1023" s="15">
        <f t="shared" si="45"/>
        <v>-554.75999999999931</v>
      </c>
      <c r="G1023" s="28">
        <f t="shared" si="46"/>
        <v>-6.6417880963583587E-2</v>
      </c>
      <c r="H1023" s="13" t="str">
        <f t="shared" si="47"/>
        <v>Under Budget</v>
      </c>
    </row>
    <row r="1024" spans="1:8" x14ac:dyDescent="0.25">
      <c r="A1024" s="11">
        <v>45778</v>
      </c>
      <c r="B1024" s="10" t="s">
        <v>1818</v>
      </c>
      <c r="C1024" s="10" t="s">
        <v>1783</v>
      </c>
      <c r="D1024" s="12">
        <v>6805.67</v>
      </c>
      <c r="E1024" s="12">
        <v>7170.77</v>
      </c>
      <c r="F1024" s="12">
        <f t="shared" si="45"/>
        <v>365.10000000000036</v>
      </c>
      <c r="G1024" s="27">
        <f t="shared" si="46"/>
        <v>5.3646444802642558E-2</v>
      </c>
      <c r="H1024" s="10" t="str">
        <f t="shared" si="47"/>
        <v>Slightly Over</v>
      </c>
    </row>
    <row r="1025" spans="1:8" x14ac:dyDescent="0.25">
      <c r="A1025" s="14">
        <v>45778</v>
      </c>
      <c r="B1025" s="13" t="s">
        <v>1799</v>
      </c>
      <c r="C1025" s="13" t="s">
        <v>1797</v>
      </c>
      <c r="D1025" s="15">
        <v>3148.83</v>
      </c>
      <c r="E1025" s="15">
        <v>3036.23</v>
      </c>
      <c r="F1025" s="15">
        <f t="shared" si="45"/>
        <v>-112.59999999999991</v>
      </c>
      <c r="G1025" s="28">
        <f t="shared" si="46"/>
        <v>-3.5759313776863123E-2</v>
      </c>
      <c r="H1025" s="13" t="str">
        <f t="shared" si="47"/>
        <v>Under Budget</v>
      </c>
    </row>
    <row r="1026" spans="1:8" x14ac:dyDescent="0.25">
      <c r="A1026" s="11">
        <v>45778</v>
      </c>
      <c r="B1026" s="10" t="s">
        <v>1786</v>
      </c>
      <c r="C1026" s="10" t="s">
        <v>1792</v>
      </c>
      <c r="D1026" s="12">
        <v>11182.65</v>
      </c>
      <c r="E1026" s="12">
        <v>11589.55</v>
      </c>
      <c r="F1026" s="12">
        <f t="shared" ref="F1026:F1089" si="48">E1026-D1026</f>
        <v>406.89999999999964</v>
      </c>
      <c r="G1026" s="27">
        <f t="shared" ref="G1026:G1089" si="49">IFERROR(F1026/D1026,0)</f>
        <v>3.638672407703001E-2</v>
      </c>
      <c r="H1026" s="10" t="str">
        <f t="shared" ref="H1026:H1089" si="50">IF(G1026&lt;=0,"Under Budget",IF(G1026&lt;=5%,"Within Budget",IF(G1026&lt;=15%,"Slightly Over","Significantly Over")))</f>
        <v>Within Budget</v>
      </c>
    </row>
    <row r="1027" spans="1:8" x14ac:dyDescent="0.25">
      <c r="A1027" s="14">
        <v>45778</v>
      </c>
      <c r="B1027" s="13" t="s">
        <v>1786</v>
      </c>
      <c r="C1027" s="13" t="s">
        <v>1789</v>
      </c>
      <c r="D1027" s="15">
        <v>6281.79</v>
      </c>
      <c r="E1027" s="15">
        <v>6928.66</v>
      </c>
      <c r="F1027" s="15">
        <f t="shared" si="48"/>
        <v>646.86999999999989</v>
      </c>
      <c r="G1027" s="28">
        <f t="shared" si="49"/>
        <v>0.10297542579424016</v>
      </c>
      <c r="H1027" s="13" t="str">
        <f t="shared" si="50"/>
        <v>Slightly Over</v>
      </c>
    </row>
    <row r="1028" spans="1:8" x14ac:dyDescent="0.25">
      <c r="A1028" s="11">
        <v>45778</v>
      </c>
      <c r="B1028" s="10" t="s">
        <v>1792</v>
      </c>
      <c r="C1028" s="10" t="s">
        <v>1797</v>
      </c>
      <c r="D1028" s="12">
        <v>5965.43</v>
      </c>
      <c r="E1028" s="12">
        <v>6349.17</v>
      </c>
      <c r="F1028" s="12">
        <f t="shared" si="48"/>
        <v>383.73999999999978</v>
      </c>
      <c r="G1028" s="27">
        <f t="shared" si="49"/>
        <v>6.4327299121773249E-2</v>
      </c>
      <c r="H1028" s="10" t="str">
        <f t="shared" si="50"/>
        <v>Slightly Over</v>
      </c>
    </row>
    <row r="1029" spans="1:8" x14ac:dyDescent="0.25">
      <c r="A1029" s="14">
        <v>45778</v>
      </c>
      <c r="B1029" s="13" t="s">
        <v>1792</v>
      </c>
      <c r="C1029" s="13" t="s">
        <v>1795</v>
      </c>
      <c r="D1029" s="15">
        <v>6003.12</v>
      </c>
      <c r="E1029" s="15">
        <v>6506.95</v>
      </c>
      <c r="F1029" s="15">
        <f t="shared" si="48"/>
        <v>503.82999999999993</v>
      </c>
      <c r="G1029" s="28">
        <f t="shared" si="49"/>
        <v>8.3928024094137701E-2</v>
      </c>
      <c r="H1029" s="13" t="str">
        <f t="shared" si="50"/>
        <v>Slightly Over</v>
      </c>
    </row>
    <row r="1030" spans="1:8" x14ac:dyDescent="0.25">
      <c r="A1030" s="11">
        <v>45778</v>
      </c>
      <c r="B1030" s="10" t="s">
        <v>1818</v>
      </c>
      <c r="C1030" s="10" t="s">
        <v>1792</v>
      </c>
      <c r="D1030" s="12">
        <v>6761.55</v>
      </c>
      <c r="E1030" s="12">
        <v>7169.46</v>
      </c>
      <c r="F1030" s="12">
        <f t="shared" si="48"/>
        <v>407.90999999999985</v>
      </c>
      <c r="G1030" s="27">
        <f t="shared" si="49"/>
        <v>6.0327883399516363E-2</v>
      </c>
      <c r="H1030" s="10" t="str">
        <f t="shared" si="50"/>
        <v>Slightly Over</v>
      </c>
    </row>
    <row r="1031" spans="1:8" x14ac:dyDescent="0.25">
      <c r="A1031" s="14">
        <v>45778</v>
      </c>
      <c r="B1031" s="13" t="s">
        <v>1799</v>
      </c>
      <c r="C1031" s="13" t="s">
        <v>1778</v>
      </c>
      <c r="D1031" s="15">
        <v>9922.1</v>
      </c>
      <c r="E1031" s="15">
        <v>9229.58</v>
      </c>
      <c r="F1031" s="15">
        <f t="shared" si="48"/>
        <v>-692.52000000000044</v>
      </c>
      <c r="G1031" s="28">
        <f t="shared" si="49"/>
        <v>-6.9795708569758461E-2</v>
      </c>
      <c r="H1031" s="13" t="str">
        <f t="shared" si="50"/>
        <v>Under Budget</v>
      </c>
    </row>
    <row r="1032" spans="1:8" x14ac:dyDescent="0.25">
      <c r="A1032" s="11">
        <v>45778</v>
      </c>
      <c r="B1032" s="10" t="s">
        <v>1799</v>
      </c>
      <c r="C1032" s="10" t="s">
        <v>1789</v>
      </c>
      <c r="D1032" s="12">
        <v>5551.22</v>
      </c>
      <c r="E1032" s="12">
        <v>5756</v>
      </c>
      <c r="F1032" s="12">
        <f t="shared" si="48"/>
        <v>204.77999999999975</v>
      </c>
      <c r="G1032" s="27">
        <f t="shared" si="49"/>
        <v>3.6889188322566886E-2</v>
      </c>
      <c r="H1032" s="10" t="str">
        <f t="shared" si="50"/>
        <v>Within Budget</v>
      </c>
    </row>
    <row r="1033" spans="1:8" x14ac:dyDescent="0.25">
      <c r="A1033" s="14">
        <v>45778</v>
      </c>
      <c r="B1033" s="13" t="s">
        <v>1818</v>
      </c>
      <c r="C1033" s="13" t="s">
        <v>1789</v>
      </c>
      <c r="D1033" s="15">
        <v>3776.08</v>
      </c>
      <c r="E1033" s="15">
        <v>3540.47</v>
      </c>
      <c r="F1033" s="15">
        <f t="shared" si="48"/>
        <v>-235.61000000000013</v>
      </c>
      <c r="G1033" s="28">
        <f t="shared" si="49"/>
        <v>-6.2395394165377885E-2</v>
      </c>
      <c r="H1033" s="13" t="str">
        <f t="shared" si="50"/>
        <v>Under Budget</v>
      </c>
    </row>
    <row r="1034" spans="1:8" x14ac:dyDescent="0.25">
      <c r="A1034" s="11">
        <v>45778</v>
      </c>
      <c r="B1034" s="10" t="s">
        <v>1799</v>
      </c>
      <c r="C1034" s="10" t="s">
        <v>1786</v>
      </c>
      <c r="D1034" s="12">
        <v>7964.09</v>
      </c>
      <c r="E1034" s="12">
        <v>7182.95</v>
      </c>
      <c r="F1034" s="12">
        <f t="shared" si="48"/>
        <v>-781.14000000000033</v>
      </c>
      <c r="G1034" s="27">
        <f t="shared" si="49"/>
        <v>-9.8082769029481126E-2</v>
      </c>
      <c r="H1034" s="10" t="str">
        <f t="shared" si="50"/>
        <v>Under Budget</v>
      </c>
    </row>
    <row r="1035" spans="1:8" x14ac:dyDescent="0.25">
      <c r="A1035" s="14">
        <v>45778</v>
      </c>
      <c r="B1035" s="13" t="s">
        <v>1862</v>
      </c>
      <c r="C1035" s="13" t="s">
        <v>1775</v>
      </c>
      <c r="D1035" s="15">
        <v>47512.42</v>
      </c>
      <c r="E1035" s="15">
        <v>46293.06</v>
      </c>
      <c r="F1035" s="15">
        <f t="shared" si="48"/>
        <v>-1219.3600000000006</v>
      </c>
      <c r="G1035" s="28">
        <f t="shared" si="49"/>
        <v>-2.5664026374577438E-2</v>
      </c>
      <c r="H1035" s="13" t="str">
        <f t="shared" si="50"/>
        <v>Under Budget</v>
      </c>
    </row>
    <row r="1036" spans="1:8" x14ac:dyDescent="0.25">
      <c r="A1036" s="11">
        <v>45778</v>
      </c>
      <c r="B1036" s="10" t="s">
        <v>1799</v>
      </c>
      <c r="C1036" s="10" t="s">
        <v>1775</v>
      </c>
      <c r="D1036" s="12">
        <v>57730.11</v>
      </c>
      <c r="E1036" s="12">
        <v>57340.77</v>
      </c>
      <c r="F1036" s="12">
        <f t="shared" si="48"/>
        <v>-389.34000000000378</v>
      </c>
      <c r="G1036" s="27">
        <f t="shared" si="49"/>
        <v>-6.7441409690714915E-3</v>
      </c>
      <c r="H1036" s="10" t="str">
        <f t="shared" si="50"/>
        <v>Under Budget</v>
      </c>
    </row>
    <row r="1037" spans="1:8" x14ac:dyDescent="0.25">
      <c r="A1037" s="14">
        <v>45778</v>
      </c>
      <c r="B1037" s="13" t="s">
        <v>1818</v>
      </c>
      <c r="C1037" s="13" t="s">
        <v>1778</v>
      </c>
      <c r="D1037" s="15">
        <v>10196.44</v>
      </c>
      <c r="E1037" s="15">
        <v>9573.8700000000008</v>
      </c>
      <c r="F1037" s="15">
        <f t="shared" si="48"/>
        <v>-622.56999999999971</v>
      </c>
      <c r="G1037" s="28">
        <f t="shared" si="49"/>
        <v>-6.105758480410807E-2</v>
      </c>
      <c r="H1037" s="13" t="str">
        <f t="shared" si="50"/>
        <v>Under Budget</v>
      </c>
    </row>
    <row r="1038" spans="1:8" x14ac:dyDescent="0.25">
      <c r="A1038" s="11">
        <v>45778</v>
      </c>
      <c r="B1038" s="10" t="s">
        <v>1818</v>
      </c>
      <c r="C1038" s="10" t="s">
        <v>1780</v>
      </c>
      <c r="D1038" s="12">
        <v>3250.64</v>
      </c>
      <c r="E1038" s="12">
        <v>3528.09</v>
      </c>
      <c r="F1038" s="12">
        <f t="shared" si="48"/>
        <v>277.45000000000027</v>
      </c>
      <c r="G1038" s="27">
        <f t="shared" si="49"/>
        <v>8.5352422907489067E-2</v>
      </c>
      <c r="H1038" s="10" t="str">
        <f t="shared" si="50"/>
        <v>Slightly Over</v>
      </c>
    </row>
    <row r="1039" spans="1:8" x14ac:dyDescent="0.25">
      <c r="A1039" s="14">
        <v>45778</v>
      </c>
      <c r="B1039" s="13" t="s">
        <v>1786</v>
      </c>
      <c r="C1039" s="13" t="s">
        <v>1786</v>
      </c>
      <c r="D1039" s="15">
        <v>10951.34</v>
      </c>
      <c r="E1039" s="15">
        <v>11015.15</v>
      </c>
      <c r="F1039" s="15">
        <f t="shared" si="48"/>
        <v>63.809999999999491</v>
      </c>
      <c r="G1039" s="28">
        <f t="shared" si="49"/>
        <v>5.8266842231178553E-3</v>
      </c>
      <c r="H1039" s="13" t="str">
        <f t="shared" si="50"/>
        <v>Within Budget</v>
      </c>
    </row>
    <row r="1040" spans="1:8" x14ac:dyDescent="0.25">
      <c r="A1040" s="11">
        <v>45778</v>
      </c>
      <c r="B1040" s="10" t="s">
        <v>1792</v>
      </c>
      <c r="C1040" s="10" t="s">
        <v>1780</v>
      </c>
      <c r="D1040" s="12">
        <v>10652.51</v>
      </c>
      <c r="E1040" s="12">
        <v>10549.74</v>
      </c>
      <c r="F1040" s="12">
        <f t="shared" si="48"/>
        <v>-102.77000000000044</v>
      </c>
      <c r="G1040" s="27">
        <f t="shared" si="49"/>
        <v>-9.6474915301652323E-3</v>
      </c>
      <c r="H1040" s="10" t="str">
        <f t="shared" si="50"/>
        <v>Under Budget</v>
      </c>
    </row>
    <row r="1041" spans="1:8" x14ac:dyDescent="0.25">
      <c r="A1041" s="14">
        <v>45778</v>
      </c>
      <c r="B1041" s="13" t="s">
        <v>1877</v>
      </c>
      <c r="C1041" s="13" t="s">
        <v>1786</v>
      </c>
      <c r="D1041" s="15">
        <v>13217.73</v>
      </c>
      <c r="E1041" s="15">
        <v>12206.64</v>
      </c>
      <c r="F1041" s="15">
        <f t="shared" si="48"/>
        <v>-1011.0900000000001</v>
      </c>
      <c r="G1041" s="28">
        <f t="shared" si="49"/>
        <v>-7.6494980605595675E-2</v>
      </c>
      <c r="H1041" s="13" t="str">
        <f t="shared" si="50"/>
        <v>Under Budget</v>
      </c>
    </row>
    <row r="1042" spans="1:8" x14ac:dyDescent="0.25">
      <c r="A1042" s="11">
        <v>45778</v>
      </c>
      <c r="B1042" s="10" t="s">
        <v>1799</v>
      </c>
      <c r="C1042" s="10" t="s">
        <v>1792</v>
      </c>
      <c r="D1042" s="12">
        <v>7153.61</v>
      </c>
      <c r="E1042" s="12">
        <v>6629.07</v>
      </c>
      <c r="F1042" s="12">
        <f t="shared" si="48"/>
        <v>-524.54</v>
      </c>
      <c r="G1042" s="27">
        <f t="shared" si="49"/>
        <v>-7.3325216219503164E-2</v>
      </c>
      <c r="H1042" s="10" t="str">
        <f t="shared" si="50"/>
        <v>Under Budget</v>
      </c>
    </row>
    <row r="1043" spans="1:8" x14ac:dyDescent="0.25">
      <c r="A1043" s="14">
        <v>45778</v>
      </c>
      <c r="B1043" s="13" t="s">
        <v>1799</v>
      </c>
      <c r="C1043" s="13" t="s">
        <v>1795</v>
      </c>
      <c r="D1043" s="15">
        <v>3138.46</v>
      </c>
      <c r="E1043" s="15">
        <v>2888.28</v>
      </c>
      <c r="F1043" s="15">
        <f t="shared" si="48"/>
        <v>-250.17999999999984</v>
      </c>
      <c r="G1043" s="28">
        <f t="shared" si="49"/>
        <v>-7.9714254761889536E-2</v>
      </c>
      <c r="H1043" s="13" t="str">
        <f t="shared" si="50"/>
        <v>Under Budget</v>
      </c>
    </row>
    <row r="1044" spans="1:8" x14ac:dyDescent="0.25">
      <c r="A1044" s="11">
        <v>45778</v>
      </c>
      <c r="B1044" s="10" t="s">
        <v>1774</v>
      </c>
      <c r="C1044" s="10" t="s">
        <v>1783</v>
      </c>
      <c r="D1044" s="12">
        <v>17740.7</v>
      </c>
      <c r="E1044" s="12">
        <v>16839.259999999998</v>
      </c>
      <c r="F1044" s="12">
        <f t="shared" si="48"/>
        <v>-901.44000000000233</v>
      </c>
      <c r="G1044" s="27">
        <f t="shared" si="49"/>
        <v>-5.0811974724785512E-2</v>
      </c>
      <c r="H1044" s="10" t="str">
        <f t="shared" si="50"/>
        <v>Under Budget</v>
      </c>
    </row>
    <row r="1045" spans="1:8" x14ac:dyDescent="0.25">
      <c r="A1045" s="14">
        <v>45778</v>
      </c>
      <c r="B1045" s="13" t="s">
        <v>1877</v>
      </c>
      <c r="C1045" s="13" t="s">
        <v>1795</v>
      </c>
      <c r="D1045" s="15">
        <v>3951.85</v>
      </c>
      <c r="E1045" s="15">
        <v>3886.85</v>
      </c>
      <c r="F1045" s="15">
        <f t="shared" si="48"/>
        <v>-65</v>
      </c>
      <c r="G1045" s="28">
        <f t="shared" si="49"/>
        <v>-1.6447992712273998E-2</v>
      </c>
      <c r="H1045" s="13" t="str">
        <f t="shared" si="50"/>
        <v>Under Budget</v>
      </c>
    </row>
    <row r="1046" spans="1:8" x14ac:dyDescent="0.25">
      <c r="A1046" s="11">
        <v>45778</v>
      </c>
      <c r="B1046" s="10" t="s">
        <v>1786</v>
      </c>
      <c r="C1046" s="10" t="s">
        <v>1778</v>
      </c>
      <c r="D1046" s="12">
        <v>17086.580000000002</v>
      </c>
      <c r="E1046" s="12">
        <v>15789.72</v>
      </c>
      <c r="F1046" s="12">
        <f t="shared" si="48"/>
        <v>-1296.8600000000024</v>
      </c>
      <c r="G1046" s="27">
        <f t="shared" si="49"/>
        <v>-7.5899331522165478E-2</v>
      </c>
      <c r="H1046" s="10" t="str">
        <f t="shared" si="50"/>
        <v>Under Budget</v>
      </c>
    </row>
    <row r="1047" spans="1:8" x14ac:dyDescent="0.25">
      <c r="A1047" s="14">
        <v>45778</v>
      </c>
      <c r="B1047" s="13" t="s">
        <v>1786</v>
      </c>
      <c r="C1047" s="13" t="s">
        <v>1783</v>
      </c>
      <c r="D1047" s="15">
        <v>15215.89</v>
      </c>
      <c r="E1047" s="15">
        <v>13932.41</v>
      </c>
      <c r="F1047" s="15">
        <f t="shared" si="48"/>
        <v>-1283.4799999999996</v>
      </c>
      <c r="G1047" s="28">
        <f t="shared" si="49"/>
        <v>-8.4351293286163323E-2</v>
      </c>
      <c r="H1047" s="13" t="str">
        <f t="shared" si="50"/>
        <v>Under Budget</v>
      </c>
    </row>
    <row r="1048" spans="1:8" x14ac:dyDescent="0.25">
      <c r="A1048" s="11">
        <v>45778</v>
      </c>
      <c r="B1048" s="10" t="s">
        <v>1792</v>
      </c>
      <c r="C1048" s="10" t="s">
        <v>1775</v>
      </c>
      <c r="D1048" s="12">
        <v>85203.19</v>
      </c>
      <c r="E1048" s="12">
        <v>84719.73</v>
      </c>
      <c r="F1048" s="12">
        <f t="shared" si="48"/>
        <v>-483.4600000000064</v>
      </c>
      <c r="G1048" s="27">
        <f t="shared" si="49"/>
        <v>-5.6742006960068796E-3</v>
      </c>
      <c r="H1048" s="10" t="str">
        <f t="shared" si="50"/>
        <v>Under Budget</v>
      </c>
    </row>
    <row r="1049" spans="1:8" x14ac:dyDescent="0.25">
      <c r="A1049" s="14">
        <v>45778</v>
      </c>
      <c r="B1049" s="13" t="s">
        <v>1792</v>
      </c>
      <c r="C1049" s="13" t="s">
        <v>1789</v>
      </c>
      <c r="D1049" s="15">
        <v>9722.99</v>
      </c>
      <c r="E1049" s="15">
        <v>8705.76</v>
      </c>
      <c r="F1049" s="15">
        <f t="shared" si="48"/>
        <v>-1017.2299999999996</v>
      </c>
      <c r="G1049" s="28">
        <f t="shared" si="49"/>
        <v>-0.10462110935010728</v>
      </c>
      <c r="H1049" s="13" t="str">
        <f t="shared" si="50"/>
        <v>Under Budget</v>
      </c>
    </row>
    <row r="1050" spans="1:8" x14ac:dyDescent="0.25">
      <c r="A1050" s="11">
        <v>45778</v>
      </c>
      <c r="B1050" s="10" t="s">
        <v>1774</v>
      </c>
      <c r="C1050" s="10" t="s">
        <v>1797</v>
      </c>
      <c r="D1050" s="12">
        <v>7000.18</v>
      </c>
      <c r="E1050" s="12">
        <v>6407.72</v>
      </c>
      <c r="F1050" s="12">
        <f t="shared" si="48"/>
        <v>-592.46</v>
      </c>
      <c r="G1050" s="27">
        <f t="shared" si="49"/>
        <v>-8.4634966529432101E-2</v>
      </c>
      <c r="H1050" s="10" t="str">
        <f t="shared" si="50"/>
        <v>Under Budget</v>
      </c>
    </row>
    <row r="1051" spans="1:8" x14ac:dyDescent="0.25">
      <c r="A1051" s="14">
        <v>45778</v>
      </c>
      <c r="B1051" s="13" t="s">
        <v>1799</v>
      </c>
      <c r="C1051" s="13" t="s">
        <v>1780</v>
      </c>
      <c r="D1051" s="15">
        <v>4391.75</v>
      </c>
      <c r="E1051" s="15">
        <v>4338.37</v>
      </c>
      <c r="F1051" s="15">
        <f t="shared" si="48"/>
        <v>-53.380000000000109</v>
      </c>
      <c r="G1051" s="28">
        <f t="shared" si="49"/>
        <v>-1.215460807195312E-2</v>
      </c>
      <c r="H1051" s="13" t="str">
        <f t="shared" si="50"/>
        <v>Under Budget</v>
      </c>
    </row>
    <row r="1052" spans="1:8" x14ac:dyDescent="0.25">
      <c r="A1052" s="11">
        <v>45778</v>
      </c>
      <c r="B1052" s="10" t="s">
        <v>1862</v>
      </c>
      <c r="C1052" s="10" t="s">
        <v>1778</v>
      </c>
      <c r="D1052" s="12">
        <v>9945.19</v>
      </c>
      <c r="E1052" s="12">
        <v>10866.17</v>
      </c>
      <c r="F1052" s="12">
        <f t="shared" si="48"/>
        <v>920.97999999999956</v>
      </c>
      <c r="G1052" s="27">
        <f t="shared" si="49"/>
        <v>9.2605571135393042E-2</v>
      </c>
      <c r="H1052" s="10" t="str">
        <f t="shared" si="50"/>
        <v>Slightly Over</v>
      </c>
    </row>
    <row r="1053" spans="1:8" x14ac:dyDescent="0.25">
      <c r="A1053" s="14">
        <v>45778</v>
      </c>
      <c r="B1053" s="13" t="s">
        <v>1818</v>
      </c>
      <c r="C1053" s="13" t="s">
        <v>1786</v>
      </c>
      <c r="D1053" s="15">
        <v>6805.08</v>
      </c>
      <c r="E1053" s="15">
        <v>7167.86</v>
      </c>
      <c r="F1053" s="15">
        <f t="shared" si="48"/>
        <v>362.77999999999975</v>
      </c>
      <c r="G1053" s="28">
        <f t="shared" si="49"/>
        <v>5.3310174164006852E-2</v>
      </c>
      <c r="H1053" s="13" t="str">
        <f t="shared" si="50"/>
        <v>Slightly Over</v>
      </c>
    </row>
    <row r="1054" spans="1:8" x14ac:dyDescent="0.25">
      <c r="A1054" s="11">
        <v>45778</v>
      </c>
      <c r="B1054" s="10" t="s">
        <v>1786</v>
      </c>
      <c r="C1054" s="10" t="s">
        <v>1795</v>
      </c>
      <c r="D1054" s="12">
        <v>4533.01</v>
      </c>
      <c r="E1054" s="12">
        <v>4233.26</v>
      </c>
      <c r="F1054" s="12">
        <f t="shared" si="48"/>
        <v>-299.75</v>
      </c>
      <c r="G1054" s="27">
        <f t="shared" si="49"/>
        <v>-6.6126039871961459E-2</v>
      </c>
      <c r="H1054" s="10" t="str">
        <f t="shared" si="50"/>
        <v>Under Budget</v>
      </c>
    </row>
    <row r="1055" spans="1:8" x14ac:dyDescent="0.25">
      <c r="A1055" s="14">
        <v>45778</v>
      </c>
      <c r="B1055" s="13" t="s">
        <v>1786</v>
      </c>
      <c r="C1055" s="13" t="s">
        <v>1780</v>
      </c>
      <c r="D1055" s="15">
        <v>6001.8</v>
      </c>
      <c r="E1055" s="15">
        <v>6492.27</v>
      </c>
      <c r="F1055" s="15">
        <f t="shared" si="48"/>
        <v>490.47000000000025</v>
      </c>
      <c r="G1055" s="28">
        <f t="shared" si="49"/>
        <v>8.1720483854843581E-2</v>
      </c>
      <c r="H1055" s="13" t="str">
        <f t="shared" si="50"/>
        <v>Slightly Over</v>
      </c>
    </row>
    <row r="1056" spans="1:8" x14ac:dyDescent="0.25">
      <c r="A1056" s="11">
        <v>45778</v>
      </c>
      <c r="B1056" s="10" t="s">
        <v>1792</v>
      </c>
      <c r="C1056" s="10" t="s">
        <v>1786</v>
      </c>
      <c r="D1056" s="12">
        <v>12895.95</v>
      </c>
      <c r="E1056" s="12">
        <v>12852.82</v>
      </c>
      <c r="F1056" s="12">
        <f t="shared" si="48"/>
        <v>-43.130000000001019</v>
      </c>
      <c r="G1056" s="27">
        <f t="shared" si="49"/>
        <v>-3.344460857866308E-3</v>
      </c>
      <c r="H1056" s="10" t="str">
        <f t="shared" si="50"/>
        <v>Under Budget</v>
      </c>
    </row>
    <row r="1057" spans="1:8" x14ac:dyDescent="0.25">
      <c r="A1057" s="14">
        <v>45778</v>
      </c>
      <c r="B1057" s="13" t="s">
        <v>1862</v>
      </c>
      <c r="C1057" s="13" t="s">
        <v>1797</v>
      </c>
      <c r="D1057" s="15">
        <v>2355.98</v>
      </c>
      <c r="E1057" s="15">
        <v>2280.5700000000002</v>
      </c>
      <c r="F1057" s="15">
        <f t="shared" si="48"/>
        <v>-75.409999999999854</v>
      </c>
      <c r="G1057" s="28">
        <f t="shared" si="49"/>
        <v>-3.2007911781933573E-2</v>
      </c>
      <c r="H1057" s="13" t="str">
        <f t="shared" si="50"/>
        <v>Under Budget</v>
      </c>
    </row>
    <row r="1058" spans="1:8" x14ac:dyDescent="0.25">
      <c r="A1058" s="11">
        <v>45778</v>
      </c>
      <c r="B1058" s="10" t="s">
        <v>1818</v>
      </c>
      <c r="C1058" s="10" t="s">
        <v>1795</v>
      </c>
      <c r="D1058" s="12">
        <v>2428.64</v>
      </c>
      <c r="E1058" s="12">
        <v>2221.5100000000002</v>
      </c>
      <c r="F1058" s="12">
        <f t="shared" si="48"/>
        <v>-207.12999999999965</v>
      </c>
      <c r="G1058" s="27">
        <f t="shared" si="49"/>
        <v>-8.5286415442387367E-2</v>
      </c>
      <c r="H1058" s="10" t="str">
        <f t="shared" si="50"/>
        <v>Under Budget</v>
      </c>
    </row>
    <row r="1059" spans="1:8" x14ac:dyDescent="0.25">
      <c r="A1059" s="14">
        <v>45778</v>
      </c>
      <c r="B1059" s="13" t="s">
        <v>1877</v>
      </c>
      <c r="C1059" s="13" t="s">
        <v>1778</v>
      </c>
      <c r="D1059" s="15">
        <v>15717.82</v>
      </c>
      <c r="E1059" s="15">
        <v>14468.27</v>
      </c>
      <c r="F1059" s="15">
        <f t="shared" si="48"/>
        <v>-1249.5499999999993</v>
      </c>
      <c r="G1059" s="28">
        <f t="shared" si="49"/>
        <v>-7.949893814791105E-2</v>
      </c>
      <c r="H1059" s="13" t="str">
        <f t="shared" si="50"/>
        <v>Under Budget</v>
      </c>
    </row>
    <row r="1060" spans="1:8" x14ac:dyDescent="0.25">
      <c r="A1060" s="11">
        <v>45778</v>
      </c>
      <c r="B1060" s="10" t="s">
        <v>1877</v>
      </c>
      <c r="C1060" s="10" t="s">
        <v>1775</v>
      </c>
      <c r="D1060" s="12">
        <v>66483.820000000007</v>
      </c>
      <c r="E1060" s="12">
        <v>62242.54</v>
      </c>
      <c r="F1060" s="12">
        <f t="shared" si="48"/>
        <v>-4241.2800000000061</v>
      </c>
      <c r="G1060" s="27">
        <f t="shared" si="49"/>
        <v>-6.3794168265301321E-2</v>
      </c>
      <c r="H1060" s="10" t="str">
        <f t="shared" si="50"/>
        <v>Under Budget</v>
      </c>
    </row>
    <row r="1061" spans="1:8" x14ac:dyDescent="0.25">
      <c r="A1061" s="14">
        <v>45778</v>
      </c>
      <c r="B1061" s="13" t="s">
        <v>1862</v>
      </c>
      <c r="C1061" s="13" t="s">
        <v>1786</v>
      </c>
      <c r="D1061" s="15">
        <v>6992.58</v>
      </c>
      <c r="E1061" s="15">
        <v>7065.41</v>
      </c>
      <c r="F1061" s="15">
        <f t="shared" si="48"/>
        <v>72.829999999999927</v>
      </c>
      <c r="G1061" s="28">
        <f t="shared" si="49"/>
        <v>1.0415325959803096E-2</v>
      </c>
      <c r="H1061" s="13" t="str">
        <f t="shared" si="50"/>
        <v>Within Budget</v>
      </c>
    </row>
    <row r="1062" spans="1:8" x14ac:dyDescent="0.25">
      <c r="A1062" s="11">
        <v>45778</v>
      </c>
      <c r="B1062" s="10" t="s">
        <v>1862</v>
      </c>
      <c r="C1062" s="10" t="s">
        <v>1792</v>
      </c>
      <c r="D1062" s="12">
        <v>6974.08</v>
      </c>
      <c r="E1062" s="12">
        <v>7488.58</v>
      </c>
      <c r="F1062" s="12">
        <f t="shared" si="48"/>
        <v>514.5</v>
      </c>
      <c r="G1062" s="27">
        <f t="shared" si="49"/>
        <v>7.3773171515095895E-2</v>
      </c>
      <c r="H1062" s="10" t="str">
        <f t="shared" si="50"/>
        <v>Slightly Over</v>
      </c>
    </row>
    <row r="1063" spans="1:8" x14ac:dyDescent="0.25">
      <c r="A1063" s="14">
        <v>45778</v>
      </c>
      <c r="B1063" s="13" t="s">
        <v>1818</v>
      </c>
      <c r="C1063" s="13" t="s">
        <v>1797</v>
      </c>
      <c r="D1063" s="15">
        <v>2819.67</v>
      </c>
      <c r="E1063" s="15">
        <v>2692.26</v>
      </c>
      <c r="F1063" s="15">
        <f t="shared" si="48"/>
        <v>-127.40999999999985</v>
      </c>
      <c r="G1063" s="28">
        <f t="shared" si="49"/>
        <v>-4.5186138803476952E-2</v>
      </c>
      <c r="H1063" s="13" t="str">
        <f t="shared" si="50"/>
        <v>Under Budget</v>
      </c>
    </row>
    <row r="1064" spans="1:8" x14ac:dyDescent="0.25">
      <c r="A1064" s="11">
        <v>45778</v>
      </c>
      <c r="B1064" s="10" t="s">
        <v>1774</v>
      </c>
      <c r="C1064" s="10" t="s">
        <v>1778</v>
      </c>
      <c r="D1064" s="12">
        <v>19596.310000000001</v>
      </c>
      <c r="E1064" s="12">
        <v>20849.72</v>
      </c>
      <c r="F1064" s="12">
        <f t="shared" si="48"/>
        <v>1253.4099999999999</v>
      </c>
      <c r="G1064" s="27">
        <f t="shared" si="49"/>
        <v>6.3961531533232516E-2</v>
      </c>
      <c r="H1064" s="10" t="str">
        <f t="shared" si="50"/>
        <v>Slightly Over</v>
      </c>
    </row>
    <row r="1065" spans="1:8" x14ac:dyDescent="0.25">
      <c r="A1065" s="14">
        <v>45778</v>
      </c>
      <c r="B1065" s="13" t="s">
        <v>1862</v>
      </c>
      <c r="C1065" s="13" t="s">
        <v>1795</v>
      </c>
      <c r="D1065" s="15">
        <v>3126.85</v>
      </c>
      <c r="E1065" s="15">
        <v>3055.09</v>
      </c>
      <c r="F1065" s="15">
        <f t="shared" si="48"/>
        <v>-71.759999999999764</v>
      </c>
      <c r="G1065" s="28">
        <f t="shared" si="49"/>
        <v>-2.2949613828613387E-2</v>
      </c>
      <c r="H1065" s="13" t="str">
        <f t="shared" si="50"/>
        <v>Under Budget</v>
      </c>
    </row>
    <row r="1066" spans="1:8" x14ac:dyDescent="0.25">
      <c r="A1066" s="11">
        <v>45778</v>
      </c>
      <c r="B1066" s="10" t="s">
        <v>1877</v>
      </c>
      <c r="C1066" s="10" t="s">
        <v>1783</v>
      </c>
      <c r="D1066" s="12">
        <v>13873.96</v>
      </c>
      <c r="E1066" s="12">
        <v>12434.66</v>
      </c>
      <c r="F1066" s="12">
        <f t="shared" si="48"/>
        <v>-1439.2999999999993</v>
      </c>
      <c r="G1066" s="27">
        <f t="shared" si="49"/>
        <v>-0.10374110924350362</v>
      </c>
      <c r="H1066" s="10" t="str">
        <f t="shared" si="50"/>
        <v>Under Budget</v>
      </c>
    </row>
    <row r="1067" spans="1:8" x14ac:dyDescent="0.25">
      <c r="A1067" s="14">
        <v>45778</v>
      </c>
      <c r="B1067" s="13" t="s">
        <v>1877</v>
      </c>
      <c r="C1067" s="13" t="s">
        <v>1780</v>
      </c>
      <c r="D1067" s="15">
        <v>7715.56</v>
      </c>
      <c r="E1067" s="15">
        <v>7556.36</v>
      </c>
      <c r="F1067" s="15">
        <f t="shared" si="48"/>
        <v>-159.20000000000073</v>
      </c>
      <c r="G1067" s="28">
        <f t="shared" si="49"/>
        <v>-2.0633628667264686E-2</v>
      </c>
      <c r="H1067" s="13" t="str">
        <f t="shared" si="50"/>
        <v>Under Budget</v>
      </c>
    </row>
    <row r="1068" spans="1:8" x14ac:dyDescent="0.25">
      <c r="A1068" s="11">
        <v>45778</v>
      </c>
      <c r="B1068" s="10" t="s">
        <v>1799</v>
      </c>
      <c r="C1068" s="10" t="s">
        <v>1783</v>
      </c>
      <c r="D1068" s="12">
        <v>8339.6299999999992</v>
      </c>
      <c r="E1068" s="12">
        <v>8003.31</v>
      </c>
      <c r="F1068" s="12">
        <f t="shared" si="48"/>
        <v>-336.3199999999988</v>
      </c>
      <c r="G1068" s="27">
        <f t="shared" si="49"/>
        <v>-4.032792821743876E-2</v>
      </c>
      <c r="H1068" s="10" t="str">
        <f t="shared" si="50"/>
        <v>Under Budget</v>
      </c>
    </row>
    <row r="1069" spans="1:8" x14ac:dyDescent="0.25">
      <c r="A1069" s="14">
        <v>45778</v>
      </c>
      <c r="B1069" s="13" t="s">
        <v>1877</v>
      </c>
      <c r="C1069" s="13" t="s">
        <v>1792</v>
      </c>
      <c r="D1069" s="15">
        <v>10307.17</v>
      </c>
      <c r="E1069" s="15">
        <v>9825.09</v>
      </c>
      <c r="F1069" s="15">
        <f t="shared" si="48"/>
        <v>-482.07999999999993</v>
      </c>
      <c r="G1069" s="28">
        <f t="shared" si="49"/>
        <v>-4.6771325203717407E-2</v>
      </c>
      <c r="H1069" s="13" t="str">
        <f t="shared" si="50"/>
        <v>Under Budget</v>
      </c>
    </row>
    <row r="1070" spans="1:8" x14ac:dyDescent="0.25">
      <c r="A1070" s="11">
        <v>45778</v>
      </c>
      <c r="B1070" s="10" t="s">
        <v>1862</v>
      </c>
      <c r="C1070" s="10" t="s">
        <v>1780</v>
      </c>
      <c r="D1070" s="12">
        <v>4326.4799999999996</v>
      </c>
      <c r="E1070" s="12">
        <v>3996.06</v>
      </c>
      <c r="F1070" s="12">
        <f t="shared" si="48"/>
        <v>-330.41999999999962</v>
      </c>
      <c r="G1070" s="27">
        <f t="shared" si="49"/>
        <v>-7.6371553780440374E-2</v>
      </c>
      <c r="H1070" s="10" t="str">
        <f t="shared" si="50"/>
        <v>Under Budget</v>
      </c>
    </row>
    <row r="1071" spans="1:8" x14ac:dyDescent="0.25">
      <c r="A1071" s="14">
        <v>45778</v>
      </c>
      <c r="B1071" s="13" t="s">
        <v>1774</v>
      </c>
      <c r="C1071" s="13" t="s">
        <v>1789</v>
      </c>
      <c r="D1071" s="15">
        <v>10629.89</v>
      </c>
      <c r="E1071" s="15">
        <v>10675.84</v>
      </c>
      <c r="F1071" s="15">
        <f t="shared" si="48"/>
        <v>45.950000000000728</v>
      </c>
      <c r="G1071" s="28">
        <f t="shared" si="49"/>
        <v>4.3227164156920466E-3</v>
      </c>
      <c r="H1071" s="13" t="str">
        <f t="shared" si="50"/>
        <v>Within Budget</v>
      </c>
    </row>
    <row r="1072" spans="1:8" x14ac:dyDescent="0.25">
      <c r="A1072" s="11">
        <v>45778</v>
      </c>
      <c r="B1072" s="10" t="s">
        <v>1792</v>
      </c>
      <c r="C1072" s="10" t="s">
        <v>1792</v>
      </c>
      <c r="D1072" s="12">
        <v>15973.2</v>
      </c>
      <c r="E1072" s="12">
        <v>15823.63</v>
      </c>
      <c r="F1072" s="12">
        <f t="shared" si="48"/>
        <v>-149.57000000000153</v>
      </c>
      <c r="G1072" s="27">
        <f t="shared" si="49"/>
        <v>-9.3638093807127884E-3</v>
      </c>
      <c r="H1072" s="10" t="str">
        <f t="shared" si="50"/>
        <v>Under Budget</v>
      </c>
    </row>
    <row r="1073" spans="1:8" x14ac:dyDescent="0.25">
      <c r="A1073" s="14">
        <v>45809</v>
      </c>
      <c r="B1073" s="13" t="s">
        <v>1862</v>
      </c>
      <c r="C1073" s="13" t="s">
        <v>1783</v>
      </c>
      <c r="D1073" s="15">
        <v>7624.38</v>
      </c>
      <c r="E1073" s="15">
        <v>8122.16</v>
      </c>
      <c r="F1073" s="15">
        <f t="shared" si="48"/>
        <v>497.77999999999975</v>
      </c>
      <c r="G1073" s="28">
        <f t="shared" si="49"/>
        <v>6.5287931608865216E-2</v>
      </c>
      <c r="H1073" s="13" t="str">
        <f t="shared" si="50"/>
        <v>Slightly Over</v>
      </c>
    </row>
    <row r="1074" spans="1:8" x14ac:dyDescent="0.25">
      <c r="A1074" s="11">
        <v>45809</v>
      </c>
      <c r="B1074" s="10" t="s">
        <v>1818</v>
      </c>
      <c r="C1074" s="10" t="s">
        <v>1797</v>
      </c>
      <c r="D1074" s="12">
        <v>2521.8000000000002</v>
      </c>
      <c r="E1074" s="12">
        <v>2435.98</v>
      </c>
      <c r="F1074" s="12">
        <f t="shared" si="48"/>
        <v>-85.820000000000164</v>
      </c>
      <c r="G1074" s="27">
        <f t="shared" si="49"/>
        <v>-3.4031247521611609E-2</v>
      </c>
      <c r="H1074" s="10" t="str">
        <f t="shared" si="50"/>
        <v>Under Budget</v>
      </c>
    </row>
    <row r="1075" spans="1:8" x14ac:dyDescent="0.25">
      <c r="A1075" s="14">
        <v>45809</v>
      </c>
      <c r="B1075" s="13" t="s">
        <v>1818</v>
      </c>
      <c r="C1075" s="13" t="s">
        <v>1789</v>
      </c>
      <c r="D1075" s="15">
        <v>3148.3</v>
      </c>
      <c r="E1075" s="15">
        <v>3262.26</v>
      </c>
      <c r="F1075" s="15">
        <f t="shared" si="48"/>
        <v>113.96000000000004</v>
      </c>
      <c r="G1075" s="28">
        <f t="shared" si="49"/>
        <v>3.6197312835498534E-2</v>
      </c>
      <c r="H1075" s="13" t="str">
        <f t="shared" si="50"/>
        <v>Within Budget</v>
      </c>
    </row>
    <row r="1076" spans="1:8" x14ac:dyDescent="0.25">
      <c r="A1076" s="11">
        <v>45809</v>
      </c>
      <c r="B1076" s="10" t="s">
        <v>1799</v>
      </c>
      <c r="C1076" s="10" t="s">
        <v>1775</v>
      </c>
      <c r="D1076" s="12">
        <v>54106.36</v>
      </c>
      <c r="E1076" s="12">
        <v>53481.83</v>
      </c>
      <c r="F1076" s="12">
        <f t="shared" si="48"/>
        <v>-624.52999999999884</v>
      </c>
      <c r="G1076" s="27">
        <f t="shared" si="49"/>
        <v>-1.1542635653183819E-2</v>
      </c>
      <c r="H1076" s="10" t="str">
        <f t="shared" si="50"/>
        <v>Under Budget</v>
      </c>
    </row>
    <row r="1077" spans="1:8" x14ac:dyDescent="0.25">
      <c r="A1077" s="14">
        <v>45809</v>
      </c>
      <c r="B1077" s="13" t="s">
        <v>1774</v>
      </c>
      <c r="C1077" s="13" t="s">
        <v>1775</v>
      </c>
      <c r="D1077" s="15">
        <v>121870.09</v>
      </c>
      <c r="E1077" s="15">
        <v>114041.96</v>
      </c>
      <c r="F1077" s="15">
        <f t="shared" si="48"/>
        <v>-7828.1299999999901</v>
      </c>
      <c r="G1077" s="28">
        <f t="shared" si="49"/>
        <v>-6.4233398038846035E-2</v>
      </c>
      <c r="H1077" s="13" t="str">
        <f t="shared" si="50"/>
        <v>Under Budget</v>
      </c>
    </row>
    <row r="1078" spans="1:8" x14ac:dyDescent="0.25">
      <c r="A1078" s="11">
        <v>45809</v>
      </c>
      <c r="B1078" s="10" t="s">
        <v>1792</v>
      </c>
      <c r="C1078" s="10" t="s">
        <v>1792</v>
      </c>
      <c r="D1078" s="12">
        <v>15038.07</v>
      </c>
      <c r="E1078" s="12">
        <v>16637.509999999998</v>
      </c>
      <c r="F1078" s="12">
        <f t="shared" si="48"/>
        <v>1599.4399999999987</v>
      </c>
      <c r="G1078" s="27">
        <f t="shared" si="49"/>
        <v>0.10635939319340838</v>
      </c>
      <c r="H1078" s="10" t="str">
        <f t="shared" si="50"/>
        <v>Slightly Over</v>
      </c>
    </row>
    <row r="1079" spans="1:8" x14ac:dyDescent="0.25">
      <c r="A1079" s="14">
        <v>45809</v>
      </c>
      <c r="B1079" s="13" t="s">
        <v>1774</v>
      </c>
      <c r="C1079" s="13" t="s">
        <v>1795</v>
      </c>
      <c r="D1079" s="15">
        <v>7202.8</v>
      </c>
      <c r="E1079" s="15">
        <v>7033.56</v>
      </c>
      <c r="F1079" s="15">
        <f t="shared" si="48"/>
        <v>-169.23999999999978</v>
      </c>
      <c r="G1079" s="28">
        <f t="shared" si="49"/>
        <v>-2.3496418059643441E-2</v>
      </c>
      <c r="H1079" s="13" t="str">
        <f t="shared" si="50"/>
        <v>Under Budget</v>
      </c>
    </row>
    <row r="1080" spans="1:8" x14ac:dyDescent="0.25">
      <c r="A1080" s="11">
        <v>45809</v>
      </c>
      <c r="B1080" s="10" t="s">
        <v>1877</v>
      </c>
      <c r="C1080" s="10" t="s">
        <v>1786</v>
      </c>
      <c r="D1080" s="12">
        <v>11644.91</v>
      </c>
      <c r="E1080" s="12">
        <v>12412.53</v>
      </c>
      <c r="F1080" s="12">
        <f t="shared" si="48"/>
        <v>767.6200000000008</v>
      </c>
      <c r="G1080" s="27">
        <f t="shared" si="49"/>
        <v>6.5918929386315633E-2</v>
      </c>
      <c r="H1080" s="10" t="str">
        <f t="shared" si="50"/>
        <v>Slightly Over</v>
      </c>
    </row>
    <row r="1081" spans="1:8" x14ac:dyDescent="0.25">
      <c r="A1081" s="14">
        <v>45809</v>
      </c>
      <c r="B1081" s="13" t="s">
        <v>1877</v>
      </c>
      <c r="C1081" s="13" t="s">
        <v>1780</v>
      </c>
      <c r="D1081" s="15">
        <v>5419.28</v>
      </c>
      <c r="E1081" s="15">
        <v>5636.49</v>
      </c>
      <c r="F1081" s="15">
        <f t="shared" si="48"/>
        <v>217.21000000000004</v>
      </c>
      <c r="G1081" s="28">
        <f t="shared" si="49"/>
        <v>4.0080970165778489E-2</v>
      </c>
      <c r="H1081" s="13" t="str">
        <f t="shared" si="50"/>
        <v>Within Budget</v>
      </c>
    </row>
    <row r="1082" spans="1:8" x14ac:dyDescent="0.25">
      <c r="A1082" s="11">
        <v>45809</v>
      </c>
      <c r="B1082" s="10" t="s">
        <v>1799</v>
      </c>
      <c r="C1082" s="10" t="s">
        <v>1786</v>
      </c>
      <c r="D1082" s="12">
        <v>7148.41</v>
      </c>
      <c r="E1082" s="12">
        <v>7875.85</v>
      </c>
      <c r="F1082" s="12">
        <f t="shared" si="48"/>
        <v>727.44000000000051</v>
      </c>
      <c r="G1082" s="27">
        <f t="shared" si="49"/>
        <v>0.10176248984039815</v>
      </c>
      <c r="H1082" s="10" t="str">
        <f t="shared" si="50"/>
        <v>Slightly Over</v>
      </c>
    </row>
    <row r="1083" spans="1:8" x14ac:dyDescent="0.25">
      <c r="A1083" s="14">
        <v>45809</v>
      </c>
      <c r="B1083" s="13" t="s">
        <v>1786</v>
      </c>
      <c r="C1083" s="13" t="s">
        <v>1783</v>
      </c>
      <c r="D1083" s="15">
        <v>10940.14</v>
      </c>
      <c r="E1083" s="15">
        <v>11672.2</v>
      </c>
      <c r="F1083" s="15">
        <f t="shared" si="48"/>
        <v>732.06000000000131</v>
      </c>
      <c r="G1083" s="28">
        <f t="shared" si="49"/>
        <v>6.6915048619121995E-2</v>
      </c>
      <c r="H1083" s="13" t="str">
        <f t="shared" si="50"/>
        <v>Slightly Over</v>
      </c>
    </row>
    <row r="1084" spans="1:8" x14ac:dyDescent="0.25">
      <c r="A1084" s="11">
        <v>45809</v>
      </c>
      <c r="B1084" s="10" t="s">
        <v>1799</v>
      </c>
      <c r="C1084" s="10" t="s">
        <v>1783</v>
      </c>
      <c r="D1084" s="12">
        <v>9133.9699999999993</v>
      </c>
      <c r="E1084" s="12">
        <v>8176.81</v>
      </c>
      <c r="F1084" s="12">
        <f t="shared" si="48"/>
        <v>-957.15999999999894</v>
      </c>
      <c r="G1084" s="27">
        <f t="shared" si="49"/>
        <v>-0.10479123535549154</v>
      </c>
      <c r="H1084" s="10" t="str">
        <f t="shared" si="50"/>
        <v>Under Budget</v>
      </c>
    </row>
    <row r="1085" spans="1:8" x14ac:dyDescent="0.25">
      <c r="A1085" s="14">
        <v>45809</v>
      </c>
      <c r="B1085" s="13" t="s">
        <v>1799</v>
      </c>
      <c r="C1085" s="13" t="s">
        <v>1780</v>
      </c>
      <c r="D1085" s="15">
        <v>6163.28</v>
      </c>
      <c r="E1085" s="15">
        <v>5504.53</v>
      </c>
      <c r="F1085" s="15">
        <f t="shared" si="48"/>
        <v>-658.75</v>
      </c>
      <c r="G1085" s="28">
        <f t="shared" si="49"/>
        <v>-0.10688302332524241</v>
      </c>
      <c r="H1085" s="13" t="str">
        <f t="shared" si="50"/>
        <v>Under Budget</v>
      </c>
    </row>
    <row r="1086" spans="1:8" x14ac:dyDescent="0.25">
      <c r="A1086" s="11">
        <v>45809</v>
      </c>
      <c r="B1086" s="10" t="s">
        <v>1877</v>
      </c>
      <c r="C1086" s="10" t="s">
        <v>1795</v>
      </c>
      <c r="D1086" s="12">
        <v>4543.59</v>
      </c>
      <c r="E1086" s="12">
        <v>4293.0200000000004</v>
      </c>
      <c r="F1086" s="12">
        <f t="shared" si="48"/>
        <v>-250.56999999999971</v>
      </c>
      <c r="G1086" s="27">
        <f t="shared" si="49"/>
        <v>-5.5148021718508869E-2</v>
      </c>
      <c r="H1086" s="10" t="str">
        <f t="shared" si="50"/>
        <v>Under Budget</v>
      </c>
    </row>
    <row r="1087" spans="1:8" x14ac:dyDescent="0.25">
      <c r="A1087" s="14">
        <v>45809</v>
      </c>
      <c r="B1087" s="13" t="s">
        <v>1774</v>
      </c>
      <c r="C1087" s="13" t="s">
        <v>1797</v>
      </c>
      <c r="D1087" s="15">
        <v>6716.71</v>
      </c>
      <c r="E1087" s="15">
        <v>6492.03</v>
      </c>
      <c r="F1087" s="15">
        <f t="shared" si="48"/>
        <v>-224.68000000000029</v>
      </c>
      <c r="G1087" s="28">
        <f t="shared" si="49"/>
        <v>-3.3450900813046906E-2</v>
      </c>
      <c r="H1087" s="13" t="str">
        <f t="shared" si="50"/>
        <v>Under Budget</v>
      </c>
    </row>
    <row r="1088" spans="1:8" x14ac:dyDescent="0.25">
      <c r="A1088" s="11">
        <v>45809</v>
      </c>
      <c r="B1088" s="10" t="s">
        <v>1774</v>
      </c>
      <c r="C1088" s="10" t="s">
        <v>1778</v>
      </c>
      <c r="D1088" s="12">
        <v>21658.31</v>
      </c>
      <c r="E1088" s="12">
        <v>20223.62</v>
      </c>
      <c r="F1088" s="12">
        <f t="shared" si="48"/>
        <v>-1434.6900000000023</v>
      </c>
      <c r="G1088" s="27">
        <f t="shared" si="49"/>
        <v>-6.624201057238549E-2</v>
      </c>
      <c r="H1088" s="10" t="str">
        <f t="shared" si="50"/>
        <v>Under Budget</v>
      </c>
    </row>
    <row r="1089" spans="1:8" x14ac:dyDescent="0.25">
      <c r="A1089" s="14">
        <v>45809</v>
      </c>
      <c r="B1089" s="13" t="s">
        <v>1792</v>
      </c>
      <c r="C1089" s="13" t="s">
        <v>1797</v>
      </c>
      <c r="D1089" s="15">
        <v>6887.27</v>
      </c>
      <c r="E1089" s="15">
        <v>6276.89</v>
      </c>
      <c r="F1089" s="15">
        <f t="shared" si="48"/>
        <v>-610.38000000000011</v>
      </c>
      <c r="G1089" s="28">
        <f t="shared" si="49"/>
        <v>-8.8624375115248871E-2</v>
      </c>
      <c r="H1089" s="13" t="str">
        <f t="shared" si="50"/>
        <v>Under Budget</v>
      </c>
    </row>
    <row r="1090" spans="1:8" x14ac:dyDescent="0.25">
      <c r="A1090" s="11">
        <v>45809</v>
      </c>
      <c r="B1090" s="10" t="s">
        <v>1877</v>
      </c>
      <c r="C1090" s="10" t="s">
        <v>1778</v>
      </c>
      <c r="D1090" s="12">
        <v>14090.96</v>
      </c>
      <c r="E1090" s="12">
        <v>13893.02</v>
      </c>
      <c r="F1090" s="12">
        <f t="shared" ref="F1090:F1153" si="51">E1090-D1090</f>
        <v>-197.93999999999869</v>
      </c>
      <c r="G1090" s="27">
        <f t="shared" ref="G1090:G1153" si="52">IFERROR(F1090/D1090,0)</f>
        <v>-1.4047304087159335E-2</v>
      </c>
      <c r="H1090" s="10" t="str">
        <f t="shared" ref="H1090:H1153" si="53">IF(G1090&lt;=0,"Under Budget",IF(G1090&lt;=5%,"Within Budget",IF(G1090&lt;=15%,"Slightly Over","Significantly Over")))</f>
        <v>Under Budget</v>
      </c>
    </row>
    <row r="1091" spans="1:8" x14ac:dyDescent="0.25">
      <c r="A1091" s="14">
        <v>45809</v>
      </c>
      <c r="B1091" s="13" t="s">
        <v>1862</v>
      </c>
      <c r="C1091" s="13" t="s">
        <v>1775</v>
      </c>
      <c r="D1091" s="15">
        <v>38918.75</v>
      </c>
      <c r="E1091" s="15">
        <v>42873.27</v>
      </c>
      <c r="F1091" s="15">
        <f t="shared" si="51"/>
        <v>3954.5199999999968</v>
      </c>
      <c r="G1091" s="28">
        <f t="shared" si="52"/>
        <v>0.10160963545848715</v>
      </c>
      <c r="H1091" s="13" t="str">
        <f t="shared" si="53"/>
        <v>Slightly Over</v>
      </c>
    </row>
    <row r="1092" spans="1:8" x14ac:dyDescent="0.25">
      <c r="A1092" s="11">
        <v>45809</v>
      </c>
      <c r="B1092" s="10" t="s">
        <v>1818</v>
      </c>
      <c r="C1092" s="10" t="s">
        <v>1786</v>
      </c>
      <c r="D1092" s="12">
        <v>7328.49</v>
      </c>
      <c r="E1092" s="12">
        <v>6939.42</v>
      </c>
      <c r="F1092" s="12">
        <f t="shared" si="51"/>
        <v>-389.06999999999971</v>
      </c>
      <c r="G1092" s="27">
        <f t="shared" si="52"/>
        <v>-5.3090063573805753E-2</v>
      </c>
      <c r="H1092" s="10" t="str">
        <f t="shared" si="53"/>
        <v>Under Budget</v>
      </c>
    </row>
    <row r="1093" spans="1:8" x14ac:dyDescent="0.25">
      <c r="A1093" s="14">
        <v>45809</v>
      </c>
      <c r="B1093" s="13" t="s">
        <v>1799</v>
      </c>
      <c r="C1093" s="13" t="s">
        <v>1792</v>
      </c>
      <c r="D1093" s="15">
        <v>9612.73</v>
      </c>
      <c r="E1093" s="15">
        <v>8608.83</v>
      </c>
      <c r="F1093" s="15">
        <f t="shared" si="51"/>
        <v>-1003.8999999999996</v>
      </c>
      <c r="G1093" s="28">
        <f t="shared" si="52"/>
        <v>-0.10443443225805778</v>
      </c>
      <c r="H1093" s="13" t="str">
        <f t="shared" si="53"/>
        <v>Under Budget</v>
      </c>
    </row>
    <row r="1094" spans="1:8" x14ac:dyDescent="0.25">
      <c r="A1094" s="11">
        <v>45809</v>
      </c>
      <c r="B1094" s="10" t="s">
        <v>1792</v>
      </c>
      <c r="C1094" s="10" t="s">
        <v>1795</v>
      </c>
      <c r="D1094" s="12">
        <v>6029.05</v>
      </c>
      <c r="E1094" s="12">
        <v>6301.45</v>
      </c>
      <c r="F1094" s="12">
        <f t="shared" si="51"/>
        <v>272.39999999999964</v>
      </c>
      <c r="G1094" s="27">
        <f t="shared" si="52"/>
        <v>4.5181247460213403E-2</v>
      </c>
      <c r="H1094" s="10" t="str">
        <f t="shared" si="53"/>
        <v>Within Budget</v>
      </c>
    </row>
    <row r="1095" spans="1:8" x14ac:dyDescent="0.25">
      <c r="A1095" s="14">
        <v>45809</v>
      </c>
      <c r="B1095" s="13" t="s">
        <v>1774</v>
      </c>
      <c r="C1095" s="13" t="s">
        <v>1789</v>
      </c>
      <c r="D1095" s="15">
        <v>9467.4599999999991</v>
      </c>
      <c r="E1095" s="15">
        <v>9448.92</v>
      </c>
      <c r="F1095" s="15">
        <f t="shared" si="51"/>
        <v>-18.539999999999054</v>
      </c>
      <c r="G1095" s="28">
        <f t="shared" si="52"/>
        <v>-1.9582865942923506E-3</v>
      </c>
      <c r="H1095" s="13" t="str">
        <f t="shared" si="53"/>
        <v>Under Budget</v>
      </c>
    </row>
    <row r="1096" spans="1:8" x14ac:dyDescent="0.25">
      <c r="A1096" s="11">
        <v>45809</v>
      </c>
      <c r="B1096" s="10" t="s">
        <v>1792</v>
      </c>
      <c r="C1096" s="10" t="s">
        <v>1780</v>
      </c>
      <c r="D1096" s="12">
        <v>9749.64</v>
      </c>
      <c r="E1096" s="12">
        <v>9953.89</v>
      </c>
      <c r="F1096" s="12">
        <f t="shared" si="51"/>
        <v>204.25</v>
      </c>
      <c r="G1096" s="27">
        <f t="shared" si="52"/>
        <v>2.0949491468402939E-2</v>
      </c>
      <c r="H1096" s="10" t="str">
        <f t="shared" si="53"/>
        <v>Within Budget</v>
      </c>
    </row>
    <row r="1097" spans="1:8" x14ac:dyDescent="0.25">
      <c r="A1097" s="14">
        <v>45809</v>
      </c>
      <c r="B1097" s="13" t="s">
        <v>1877</v>
      </c>
      <c r="C1097" s="13" t="s">
        <v>1792</v>
      </c>
      <c r="D1097" s="15">
        <v>11626.11</v>
      </c>
      <c r="E1097" s="15">
        <v>11792.35</v>
      </c>
      <c r="F1097" s="15">
        <f t="shared" si="51"/>
        <v>166.23999999999978</v>
      </c>
      <c r="G1097" s="28">
        <f t="shared" si="52"/>
        <v>1.4298849744239455E-2</v>
      </c>
      <c r="H1097" s="13" t="str">
        <f t="shared" si="53"/>
        <v>Within Budget</v>
      </c>
    </row>
    <row r="1098" spans="1:8" x14ac:dyDescent="0.25">
      <c r="A1098" s="11">
        <v>45809</v>
      </c>
      <c r="B1098" s="10" t="s">
        <v>1862</v>
      </c>
      <c r="C1098" s="10" t="s">
        <v>1786</v>
      </c>
      <c r="D1098" s="12">
        <v>6887.6</v>
      </c>
      <c r="E1098" s="12">
        <v>6505.67</v>
      </c>
      <c r="F1098" s="12">
        <f t="shared" si="51"/>
        <v>-381.93000000000029</v>
      </c>
      <c r="G1098" s="27">
        <f t="shared" si="52"/>
        <v>-5.5451826470759087E-2</v>
      </c>
      <c r="H1098" s="10" t="str">
        <f t="shared" si="53"/>
        <v>Under Budget</v>
      </c>
    </row>
    <row r="1099" spans="1:8" x14ac:dyDescent="0.25">
      <c r="A1099" s="14">
        <v>45809</v>
      </c>
      <c r="B1099" s="13" t="s">
        <v>1818</v>
      </c>
      <c r="C1099" s="13" t="s">
        <v>1778</v>
      </c>
      <c r="D1099" s="15">
        <v>6727.47</v>
      </c>
      <c r="E1099" s="15">
        <v>6842.08</v>
      </c>
      <c r="F1099" s="15">
        <f t="shared" si="51"/>
        <v>114.60999999999967</v>
      </c>
      <c r="G1099" s="28">
        <f t="shared" si="52"/>
        <v>1.7036122048853384E-2</v>
      </c>
      <c r="H1099" s="13" t="str">
        <f t="shared" si="53"/>
        <v>Within Budget</v>
      </c>
    </row>
    <row r="1100" spans="1:8" x14ac:dyDescent="0.25">
      <c r="A1100" s="11">
        <v>45809</v>
      </c>
      <c r="B1100" s="10" t="s">
        <v>1786</v>
      </c>
      <c r="C1100" s="10" t="s">
        <v>1775</v>
      </c>
      <c r="D1100" s="12">
        <v>97890.52</v>
      </c>
      <c r="E1100" s="12">
        <v>88425.58</v>
      </c>
      <c r="F1100" s="12">
        <f t="shared" si="51"/>
        <v>-9464.9400000000023</v>
      </c>
      <c r="G1100" s="27">
        <f t="shared" si="52"/>
        <v>-9.6689035873953902E-2</v>
      </c>
      <c r="H1100" s="10" t="str">
        <f t="shared" si="53"/>
        <v>Under Budget</v>
      </c>
    </row>
    <row r="1101" spans="1:8" x14ac:dyDescent="0.25">
      <c r="A1101" s="14">
        <v>45809</v>
      </c>
      <c r="B1101" s="13" t="s">
        <v>1792</v>
      </c>
      <c r="C1101" s="13" t="s">
        <v>1778</v>
      </c>
      <c r="D1101" s="15">
        <v>19490.59</v>
      </c>
      <c r="E1101" s="15">
        <v>18152.310000000001</v>
      </c>
      <c r="F1101" s="15">
        <f t="shared" si="51"/>
        <v>-1338.2799999999988</v>
      </c>
      <c r="G1101" s="28">
        <f t="shared" si="52"/>
        <v>-6.8662877829762922E-2</v>
      </c>
      <c r="H1101" s="13" t="str">
        <f t="shared" si="53"/>
        <v>Under Budget</v>
      </c>
    </row>
    <row r="1102" spans="1:8" x14ac:dyDescent="0.25">
      <c r="A1102" s="11">
        <v>45809</v>
      </c>
      <c r="B1102" s="10" t="s">
        <v>1877</v>
      </c>
      <c r="C1102" s="10" t="s">
        <v>1789</v>
      </c>
      <c r="D1102" s="12">
        <v>5453.8</v>
      </c>
      <c r="E1102" s="12">
        <v>6019.1</v>
      </c>
      <c r="F1102" s="12">
        <f t="shared" si="51"/>
        <v>565.30000000000018</v>
      </c>
      <c r="G1102" s="27">
        <f t="shared" si="52"/>
        <v>0.10365249917488727</v>
      </c>
      <c r="H1102" s="10" t="str">
        <f t="shared" si="53"/>
        <v>Slightly Over</v>
      </c>
    </row>
    <row r="1103" spans="1:8" x14ac:dyDescent="0.25">
      <c r="A1103" s="14">
        <v>45809</v>
      </c>
      <c r="B1103" s="13" t="s">
        <v>1862</v>
      </c>
      <c r="C1103" s="13" t="s">
        <v>1792</v>
      </c>
      <c r="D1103" s="15">
        <v>8692.43</v>
      </c>
      <c r="E1103" s="15">
        <v>8047.94</v>
      </c>
      <c r="F1103" s="15">
        <f t="shared" si="51"/>
        <v>-644.49000000000069</v>
      </c>
      <c r="G1103" s="28">
        <f t="shared" si="52"/>
        <v>-7.4143823993981048E-2</v>
      </c>
      <c r="H1103" s="13" t="str">
        <f t="shared" si="53"/>
        <v>Under Budget</v>
      </c>
    </row>
    <row r="1104" spans="1:8" x14ac:dyDescent="0.25">
      <c r="A1104" s="11">
        <v>45809</v>
      </c>
      <c r="B1104" s="10" t="s">
        <v>1818</v>
      </c>
      <c r="C1104" s="10" t="s">
        <v>1795</v>
      </c>
      <c r="D1104" s="12">
        <v>2821.91</v>
      </c>
      <c r="E1104" s="12">
        <v>2637.23</v>
      </c>
      <c r="F1104" s="12">
        <f t="shared" si="51"/>
        <v>-184.67999999999984</v>
      </c>
      <c r="G1104" s="27">
        <f t="shared" si="52"/>
        <v>-6.5445035454709699E-2</v>
      </c>
      <c r="H1104" s="10" t="str">
        <f t="shared" si="53"/>
        <v>Under Budget</v>
      </c>
    </row>
    <row r="1105" spans="1:8" x14ac:dyDescent="0.25">
      <c r="A1105" s="14">
        <v>45809</v>
      </c>
      <c r="B1105" s="13" t="s">
        <v>1799</v>
      </c>
      <c r="C1105" s="13" t="s">
        <v>1797</v>
      </c>
      <c r="D1105" s="15">
        <v>2935.18</v>
      </c>
      <c r="E1105" s="15">
        <v>2895.72</v>
      </c>
      <c r="F1105" s="15">
        <f t="shared" si="51"/>
        <v>-39.460000000000036</v>
      </c>
      <c r="G1105" s="28">
        <f t="shared" si="52"/>
        <v>-1.3443809238275008E-2</v>
      </c>
      <c r="H1105" s="13" t="str">
        <f t="shared" si="53"/>
        <v>Under Budget</v>
      </c>
    </row>
    <row r="1106" spans="1:8" x14ac:dyDescent="0.25">
      <c r="A1106" s="11">
        <v>45809</v>
      </c>
      <c r="B1106" s="10" t="s">
        <v>1799</v>
      </c>
      <c r="C1106" s="10" t="s">
        <v>1778</v>
      </c>
      <c r="D1106" s="12">
        <v>9867.3799999999992</v>
      </c>
      <c r="E1106" s="12">
        <v>9776.4599999999991</v>
      </c>
      <c r="F1106" s="12">
        <f t="shared" si="51"/>
        <v>-90.920000000000073</v>
      </c>
      <c r="G1106" s="27">
        <f t="shared" si="52"/>
        <v>-9.2141987032018716E-3</v>
      </c>
      <c r="H1106" s="10" t="str">
        <f t="shared" si="53"/>
        <v>Under Budget</v>
      </c>
    </row>
    <row r="1107" spans="1:8" x14ac:dyDescent="0.25">
      <c r="A1107" s="14">
        <v>45809</v>
      </c>
      <c r="B1107" s="13" t="s">
        <v>1792</v>
      </c>
      <c r="C1107" s="13" t="s">
        <v>1786</v>
      </c>
      <c r="D1107" s="15">
        <v>14493.86</v>
      </c>
      <c r="E1107" s="15">
        <v>13372.99</v>
      </c>
      <c r="F1107" s="15">
        <f t="shared" si="51"/>
        <v>-1120.8700000000008</v>
      </c>
      <c r="G1107" s="28">
        <f t="shared" si="52"/>
        <v>-7.7334126312797333E-2</v>
      </c>
      <c r="H1107" s="13" t="str">
        <f t="shared" si="53"/>
        <v>Under Budget</v>
      </c>
    </row>
    <row r="1108" spans="1:8" x14ac:dyDescent="0.25">
      <c r="A1108" s="11">
        <v>45809</v>
      </c>
      <c r="B1108" s="10" t="s">
        <v>1862</v>
      </c>
      <c r="C1108" s="10" t="s">
        <v>1795</v>
      </c>
      <c r="D1108" s="12">
        <v>2245.86</v>
      </c>
      <c r="E1108" s="12">
        <v>2260.66</v>
      </c>
      <c r="F1108" s="12">
        <f t="shared" si="51"/>
        <v>14.799999999999727</v>
      </c>
      <c r="G1108" s="27">
        <f t="shared" si="52"/>
        <v>6.58990319966504E-3</v>
      </c>
      <c r="H1108" s="10" t="str">
        <f t="shared" si="53"/>
        <v>Within Budget</v>
      </c>
    </row>
    <row r="1109" spans="1:8" x14ac:dyDescent="0.25">
      <c r="A1109" s="14">
        <v>45809</v>
      </c>
      <c r="B1109" s="13" t="s">
        <v>1774</v>
      </c>
      <c r="C1109" s="13" t="s">
        <v>1792</v>
      </c>
      <c r="D1109" s="15">
        <v>17559.16</v>
      </c>
      <c r="E1109" s="15">
        <v>18778.21</v>
      </c>
      <c r="F1109" s="15">
        <f t="shared" si="51"/>
        <v>1219.0499999999993</v>
      </c>
      <c r="G1109" s="28">
        <f t="shared" si="52"/>
        <v>6.9425302804917738E-2</v>
      </c>
      <c r="H1109" s="13" t="str">
        <f t="shared" si="53"/>
        <v>Slightly Over</v>
      </c>
    </row>
    <row r="1110" spans="1:8" x14ac:dyDescent="0.25">
      <c r="A1110" s="11">
        <v>45809</v>
      </c>
      <c r="B1110" s="10" t="s">
        <v>1877</v>
      </c>
      <c r="C1110" s="10" t="s">
        <v>1775</v>
      </c>
      <c r="D1110" s="12">
        <v>63826.54</v>
      </c>
      <c r="E1110" s="12">
        <v>65879.490000000005</v>
      </c>
      <c r="F1110" s="12">
        <f t="shared" si="51"/>
        <v>2052.9500000000044</v>
      </c>
      <c r="G1110" s="27">
        <f t="shared" si="52"/>
        <v>3.2164519649663048E-2</v>
      </c>
      <c r="H1110" s="10" t="str">
        <f t="shared" si="53"/>
        <v>Within Budget</v>
      </c>
    </row>
    <row r="1111" spans="1:8" x14ac:dyDescent="0.25">
      <c r="A1111" s="14">
        <v>45809</v>
      </c>
      <c r="B1111" s="13" t="s">
        <v>1799</v>
      </c>
      <c r="C1111" s="13" t="s">
        <v>1795</v>
      </c>
      <c r="D1111" s="15">
        <v>2551.41</v>
      </c>
      <c r="E1111" s="15">
        <v>2662.31</v>
      </c>
      <c r="F1111" s="15">
        <f t="shared" si="51"/>
        <v>110.90000000000009</v>
      </c>
      <c r="G1111" s="28">
        <f t="shared" si="52"/>
        <v>4.3466161847762648E-2</v>
      </c>
      <c r="H1111" s="13" t="str">
        <f t="shared" si="53"/>
        <v>Within Budget</v>
      </c>
    </row>
    <row r="1112" spans="1:8" x14ac:dyDescent="0.25">
      <c r="A1112" s="11">
        <v>45809</v>
      </c>
      <c r="B1112" s="10" t="s">
        <v>1786</v>
      </c>
      <c r="C1112" s="10" t="s">
        <v>1792</v>
      </c>
      <c r="D1112" s="12">
        <v>13805.86</v>
      </c>
      <c r="E1112" s="12">
        <v>13150.53</v>
      </c>
      <c r="F1112" s="12">
        <f t="shared" si="51"/>
        <v>-655.32999999999993</v>
      </c>
      <c r="G1112" s="27">
        <f t="shared" si="52"/>
        <v>-4.7467524659818357E-2</v>
      </c>
      <c r="H1112" s="10" t="str">
        <f t="shared" si="53"/>
        <v>Under Budget</v>
      </c>
    </row>
    <row r="1113" spans="1:8" x14ac:dyDescent="0.25">
      <c r="A1113" s="14">
        <v>45809</v>
      </c>
      <c r="B1113" s="13" t="s">
        <v>1786</v>
      </c>
      <c r="C1113" s="13" t="s">
        <v>1778</v>
      </c>
      <c r="D1113" s="15">
        <v>16172.81</v>
      </c>
      <c r="E1113" s="15">
        <v>17216.98</v>
      </c>
      <c r="F1113" s="15">
        <f t="shared" si="51"/>
        <v>1044.17</v>
      </c>
      <c r="G1113" s="28">
        <f t="shared" si="52"/>
        <v>6.4563300997167478E-2</v>
      </c>
      <c r="H1113" s="13" t="str">
        <f t="shared" si="53"/>
        <v>Slightly Over</v>
      </c>
    </row>
    <row r="1114" spans="1:8" x14ac:dyDescent="0.25">
      <c r="A1114" s="11">
        <v>45809</v>
      </c>
      <c r="B1114" s="10" t="s">
        <v>1818</v>
      </c>
      <c r="C1114" s="10" t="s">
        <v>1775</v>
      </c>
      <c r="D1114" s="12">
        <v>40689.449999999997</v>
      </c>
      <c r="E1114" s="12">
        <v>39055</v>
      </c>
      <c r="F1114" s="12">
        <f t="shared" si="51"/>
        <v>-1634.4499999999971</v>
      </c>
      <c r="G1114" s="27">
        <f t="shared" si="52"/>
        <v>-4.0168888987194402E-2</v>
      </c>
      <c r="H1114" s="10" t="str">
        <f t="shared" si="53"/>
        <v>Under Budget</v>
      </c>
    </row>
    <row r="1115" spans="1:8" x14ac:dyDescent="0.25">
      <c r="A1115" s="14">
        <v>45809</v>
      </c>
      <c r="B1115" s="13" t="s">
        <v>1786</v>
      </c>
      <c r="C1115" s="13" t="s">
        <v>1789</v>
      </c>
      <c r="D1115" s="15">
        <v>8674.91</v>
      </c>
      <c r="E1115" s="15">
        <v>8653.17</v>
      </c>
      <c r="F1115" s="15">
        <f t="shared" si="51"/>
        <v>-21.739999999999782</v>
      </c>
      <c r="G1115" s="28">
        <f t="shared" si="52"/>
        <v>-2.5060778728539872E-3</v>
      </c>
      <c r="H1115" s="13" t="str">
        <f t="shared" si="53"/>
        <v>Under Budget</v>
      </c>
    </row>
    <row r="1116" spans="1:8" x14ac:dyDescent="0.25">
      <c r="A1116" s="11">
        <v>45809</v>
      </c>
      <c r="B1116" s="10" t="s">
        <v>1792</v>
      </c>
      <c r="C1116" s="10" t="s">
        <v>1775</v>
      </c>
      <c r="D1116" s="12">
        <v>87383.85</v>
      </c>
      <c r="E1116" s="12">
        <v>80558.5</v>
      </c>
      <c r="F1116" s="12">
        <f t="shared" si="51"/>
        <v>-6825.3500000000058</v>
      </c>
      <c r="G1116" s="27">
        <f t="shared" si="52"/>
        <v>-7.8107682369225037E-2</v>
      </c>
      <c r="H1116" s="10" t="str">
        <f t="shared" si="53"/>
        <v>Under Budget</v>
      </c>
    </row>
    <row r="1117" spans="1:8" x14ac:dyDescent="0.25">
      <c r="A1117" s="14">
        <v>45809</v>
      </c>
      <c r="B1117" s="13" t="s">
        <v>1792</v>
      </c>
      <c r="C1117" s="13" t="s">
        <v>1783</v>
      </c>
      <c r="D1117" s="15">
        <v>13435.95</v>
      </c>
      <c r="E1117" s="15">
        <v>13346.53</v>
      </c>
      <c r="F1117" s="15">
        <f t="shared" si="51"/>
        <v>-89.420000000000073</v>
      </c>
      <c r="G1117" s="28">
        <f t="shared" si="52"/>
        <v>-6.6552793066363058E-3</v>
      </c>
      <c r="H1117" s="13" t="str">
        <f t="shared" si="53"/>
        <v>Under Budget</v>
      </c>
    </row>
    <row r="1118" spans="1:8" x14ac:dyDescent="0.25">
      <c r="A1118" s="11">
        <v>45809</v>
      </c>
      <c r="B1118" s="10" t="s">
        <v>1862</v>
      </c>
      <c r="C1118" s="10" t="s">
        <v>1780</v>
      </c>
      <c r="D1118" s="12">
        <v>5012.67</v>
      </c>
      <c r="E1118" s="12">
        <v>4538.17</v>
      </c>
      <c r="F1118" s="12">
        <f t="shared" si="51"/>
        <v>-474.5</v>
      </c>
      <c r="G1118" s="27">
        <f t="shared" si="52"/>
        <v>-9.4660131227469593E-2</v>
      </c>
      <c r="H1118" s="10" t="str">
        <f t="shared" si="53"/>
        <v>Under Budget</v>
      </c>
    </row>
    <row r="1119" spans="1:8" x14ac:dyDescent="0.25">
      <c r="A1119" s="14">
        <v>45809</v>
      </c>
      <c r="B1119" s="13" t="s">
        <v>1774</v>
      </c>
      <c r="C1119" s="13" t="s">
        <v>1786</v>
      </c>
      <c r="D1119" s="15">
        <v>19824.29</v>
      </c>
      <c r="E1119" s="15">
        <v>18053.21</v>
      </c>
      <c r="F1119" s="15">
        <f t="shared" si="51"/>
        <v>-1771.0800000000017</v>
      </c>
      <c r="G1119" s="28">
        <f t="shared" si="52"/>
        <v>-8.9338886789892685E-2</v>
      </c>
      <c r="H1119" s="13" t="str">
        <f t="shared" si="53"/>
        <v>Under Budget</v>
      </c>
    </row>
    <row r="1120" spans="1:8" x14ac:dyDescent="0.25">
      <c r="A1120" s="11">
        <v>45809</v>
      </c>
      <c r="B1120" s="10" t="s">
        <v>1786</v>
      </c>
      <c r="C1120" s="10" t="s">
        <v>1797</v>
      </c>
      <c r="D1120" s="12">
        <v>3622.79</v>
      </c>
      <c r="E1120" s="12">
        <v>3850.9</v>
      </c>
      <c r="F1120" s="12">
        <f t="shared" si="51"/>
        <v>228.11000000000013</v>
      </c>
      <c r="G1120" s="27">
        <f t="shared" si="52"/>
        <v>6.2965283662591576E-2</v>
      </c>
      <c r="H1120" s="10" t="str">
        <f t="shared" si="53"/>
        <v>Slightly Over</v>
      </c>
    </row>
    <row r="1121" spans="1:8" x14ac:dyDescent="0.25">
      <c r="A1121" s="14">
        <v>45809</v>
      </c>
      <c r="B1121" s="13" t="s">
        <v>1862</v>
      </c>
      <c r="C1121" s="13" t="s">
        <v>1778</v>
      </c>
      <c r="D1121" s="15">
        <v>8148.62</v>
      </c>
      <c r="E1121" s="15">
        <v>7753.53</v>
      </c>
      <c r="F1121" s="15">
        <f t="shared" si="51"/>
        <v>-395.09000000000015</v>
      </c>
      <c r="G1121" s="28">
        <f t="shared" si="52"/>
        <v>-4.8485510429986937E-2</v>
      </c>
      <c r="H1121" s="13" t="str">
        <f t="shared" si="53"/>
        <v>Under Budget</v>
      </c>
    </row>
    <row r="1122" spans="1:8" x14ac:dyDescent="0.25">
      <c r="A1122" s="11">
        <v>45809</v>
      </c>
      <c r="B1122" s="10" t="s">
        <v>1786</v>
      </c>
      <c r="C1122" s="10" t="s">
        <v>1795</v>
      </c>
      <c r="D1122" s="12">
        <v>3825.88</v>
      </c>
      <c r="E1122" s="12">
        <v>4039.07</v>
      </c>
      <c r="F1122" s="12">
        <f t="shared" si="51"/>
        <v>213.19000000000005</v>
      </c>
      <c r="G1122" s="27">
        <f t="shared" si="52"/>
        <v>5.5723127751001092E-2</v>
      </c>
      <c r="H1122" s="10" t="str">
        <f t="shared" si="53"/>
        <v>Slightly Over</v>
      </c>
    </row>
    <row r="1123" spans="1:8" x14ac:dyDescent="0.25">
      <c r="A1123" s="14">
        <v>45809</v>
      </c>
      <c r="B1123" s="13" t="s">
        <v>1786</v>
      </c>
      <c r="C1123" s="13" t="s">
        <v>1780</v>
      </c>
      <c r="D1123" s="15">
        <v>9047.23</v>
      </c>
      <c r="E1123" s="15">
        <v>8368.33</v>
      </c>
      <c r="F1123" s="15">
        <f t="shared" si="51"/>
        <v>-678.89999999999964</v>
      </c>
      <c r="G1123" s="28">
        <f t="shared" si="52"/>
        <v>-7.5039542489800715E-2</v>
      </c>
      <c r="H1123" s="13" t="str">
        <f t="shared" si="53"/>
        <v>Under Budget</v>
      </c>
    </row>
    <row r="1124" spans="1:8" x14ac:dyDescent="0.25">
      <c r="A1124" s="11">
        <v>45809</v>
      </c>
      <c r="B1124" s="10" t="s">
        <v>1774</v>
      </c>
      <c r="C1124" s="10" t="s">
        <v>1780</v>
      </c>
      <c r="D1124" s="12">
        <v>11045.73</v>
      </c>
      <c r="E1124" s="12">
        <v>10622.33</v>
      </c>
      <c r="F1124" s="12">
        <f t="shared" si="51"/>
        <v>-423.39999999999964</v>
      </c>
      <c r="G1124" s="27">
        <f t="shared" si="52"/>
        <v>-3.8331554365352009E-2</v>
      </c>
      <c r="H1124" s="10" t="str">
        <f t="shared" si="53"/>
        <v>Under Budget</v>
      </c>
    </row>
    <row r="1125" spans="1:8" x14ac:dyDescent="0.25">
      <c r="A1125" s="14">
        <v>45809</v>
      </c>
      <c r="B1125" s="13" t="s">
        <v>1786</v>
      </c>
      <c r="C1125" s="13" t="s">
        <v>1786</v>
      </c>
      <c r="D1125" s="15">
        <v>12342.54</v>
      </c>
      <c r="E1125" s="15">
        <v>12794.1</v>
      </c>
      <c r="F1125" s="15">
        <f t="shared" si="51"/>
        <v>451.55999999999949</v>
      </c>
      <c r="G1125" s="28">
        <f t="shared" si="52"/>
        <v>3.6585662270488851E-2</v>
      </c>
      <c r="H1125" s="13" t="str">
        <f t="shared" si="53"/>
        <v>Within Budget</v>
      </c>
    </row>
    <row r="1126" spans="1:8" x14ac:dyDescent="0.25">
      <c r="A1126" s="11">
        <v>45809</v>
      </c>
      <c r="B1126" s="10" t="s">
        <v>1862</v>
      </c>
      <c r="C1126" s="10" t="s">
        <v>1789</v>
      </c>
      <c r="D1126" s="12">
        <v>3822.02</v>
      </c>
      <c r="E1126" s="12">
        <v>4002.92</v>
      </c>
      <c r="F1126" s="12">
        <f t="shared" si="51"/>
        <v>180.90000000000009</v>
      </c>
      <c r="G1126" s="27">
        <f t="shared" si="52"/>
        <v>4.733099251181315E-2</v>
      </c>
      <c r="H1126" s="10" t="str">
        <f t="shared" si="53"/>
        <v>Within Budget</v>
      </c>
    </row>
    <row r="1127" spans="1:8" x14ac:dyDescent="0.25">
      <c r="A1127" s="14">
        <v>45809</v>
      </c>
      <c r="B1127" s="13" t="s">
        <v>1877</v>
      </c>
      <c r="C1127" s="13" t="s">
        <v>1797</v>
      </c>
      <c r="D1127" s="15">
        <v>4072.07</v>
      </c>
      <c r="E1127" s="15">
        <v>4094.56</v>
      </c>
      <c r="F1127" s="15">
        <f t="shared" si="51"/>
        <v>22.489999999999782</v>
      </c>
      <c r="G1127" s="28">
        <f t="shared" si="52"/>
        <v>5.522989536034445E-3</v>
      </c>
      <c r="H1127" s="13" t="str">
        <f t="shared" si="53"/>
        <v>Within Budget</v>
      </c>
    </row>
    <row r="1128" spans="1:8" x14ac:dyDescent="0.25">
      <c r="A1128" s="11">
        <v>45809</v>
      </c>
      <c r="B1128" s="10" t="s">
        <v>1877</v>
      </c>
      <c r="C1128" s="10" t="s">
        <v>1783</v>
      </c>
      <c r="D1128" s="12">
        <v>9732.2099999999991</v>
      </c>
      <c r="E1128" s="12">
        <v>9043.4699999999993</v>
      </c>
      <c r="F1128" s="12">
        <f t="shared" si="51"/>
        <v>-688.73999999999978</v>
      </c>
      <c r="G1128" s="27">
        <f t="shared" si="52"/>
        <v>-7.0769126436852459E-2</v>
      </c>
      <c r="H1128" s="10" t="str">
        <f t="shared" si="53"/>
        <v>Under Budget</v>
      </c>
    </row>
    <row r="1129" spans="1:8" x14ac:dyDescent="0.25">
      <c r="A1129" s="14">
        <v>45809</v>
      </c>
      <c r="B1129" s="13" t="s">
        <v>1862</v>
      </c>
      <c r="C1129" s="13" t="s">
        <v>1797</v>
      </c>
      <c r="D1129" s="15">
        <v>2454.17</v>
      </c>
      <c r="E1129" s="15">
        <v>2282.62</v>
      </c>
      <c r="F1129" s="15">
        <f t="shared" si="51"/>
        <v>-171.55000000000018</v>
      </c>
      <c r="G1129" s="28">
        <f t="shared" si="52"/>
        <v>-6.9901433071058713E-2</v>
      </c>
      <c r="H1129" s="13" t="str">
        <f t="shared" si="53"/>
        <v>Under Budget</v>
      </c>
    </row>
    <row r="1130" spans="1:8" x14ac:dyDescent="0.25">
      <c r="A1130" s="11">
        <v>45809</v>
      </c>
      <c r="B1130" s="10" t="s">
        <v>1799</v>
      </c>
      <c r="C1130" s="10" t="s">
        <v>1789</v>
      </c>
      <c r="D1130" s="12">
        <v>4022.4</v>
      </c>
      <c r="E1130" s="12">
        <v>4433.16</v>
      </c>
      <c r="F1130" s="12">
        <f t="shared" si="51"/>
        <v>410.75999999999976</v>
      </c>
      <c r="G1130" s="27">
        <f t="shared" si="52"/>
        <v>0.10211813842482094</v>
      </c>
      <c r="H1130" s="10" t="str">
        <f t="shared" si="53"/>
        <v>Slightly Over</v>
      </c>
    </row>
    <row r="1131" spans="1:8" x14ac:dyDescent="0.25">
      <c r="A1131" s="14">
        <v>45809</v>
      </c>
      <c r="B1131" s="13" t="s">
        <v>1774</v>
      </c>
      <c r="C1131" s="13" t="s">
        <v>1783</v>
      </c>
      <c r="D1131" s="15">
        <v>18877.68</v>
      </c>
      <c r="E1131" s="15">
        <v>19531.939999999999</v>
      </c>
      <c r="F1131" s="15">
        <f t="shared" si="51"/>
        <v>654.2599999999984</v>
      </c>
      <c r="G1131" s="28">
        <f t="shared" si="52"/>
        <v>3.4657860499807097E-2</v>
      </c>
      <c r="H1131" s="13" t="str">
        <f t="shared" si="53"/>
        <v>Within Budget</v>
      </c>
    </row>
    <row r="1132" spans="1:8" x14ac:dyDescent="0.25">
      <c r="A1132" s="11">
        <v>45809</v>
      </c>
      <c r="B1132" s="10" t="s">
        <v>1792</v>
      </c>
      <c r="C1132" s="10" t="s">
        <v>1789</v>
      </c>
      <c r="D1132" s="12">
        <v>8192.7999999999993</v>
      </c>
      <c r="E1132" s="12">
        <v>8250.33</v>
      </c>
      <c r="F1132" s="12">
        <f t="shared" si="51"/>
        <v>57.530000000000655</v>
      </c>
      <c r="G1132" s="27">
        <f t="shared" si="52"/>
        <v>7.0220193340494895E-3</v>
      </c>
      <c r="H1132" s="10" t="str">
        <f t="shared" si="53"/>
        <v>Within Budget</v>
      </c>
    </row>
    <row r="1133" spans="1:8" x14ac:dyDescent="0.25">
      <c r="A1133" s="14">
        <v>45809</v>
      </c>
      <c r="B1133" s="13" t="s">
        <v>1818</v>
      </c>
      <c r="C1133" s="13" t="s">
        <v>1792</v>
      </c>
      <c r="D1133" s="15">
        <v>7437.06</v>
      </c>
      <c r="E1133" s="15">
        <v>7228.67</v>
      </c>
      <c r="F1133" s="15">
        <f t="shared" si="51"/>
        <v>-208.39000000000033</v>
      </c>
      <c r="G1133" s="28">
        <f t="shared" si="52"/>
        <v>-2.8020481211661639E-2</v>
      </c>
      <c r="H1133" s="13" t="str">
        <f t="shared" si="53"/>
        <v>Under Budget</v>
      </c>
    </row>
    <row r="1134" spans="1:8" x14ac:dyDescent="0.25">
      <c r="A1134" s="11">
        <v>45809</v>
      </c>
      <c r="B1134" s="10" t="s">
        <v>1818</v>
      </c>
      <c r="C1134" s="10" t="s">
        <v>1780</v>
      </c>
      <c r="D1134" s="12">
        <v>3247.04</v>
      </c>
      <c r="E1134" s="12">
        <v>3480.6</v>
      </c>
      <c r="F1134" s="12">
        <f t="shared" si="51"/>
        <v>233.55999999999995</v>
      </c>
      <c r="G1134" s="27">
        <f t="shared" si="52"/>
        <v>7.1930127131171764E-2</v>
      </c>
      <c r="H1134" s="10" t="str">
        <f t="shared" si="53"/>
        <v>Slightly Over</v>
      </c>
    </row>
    <row r="1135" spans="1:8" x14ac:dyDescent="0.25">
      <c r="A1135" s="14">
        <v>45809</v>
      </c>
      <c r="B1135" s="13" t="s">
        <v>1818</v>
      </c>
      <c r="C1135" s="13" t="s">
        <v>1783</v>
      </c>
      <c r="D1135" s="15">
        <v>5312.73</v>
      </c>
      <c r="E1135" s="15">
        <v>5455.88</v>
      </c>
      <c r="F1135" s="15">
        <f t="shared" si="51"/>
        <v>143.15000000000055</v>
      </c>
      <c r="G1135" s="28">
        <f t="shared" si="52"/>
        <v>2.6944715805245243E-2</v>
      </c>
      <c r="H1135" s="13" t="str">
        <f t="shared" si="53"/>
        <v>Within Budget</v>
      </c>
    </row>
    <row r="1136" spans="1:8" x14ac:dyDescent="0.25">
      <c r="A1136" s="11">
        <v>45839</v>
      </c>
      <c r="B1136" s="10" t="s">
        <v>1786</v>
      </c>
      <c r="C1136" s="10" t="s">
        <v>1789</v>
      </c>
      <c r="D1136" s="12">
        <v>7352.1</v>
      </c>
      <c r="E1136" s="12">
        <v>6715.28</v>
      </c>
      <c r="F1136" s="12">
        <f t="shared" si="51"/>
        <v>-636.82000000000062</v>
      </c>
      <c r="G1136" s="27">
        <f t="shared" si="52"/>
        <v>-8.661742903388156E-2</v>
      </c>
      <c r="H1136" s="10" t="str">
        <f t="shared" si="53"/>
        <v>Under Budget</v>
      </c>
    </row>
    <row r="1137" spans="1:8" x14ac:dyDescent="0.25">
      <c r="A1137" s="14">
        <v>45839</v>
      </c>
      <c r="B1137" s="13" t="s">
        <v>1818</v>
      </c>
      <c r="C1137" s="13" t="s">
        <v>1775</v>
      </c>
      <c r="D1137" s="15">
        <v>30993.75</v>
      </c>
      <c r="E1137" s="15">
        <v>30844.45</v>
      </c>
      <c r="F1137" s="15">
        <f t="shared" si="51"/>
        <v>-149.29999999999927</v>
      </c>
      <c r="G1137" s="28">
        <f t="shared" si="52"/>
        <v>-4.8171002218188918E-3</v>
      </c>
      <c r="H1137" s="13" t="str">
        <f t="shared" si="53"/>
        <v>Under Budget</v>
      </c>
    </row>
    <row r="1138" spans="1:8" x14ac:dyDescent="0.25">
      <c r="A1138" s="11">
        <v>45839</v>
      </c>
      <c r="B1138" s="10" t="s">
        <v>1799</v>
      </c>
      <c r="C1138" s="10" t="s">
        <v>1778</v>
      </c>
      <c r="D1138" s="12">
        <v>9252.27</v>
      </c>
      <c r="E1138" s="12">
        <v>8698.1</v>
      </c>
      <c r="F1138" s="12">
        <f t="shared" si="51"/>
        <v>-554.17000000000007</v>
      </c>
      <c r="G1138" s="27">
        <f t="shared" si="52"/>
        <v>-5.9895571573246355E-2</v>
      </c>
      <c r="H1138" s="10" t="str">
        <f t="shared" si="53"/>
        <v>Under Budget</v>
      </c>
    </row>
    <row r="1139" spans="1:8" x14ac:dyDescent="0.25">
      <c r="A1139" s="14">
        <v>45839</v>
      </c>
      <c r="B1139" s="13" t="s">
        <v>1774</v>
      </c>
      <c r="C1139" s="13" t="s">
        <v>1780</v>
      </c>
      <c r="D1139" s="15">
        <v>11648.94</v>
      </c>
      <c r="E1139" s="15">
        <v>11571.97</v>
      </c>
      <c r="F1139" s="15">
        <f t="shared" si="51"/>
        <v>-76.970000000001164</v>
      </c>
      <c r="G1139" s="28">
        <f t="shared" si="52"/>
        <v>-6.607468147316508E-3</v>
      </c>
      <c r="H1139" s="13" t="str">
        <f t="shared" si="53"/>
        <v>Under Budget</v>
      </c>
    </row>
    <row r="1140" spans="1:8" x14ac:dyDescent="0.25">
      <c r="A1140" s="11">
        <v>45839</v>
      </c>
      <c r="B1140" s="10" t="s">
        <v>1862</v>
      </c>
      <c r="C1140" s="10" t="s">
        <v>1792</v>
      </c>
      <c r="D1140" s="12">
        <v>5667.06</v>
      </c>
      <c r="E1140" s="12">
        <v>5654.08</v>
      </c>
      <c r="F1140" s="12">
        <f t="shared" si="51"/>
        <v>-12.980000000000473</v>
      </c>
      <c r="G1140" s="27">
        <f t="shared" si="52"/>
        <v>-2.2904292525578471E-3</v>
      </c>
      <c r="H1140" s="10" t="str">
        <f t="shared" si="53"/>
        <v>Under Budget</v>
      </c>
    </row>
    <row r="1141" spans="1:8" x14ac:dyDescent="0.25">
      <c r="A1141" s="14">
        <v>45839</v>
      </c>
      <c r="B1141" s="13" t="s">
        <v>1786</v>
      </c>
      <c r="C1141" s="13" t="s">
        <v>1775</v>
      </c>
      <c r="D1141" s="15">
        <v>65382.400000000001</v>
      </c>
      <c r="E1141" s="15">
        <v>63060.29</v>
      </c>
      <c r="F1141" s="15">
        <f t="shared" si="51"/>
        <v>-2322.1100000000006</v>
      </c>
      <c r="G1141" s="28">
        <f t="shared" si="52"/>
        <v>-3.5515826889193428E-2</v>
      </c>
      <c r="H1141" s="13" t="str">
        <f t="shared" si="53"/>
        <v>Under Budget</v>
      </c>
    </row>
    <row r="1142" spans="1:8" x14ac:dyDescent="0.25">
      <c r="A1142" s="11">
        <v>45839</v>
      </c>
      <c r="B1142" s="10" t="s">
        <v>1877</v>
      </c>
      <c r="C1142" s="10" t="s">
        <v>1783</v>
      </c>
      <c r="D1142" s="12">
        <v>11292.33</v>
      </c>
      <c r="E1142" s="12">
        <v>11798.98</v>
      </c>
      <c r="F1142" s="12">
        <f t="shared" si="51"/>
        <v>506.64999999999964</v>
      </c>
      <c r="G1142" s="27">
        <f t="shared" si="52"/>
        <v>4.4866736979879231E-2</v>
      </c>
      <c r="H1142" s="10" t="str">
        <f t="shared" si="53"/>
        <v>Within Budget</v>
      </c>
    </row>
    <row r="1143" spans="1:8" x14ac:dyDescent="0.25">
      <c r="A1143" s="14">
        <v>45839</v>
      </c>
      <c r="B1143" s="13" t="s">
        <v>1786</v>
      </c>
      <c r="C1143" s="13" t="s">
        <v>1792</v>
      </c>
      <c r="D1143" s="15">
        <v>10398.16</v>
      </c>
      <c r="E1143" s="15">
        <v>10888.62</v>
      </c>
      <c r="F1143" s="15">
        <f t="shared" si="51"/>
        <v>490.46000000000095</v>
      </c>
      <c r="G1143" s="28">
        <f t="shared" si="52"/>
        <v>4.7167960485316726E-2</v>
      </c>
      <c r="H1143" s="13" t="str">
        <f t="shared" si="53"/>
        <v>Within Budget</v>
      </c>
    </row>
    <row r="1144" spans="1:8" x14ac:dyDescent="0.25">
      <c r="A1144" s="11">
        <v>45839</v>
      </c>
      <c r="B1144" s="10" t="s">
        <v>1792</v>
      </c>
      <c r="C1144" s="10" t="s">
        <v>1783</v>
      </c>
      <c r="D1144" s="12">
        <v>15333.27</v>
      </c>
      <c r="E1144" s="12">
        <v>13719.11</v>
      </c>
      <c r="F1144" s="12">
        <f t="shared" si="51"/>
        <v>-1614.1599999999999</v>
      </c>
      <c r="G1144" s="27">
        <f t="shared" si="52"/>
        <v>-0.10527173916587915</v>
      </c>
      <c r="H1144" s="10" t="str">
        <f t="shared" si="53"/>
        <v>Under Budget</v>
      </c>
    </row>
    <row r="1145" spans="1:8" x14ac:dyDescent="0.25">
      <c r="A1145" s="14">
        <v>45839</v>
      </c>
      <c r="B1145" s="13" t="s">
        <v>1862</v>
      </c>
      <c r="C1145" s="13" t="s">
        <v>1775</v>
      </c>
      <c r="D1145" s="15">
        <v>38555.96</v>
      </c>
      <c r="E1145" s="15">
        <v>35334.25</v>
      </c>
      <c r="F1145" s="15">
        <f t="shared" si="51"/>
        <v>-3221.7099999999991</v>
      </c>
      <c r="G1145" s="28">
        <f t="shared" si="52"/>
        <v>-8.3559325199009424E-2</v>
      </c>
      <c r="H1145" s="13" t="str">
        <f t="shared" si="53"/>
        <v>Under Budget</v>
      </c>
    </row>
    <row r="1146" spans="1:8" x14ac:dyDescent="0.25">
      <c r="A1146" s="11">
        <v>45839</v>
      </c>
      <c r="B1146" s="10" t="s">
        <v>1774</v>
      </c>
      <c r="C1146" s="10" t="s">
        <v>1783</v>
      </c>
      <c r="D1146" s="12">
        <v>19465.72</v>
      </c>
      <c r="E1146" s="12">
        <v>18324.02</v>
      </c>
      <c r="F1146" s="12">
        <f t="shared" si="51"/>
        <v>-1141.7000000000007</v>
      </c>
      <c r="G1146" s="27">
        <f t="shared" si="52"/>
        <v>-5.8651824849016661E-2</v>
      </c>
      <c r="H1146" s="10" t="str">
        <f t="shared" si="53"/>
        <v>Under Budget</v>
      </c>
    </row>
    <row r="1147" spans="1:8" x14ac:dyDescent="0.25">
      <c r="A1147" s="14">
        <v>45839</v>
      </c>
      <c r="B1147" s="13" t="s">
        <v>1862</v>
      </c>
      <c r="C1147" s="13" t="s">
        <v>1778</v>
      </c>
      <c r="D1147" s="15">
        <v>8523.74</v>
      </c>
      <c r="E1147" s="15">
        <v>9163.6200000000008</v>
      </c>
      <c r="F1147" s="15">
        <f t="shared" si="51"/>
        <v>639.88000000000102</v>
      </c>
      <c r="G1147" s="28">
        <f t="shared" si="52"/>
        <v>7.5070332975900378E-2</v>
      </c>
      <c r="H1147" s="13" t="str">
        <f t="shared" si="53"/>
        <v>Slightly Over</v>
      </c>
    </row>
    <row r="1148" spans="1:8" x14ac:dyDescent="0.25">
      <c r="A1148" s="11">
        <v>45839</v>
      </c>
      <c r="B1148" s="10" t="s">
        <v>1799</v>
      </c>
      <c r="C1148" s="10" t="s">
        <v>1783</v>
      </c>
      <c r="D1148" s="12">
        <v>6218.93</v>
      </c>
      <c r="E1148" s="12">
        <v>6859.24</v>
      </c>
      <c r="F1148" s="12">
        <f t="shared" si="51"/>
        <v>640.30999999999949</v>
      </c>
      <c r="G1148" s="27">
        <f t="shared" si="52"/>
        <v>0.10296144192007298</v>
      </c>
      <c r="H1148" s="10" t="str">
        <f t="shared" si="53"/>
        <v>Slightly Over</v>
      </c>
    </row>
    <row r="1149" spans="1:8" x14ac:dyDescent="0.25">
      <c r="A1149" s="14">
        <v>45839</v>
      </c>
      <c r="B1149" s="13" t="s">
        <v>1774</v>
      </c>
      <c r="C1149" s="13" t="s">
        <v>1775</v>
      </c>
      <c r="D1149" s="15">
        <v>82507.820000000007</v>
      </c>
      <c r="E1149" s="15">
        <v>87906.07</v>
      </c>
      <c r="F1149" s="15">
        <f t="shared" si="51"/>
        <v>5398.25</v>
      </c>
      <c r="G1149" s="28">
        <f t="shared" si="52"/>
        <v>6.5427131634310534E-2</v>
      </c>
      <c r="H1149" s="13" t="str">
        <f t="shared" si="53"/>
        <v>Slightly Over</v>
      </c>
    </row>
    <row r="1150" spans="1:8" x14ac:dyDescent="0.25">
      <c r="A1150" s="11">
        <v>45839</v>
      </c>
      <c r="B1150" s="10" t="s">
        <v>1786</v>
      </c>
      <c r="C1150" s="10" t="s">
        <v>1778</v>
      </c>
      <c r="D1150" s="12">
        <v>13552.11</v>
      </c>
      <c r="E1150" s="12">
        <v>12249.93</v>
      </c>
      <c r="F1150" s="12">
        <f t="shared" si="51"/>
        <v>-1302.1800000000003</v>
      </c>
      <c r="G1150" s="27">
        <f t="shared" si="52"/>
        <v>-9.6086882411668753E-2</v>
      </c>
      <c r="H1150" s="10" t="str">
        <f t="shared" si="53"/>
        <v>Under Budget</v>
      </c>
    </row>
    <row r="1151" spans="1:8" x14ac:dyDescent="0.25">
      <c r="A1151" s="14">
        <v>45839</v>
      </c>
      <c r="B1151" s="13" t="s">
        <v>1877</v>
      </c>
      <c r="C1151" s="13" t="s">
        <v>1778</v>
      </c>
      <c r="D1151" s="15">
        <v>15732.82</v>
      </c>
      <c r="E1151" s="15">
        <v>14573.04</v>
      </c>
      <c r="F1151" s="15">
        <f t="shared" si="51"/>
        <v>-1159.7799999999988</v>
      </c>
      <c r="G1151" s="28">
        <f t="shared" si="52"/>
        <v>-7.371723568946946E-2</v>
      </c>
      <c r="H1151" s="13" t="str">
        <f t="shared" si="53"/>
        <v>Under Budget</v>
      </c>
    </row>
    <row r="1152" spans="1:8" x14ac:dyDescent="0.25">
      <c r="A1152" s="11">
        <v>45839</v>
      </c>
      <c r="B1152" s="10" t="s">
        <v>1818</v>
      </c>
      <c r="C1152" s="10" t="s">
        <v>1797</v>
      </c>
      <c r="D1152" s="12">
        <v>2232.34</v>
      </c>
      <c r="E1152" s="12">
        <v>2199.1799999999998</v>
      </c>
      <c r="F1152" s="12">
        <f t="shared" si="51"/>
        <v>-33.160000000000309</v>
      </c>
      <c r="G1152" s="27">
        <f t="shared" si="52"/>
        <v>-1.4854368062212882E-2</v>
      </c>
      <c r="H1152" s="10" t="str">
        <f t="shared" si="53"/>
        <v>Under Budget</v>
      </c>
    </row>
    <row r="1153" spans="1:8" x14ac:dyDescent="0.25">
      <c r="A1153" s="14">
        <v>45839</v>
      </c>
      <c r="B1153" s="13" t="s">
        <v>1774</v>
      </c>
      <c r="C1153" s="13" t="s">
        <v>1795</v>
      </c>
      <c r="D1153" s="15">
        <v>6226.86</v>
      </c>
      <c r="E1153" s="15">
        <v>5594</v>
      </c>
      <c r="F1153" s="15">
        <f t="shared" si="51"/>
        <v>-632.85999999999967</v>
      </c>
      <c r="G1153" s="28">
        <f t="shared" si="52"/>
        <v>-0.10163388931178792</v>
      </c>
      <c r="H1153" s="13" t="str">
        <f t="shared" si="53"/>
        <v>Under Budget</v>
      </c>
    </row>
    <row r="1154" spans="1:8" x14ac:dyDescent="0.25">
      <c r="A1154" s="11">
        <v>45839</v>
      </c>
      <c r="B1154" s="10" t="s">
        <v>1786</v>
      </c>
      <c r="C1154" s="10" t="s">
        <v>1786</v>
      </c>
      <c r="D1154" s="12">
        <v>16812.71</v>
      </c>
      <c r="E1154" s="12">
        <v>25048.04</v>
      </c>
      <c r="F1154" s="12">
        <f t="shared" ref="F1154:F1217" si="54">E1154-D1154</f>
        <v>8235.3300000000017</v>
      </c>
      <c r="G1154" s="27">
        <f t="shared" ref="G1154:G1217" si="55">IFERROR(F1154/D1154,0)</f>
        <v>0.48982763635368731</v>
      </c>
      <c r="H1154" s="10" t="str">
        <f t="shared" ref="H1154:H1217" si="56">IF(G1154&lt;=0,"Under Budget",IF(G1154&lt;=5%,"Within Budget",IF(G1154&lt;=15%,"Slightly Over","Significantly Over")))</f>
        <v>Significantly Over</v>
      </c>
    </row>
    <row r="1155" spans="1:8" x14ac:dyDescent="0.25">
      <c r="A1155" s="14">
        <v>45839</v>
      </c>
      <c r="B1155" s="13" t="s">
        <v>1792</v>
      </c>
      <c r="C1155" s="13" t="s">
        <v>1786</v>
      </c>
      <c r="D1155" s="15">
        <v>14760.46</v>
      </c>
      <c r="E1155" s="15">
        <v>14428.42</v>
      </c>
      <c r="F1155" s="15">
        <f t="shared" si="54"/>
        <v>-332.03999999999905</v>
      </c>
      <c r="G1155" s="28">
        <f t="shared" si="55"/>
        <v>-2.249523388837469E-2</v>
      </c>
      <c r="H1155" s="13" t="str">
        <f t="shared" si="56"/>
        <v>Under Budget</v>
      </c>
    </row>
    <row r="1156" spans="1:8" x14ac:dyDescent="0.25">
      <c r="A1156" s="11">
        <v>45839</v>
      </c>
      <c r="B1156" s="10" t="s">
        <v>1818</v>
      </c>
      <c r="C1156" s="10" t="s">
        <v>1792</v>
      </c>
      <c r="D1156" s="12">
        <v>6270.52</v>
      </c>
      <c r="E1156" s="12">
        <v>6668.58</v>
      </c>
      <c r="F1156" s="12">
        <f t="shared" si="54"/>
        <v>398.05999999999949</v>
      </c>
      <c r="G1156" s="27">
        <f t="shared" si="55"/>
        <v>6.348117859443865E-2</v>
      </c>
      <c r="H1156" s="10" t="str">
        <f t="shared" si="56"/>
        <v>Slightly Over</v>
      </c>
    </row>
    <row r="1157" spans="1:8" x14ac:dyDescent="0.25">
      <c r="A1157" s="14">
        <v>45839</v>
      </c>
      <c r="B1157" s="13" t="s">
        <v>1786</v>
      </c>
      <c r="C1157" s="13" t="s">
        <v>1780</v>
      </c>
      <c r="D1157" s="15">
        <v>7735.71</v>
      </c>
      <c r="E1157" s="15">
        <v>7996.27</v>
      </c>
      <c r="F1157" s="15">
        <f t="shared" si="54"/>
        <v>260.5600000000004</v>
      </c>
      <c r="G1157" s="28">
        <f t="shared" si="55"/>
        <v>3.3682751809465505E-2</v>
      </c>
      <c r="H1157" s="13" t="str">
        <f t="shared" si="56"/>
        <v>Within Budget</v>
      </c>
    </row>
    <row r="1158" spans="1:8" x14ac:dyDescent="0.25">
      <c r="A1158" s="11">
        <v>45839</v>
      </c>
      <c r="B1158" s="10" t="s">
        <v>1792</v>
      </c>
      <c r="C1158" s="10" t="s">
        <v>1780</v>
      </c>
      <c r="D1158" s="12">
        <v>10701.46</v>
      </c>
      <c r="E1158" s="12">
        <v>9668.57</v>
      </c>
      <c r="F1158" s="12">
        <f t="shared" si="54"/>
        <v>-1032.8899999999994</v>
      </c>
      <c r="G1158" s="27">
        <f t="shared" si="55"/>
        <v>-9.6518605872469687E-2</v>
      </c>
      <c r="H1158" s="10" t="str">
        <f t="shared" si="56"/>
        <v>Under Budget</v>
      </c>
    </row>
    <row r="1159" spans="1:8" x14ac:dyDescent="0.25">
      <c r="A1159" s="14">
        <v>45839</v>
      </c>
      <c r="B1159" s="13" t="s">
        <v>1877</v>
      </c>
      <c r="C1159" s="13" t="s">
        <v>1786</v>
      </c>
      <c r="D1159" s="15">
        <v>11301.54</v>
      </c>
      <c r="E1159" s="15">
        <v>10358.68</v>
      </c>
      <c r="F1159" s="15">
        <f t="shared" si="54"/>
        <v>-942.86000000000058</v>
      </c>
      <c r="G1159" s="28">
        <f t="shared" si="55"/>
        <v>-8.3427568278305483E-2</v>
      </c>
      <c r="H1159" s="13" t="str">
        <f t="shared" si="56"/>
        <v>Under Budget</v>
      </c>
    </row>
    <row r="1160" spans="1:8" x14ac:dyDescent="0.25">
      <c r="A1160" s="11">
        <v>45839</v>
      </c>
      <c r="B1160" s="10" t="s">
        <v>1818</v>
      </c>
      <c r="C1160" s="10" t="s">
        <v>1789</v>
      </c>
      <c r="D1160" s="12">
        <v>3012.38</v>
      </c>
      <c r="E1160" s="12">
        <v>3265.82</v>
      </c>
      <c r="F1160" s="12">
        <f t="shared" si="54"/>
        <v>253.44000000000005</v>
      </c>
      <c r="G1160" s="27">
        <f t="shared" si="55"/>
        <v>8.4132811929437862E-2</v>
      </c>
      <c r="H1160" s="10" t="str">
        <f t="shared" si="56"/>
        <v>Slightly Over</v>
      </c>
    </row>
    <row r="1161" spans="1:8" x14ac:dyDescent="0.25">
      <c r="A1161" s="14">
        <v>45839</v>
      </c>
      <c r="B1161" s="13" t="s">
        <v>1774</v>
      </c>
      <c r="C1161" s="13" t="s">
        <v>1786</v>
      </c>
      <c r="D1161" s="15">
        <v>15427.81</v>
      </c>
      <c r="E1161" s="15">
        <v>16156.47</v>
      </c>
      <c r="F1161" s="15">
        <f t="shared" si="54"/>
        <v>728.65999999999985</v>
      </c>
      <c r="G1161" s="28">
        <f t="shared" si="55"/>
        <v>4.7230293865428721E-2</v>
      </c>
      <c r="H1161" s="13" t="str">
        <f t="shared" si="56"/>
        <v>Within Budget</v>
      </c>
    </row>
    <row r="1162" spans="1:8" x14ac:dyDescent="0.25">
      <c r="A1162" s="11">
        <v>45839</v>
      </c>
      <c r="B1162" s="10" t="s">
        <v>1774</v>
      </c>
      <c r="C1162" s="10" t="s">
        <v>1778</v>
      </c>
      <c r="D1162" s="12">
        <v>23804.62</v>
      </c>
      <c r="E1162" s="12">
        <v>23093.53</v>
      </c>
      <c r="F1162" s="12">
        <f t="shared" si="54"/>
        <v>-711.09000000000015</v>
      </c>
      <c r="G1162" s="27">
        <f t="shared" si="55"/>
        <v>-2.9871932423201891E-2</v>
      </c>
      <c r="H1162" s="10" t="str">
        <f t="shared" si="56"/>
        <v>Under Budget</v>
      </c>
    </row>
    <row r="1163" spans="1:8" x14ac:dyDescent="0.25">
      <c r="A1163" s="14">
        <v>45839</v>
      </c>
      <c r="B1163" s="13" t="s">
        <v>1774</v>
      </c>
      <c r="C1163" s="13" t="s">
        <v>1789</v>
      </c>
      <c r="D1163" s="15">
        <v>8690.11</v>
      </c>
      <c r="E1163" s="15">
        <v>9513.01</v>
      </c>
      <c r="F1163" s="15">
        <f t="shared" si="54"/>
        <v>822.89999999999964</v>
      </c>
      <c r="G1163" s="28">
        <f t="shared" si="55"/>
        <v>9.4693853127290631E-2</v>
      </c>
      <c r="H1163" s="13" t="str">
        <f t="shared" si="56"/>
        <v>Slightly Over</v>
      </c>
    </row>
    <row r="1164" spans="1:8" x14ac:dyDescent="0.25">
      <c r="A1164" s="11">
        <v>45839</v>
      </c>
      <c r="B1164" s="10" t="s">
        <v>1818</v>
      </c>
      <c r="C1164" s="10" t="s">
        <v>1778</v>
      </c>
      <c r="D1164" s="12">
        <v>7493.06</v>
      </c>
      <c r="E1164" s="12">
        <v>7338.81</v>
      </c>
      <c r="F1164" s="12">
        <f t="shared" si="54"/>
        <v>-154.25</v>
      </c>
      <c r="G1164" s="27">
        <f t="shared" si="55"/>
        <v>-2.0585715315238368E-2</v>
      </c>
      <c r="H1164" s="10" t="str">
        <f t="shared" si="56"/>
        <v>Under Budget</v>
      </c>
    </row>
    <row r="1165" spans="1:8" x14ac:dyDescent="0.25">
      <c r="A1165" s="14">
        <v>45839</v>
      </c>
      <c r="B1165" s="13" t="s">
        <v>1799</v>
      </c>
      <c r="C1165" s="13" t="s">
        <v>1797</v>
      </c>
      <c r="D1165" s="15">
        <v>2687.48</v>
      </c>
      <c r="E1165" s="15">
        <v>2612.79</v>
      </c>
      <c r="F1165" s="15">
        <f t="shared" si="54"/>
        <v>-74.690000000000055</v>
      </c>
      <c r="G1165" s="28">
        <f t="shared" si="55"/>
        <v>-2.7791834729932893E-2</v>
      </c>
      <c r="H1165" s="13" t="str">
        <f t="shared" si="56"/>
        <v>Under Budget</v>
      </c>
    </row>
    <row r="1166" spans="1:8" x14ac:dyDescent="0.25">
      <c r="A1166" s="11">
        <v>45839</v>
      </c>
      <c r="B1166" s="10" t="s">
        <v>1792</v>
      </c>
      <c r="C1166" s="10" t="s">
        <v>1775</v>
      </c>
      <c r="D1166" s="12">
        <v>71220.33</v>
      </c>
      <c r="E1166" s="12">
        <v>73879.03</v>
      </c>
      <c r="F1166" s="12">
        <f t="shared" si="54"/>
        <v>2658.6999999999971</v>
      </c>
      <c r="G1166" s="27">
        <f t="shared" si="55"/>
        <v>3.733063298077946E-2</v>
      </c>
      <c r="H1166" s="10" t="str">
        <f t="shared" si="56"/>
        <v>Within Budget</v>
      </c>
    </row>
    <row r="1167" spans="1:8" x14ac:dyDescent="0.25">
      <c r="A1167" s="14">
        <v>45839</v>
      </c>
      <c r="B1167" s="13" t="s">
        <v>1877</v>
      </c>
      <c r="C1167" s="13" t="s">
        <v>1795</v>
      </c>
      <c r="D1167" s="15">
        <v>4026.92</v>
      </c>
      <c r="E1167" s="15">
        <v>4175.1899999999996</v>
      </c>
      <c r="F1167" s="15">
        <f t="shared" si="54"/>
        <v>148.26999999999953</v>
      </c>
      <c r="G1167" s="28">
        <f t="shared" si="55"/>
        <v>3.6819703396143835E-2</v>
      </c>
      <c r="H1167" s="13" t="str">
        <f t="shared" si="56"/>
        <v>Within Budget</v>
      </c>
    </row>
    <row r="1168" spans="1:8" x14ac:dyDescent="0.25">
      <c r="A1168" s="11">
        <v>45839</v>
      </c>
      <c r="B1168" s="10" t="s">
        <v>1774</v>
      </c>
      <c r="C1168" s="10" t="s">
        <v>1797</v>
      </c>
      <c r="D1168" s="12">
        <v>6599.44</v>
      </c>
      <c r="E1168" s="12">
        <v>6943.87</v>
      </c>
      <c r="F1168" s="12">
        <f t="shared" si="54"/>
        <v>344.43000000000029</v>
      </c>
      <c r="G1168" s="27">
        <f t="shared" si="55"/>
        <v>5.2190791945983341E-2</v>
      </c>
      <c r="H1168" s="10" t="str">
        <f t="shared" si="56"/>
        <v>Slightly Over</v>
      </c>
    </row>
    <row r="1169" spans="1:8" x14ac:dyDescent="0.25">
      <c r="A1169" s="14">
        <v>45839</v>
      </c>
      <c r="B1169" s="13" t="s">
        <v>1818</v>
      </c>
      <c r="C1169" s="13" t="s">
        <v>1783</v>
      </c>
      <c r="D1169" s="15">
        <v>6348.45</v>
      </c>
      <c r="E1169" s="15">
        <v>5740.79</v>
      </c>
      <c r="F1169" s="15">
        <f t="shared" si="54"/>
        <v>-607.65999999999985</v>
      </c>
      <c r="G1169" s="28">
        <f t="shared" si="55"/>
        <v>-9.5717852389165844E-2</v>
      </c>
      <c r="H1169" s="13" t="str">
        <f t="shared" si="56"/>
        <v>Under Budget</v>
      </c>
    </row>
    <row r="1170" spans="1:8" x14ac:dyDescent="0.25">
      <c r="A1170" s="11">
        <v>45839</v>
      </c>
      <c r="B1170" s="10" t="s">
        <v>1818</v>
      </c>
      <c r="C1170" s="10" t="s">
        <v>1780</v>
      </c>
      <c r="D1170" s="12">
        <v>4026.76</v>
      </c>
      <c r="E1170" s="12">
        <v>4085.79</v>
      </c>
      <c r="F1170" s="12">
        <f t="shared" si="54"/>
        <v>59.029999999999745</v>
      </c>
      <c r="G1170" s="27">
        <f t="shared" si="55"/>
        <v>1.4659428423844417E-2</v>
      </c>
      <c r="H1170" s="10" t="str">
        <f t="shared" si="56"/>
        <v>Within Budget</v>
      </c>
    </row>
    <row r="1171" spans="1:8" x14ac:dyDescent="0.25">
      <c r="A1171" s="14">
        <v>45839</v>
      </c>
      <c r="B1171" s="13" t="s">
        <v>1799</v>
      </c>
      <c r="C1171" s="13" t="s">
        <v>1775</v>
      </c>
      <c r="D1171" s="15">
        <v>53754.55</v>
      </c>
      <c r="E1171" s="15">
        <v>52251.83</v>
      </c>
      <c r="F1171" s="15">
        <f t="shared" si="54"/>
        <v>-1502.7200000000012</v>
      </c>
      <c r="G1171" s="28">
        <f t="shared" si="55"/>
        <v>-2.7955214953896947E-2</v>
      </c>
      <c r="H1171" s="13" t="str">
        <f t="shared" si="56"/>
        <v>Under Budget</v>
      </c>
    </row>
    <row r="1172" spans="1:8" x14ac:dyDescent="0.25">
      <c r="A1172" s="11">
        <v>45839</v>
      </c>
      <c r="B1172" s="10" t="s">
        <v>1799</v>
      </c>
      <c r="C1172" s="10" t="s">
        <v>1780</v>
      </c>
      <c r="D1172" s="12">
        <v>4259.1499999999996</v>
      </c>
      <c r="E1172" s="12">
        <v>4407.4799999999996</v>
      </c>
      <c r="F1172" s="12">
        <f t="shared" si="54"/>
        <v>148.32999999999993</v>
      </c>
      <c r="G1172" s="27">
        <f t="shared" si="55"/>
        <v>3.4826197715506602E-2</v>
      </c>
      <c r="H1172" s="10" t="str">
        <f t="shared" si="56"/>
        <v>Within Budget</v>
      </c>
    </row>
    <row r="1173" spans="1:8" x14ac:dyDescent="0.25">
      <c r="A1173" s="14">
        <v>45839</v>
      </c>
      <c r="B1173" s="13" t="s">
        <v>1786</v>
      </c>
      <c r="C1173" s="13" t="s">
        <v>1795</v>
      </c>
      <c r="D1173" s="15">
        <v>4545.74</v>
      </c>
      <c r="E1173" s="15">
        <v>4310.45</v>
      </c>
      <c r="F1173" s="15">
        <f t="shared" si="54"/>
        <v>-235.28999999999996</v>
      </c>
      <c r="G1173" s="28">
        <f t="shared" si="55"/>
        <v>-5.1760549437495321E-2</v>
      </c>
      <c r="H1173" s="13" t="str">
        <f t="shared" si="56"/>
        <v>Under Budget</v>
      </c>
    </row>
    <row r="1174" spans="1:8" x14ac:dyDescent="0.25">
      <c r="A1174" s="11">
        <v>45839</v>
      </c>
      <c r="B1174" s="10" t="s">
        <v>1799</v>
      </c>
      <c r="C1174" s="10" t="s">
        <v>1786</v>
      </c>
      <c r="D1174" s="12">
        <v>6929.1</v>
      </c>
      <c r="E1174" s="12">
        <v>7512.71</v>
      </c>
      <c r="F1174" s="12">
        <f t="shared" si="54"/>
        <v>583.60999999999967</v>
      </c>
      <c r="G1174" s="27">
        <f t="shared" si="55"/>
        <v>8.4225945649507097E-2</v>
      </c>
      <c r="H1174" s="10" t="str">
        <f t="shared" si="56"/>
        <v>Slightly Over</v>
      </c>
    </row>
    <row r="1175" spans="1:8" x14ac:dyDescent="0.25">
      <c r="A1175" s="14">
        <v>45839</v>
      </c>
      <c r="B1175" s="13" t="s">
        <v>1786</v>
      </c>
      <c r="C1175" s="13" t="s">
        <v>1797</v>
      </c>
      <c r="D1175" s="15">
        <v>4231.8999999999996</v>
      </c>
      <c r="E1175" s="15">
        <v>4621.18</v>
      </c>
      <c r="F1175" s="15">
        <f t="shared" si="54"/>
        <v>389.28000000000065</v>
      </c>
      <c r="G1175" s="28">
        <f t="shared" si="55"/>
        <v>9.1987050733713147E-2</v>
      </c>
      <c r="H1175" s="13" t="str">
        <f t="shared" si="56"/>
        <v>Slightly Over</v>
      </c>
    </row>
    <row r="1176" spans="1:8" x14ac:dyDescent="0.25">
      <c r="A1176" s="11">
        <v>45839</v>
      </c>
      <c r="B1176" s="10" t="s">
        <v>1792</v>
      </c>
      <c r="C1176" s="10" t="s">
        <v>1797</v>
      </c>
      <c r="D1176" s="12">
        <v>5326.73</v>
      </c>
      <c r="E1176" s="12">
        <v>5007.54</v>
      </c>
      <c r="F1176" s="12">
        <f t="shared" si="54"/>
        <v>-319.1899999999996</v>
      </c>
      <c r="G1176" s="27">
        <f t="shared" si="55"/>
        <v>-5.9922316317891015E-2</v>
      </c>
      <c r="H1176" s="10" t="str">
        <f t="shared" si="56"/>
        <v>Under Budget</v>
      </c>
    </row>
    <row r="1177" spans="1:8" x14ac:dyDescent="0.25">
      <c r="A1177" s="14">
        <v>45839</v>
      </c>
      <c r="B1177" s="13" t="s">
        <v>1792</v>
      </c>
      <c r="C1177" s="13" t="s">
        <v>1789</v>
      </c>
      <c r="D1177" s="15">
        <v>10956.79</v>
      </c>
      <c r="E1177" s="15">
        <v>10337.89</v>
      </c>
      <c r="F1177" s="15">
        <f t="shared" si="54"/>
        <v>-618.90000000000146</v>
      </c>
      <c r="G1177" s="28">
        <f t="shared" si="55"/>
        <v>-5.6485521763217278E-2</v>
      </c>
      <c r="H1177" s="13" t="str">
        <f t="shared" si="56"/>
        <v>Under Budget</v>
      </c>
    </row>
    <row r="1178" spans="1:8" x14ac:dyDescent="0.25">
      <c r="A1178" s="11">
        <v>45839</v>
      </c>
      <c r="B1178" s="10" t="s">
        <v>1862</v>
      </c>
      <c r="C1178" s="10" t="s">
        <v>1797</v>
      </c>
      <c r="D1178" s="12">
        <v>2128.15</v>
      </c>
      <c r="E1178" s="12">
        <v>2220.75</v>
      </c>
      <c r="F1178" s="12">
        <f t="shared" si="54"/>
        <v>92.599999999999909</v>
      </c>
      <c r="G1178" s="27">
        <f t="shared" si="55"/>
        <v>4.3511970490801827E-2</v>
      </c>
      <c r="H1178" s="10" t="str">
        <f t="shared" si="56"/>
        <v>Within Budget</v>
      </c>
    </row>
    <row r="1179" spans="1:8" x14ac:dyDescent="0.25">
      <c r="A1179" s="14">
        <v>45839</v>
      </c>
      <c r="B1179" s="13" t="s">
        <v>1877</v>
      </c>
      <c r="C1179" s="13" t="s">
        <v>1789</v>
      </c>
      <c r="D1179" s="15">
        <v>5233.6499999999996</v>
      </c>
      <c r="E1179" s="15">
        <v>5350.78</v>
      </c>
      <c r="F1179" s="15">
        <f t="shared" si="54"/>
        <v>117.13000000000011</v>
      </c>
      <c r="G1179" s="28">
        <f t="shared" si="55"/>
        <v>2.2380174448042977E-2</v>
      </c>
      <c r="H1179" s="13" t="str">
        <f t="shared" si="56"/>
        <v>Within Budget</v>
      </c>
    </row>
    <row r="1180" spans="1:8" x14ac:dyDescent="0.25">
      <c r="A1180" s="11">
        <v>45839</v>
      </c>
      <c r="B1180" s="10" t="s">
        <v>1877</v>
      </c>
      <c r="C1180" s="10" t="s">
        <v>1780</v>
      </c>
      <c r="D1180" s="12">
        <v>8448.0499999999993</v>
      </c>
      <c r="E1180" s="12">
        <v>7606.76</v>
      </c>
      <c r="F1180" s="12">
        <f t="shared" si="54"/>
        <v>-841.28999999999905</v>
      </c>
      <c r="G1180" s="27">
        <f t="shared" si="55"/>
        <v>-9.9583927651943238E-2</v>
      </c>
      <c r="H1180" s="10" t="str">
        <f t="shared" si="56"/>
        <v>Under Budget</v>
      </c>
    </row>
    <row r="1181" spans="1:8" x14ac:dyDescent="0.25">
      <c r="A1181" s="14">
        <v>45839</v>
      </c>
      <c r="B1181" s="13" t="s">
        <v>1818</v>
      </c>
      <c r="C1181" s="13" t="s">
        <v>1786</v>
      </c>
      <c r="D1181" s="15">
        <v>5758.03</v>
      </c>
      <c r="E1181" s="15">
        <v>6238.71</v>
      </c>
      <c r="F1181" s="15">
        <f t="shared" si="54"/>
        <v>480.68000000000029</v>
      </c>
      <c r="G1181" s="28">
        <f t="shared" si="55"/>
        <v>8.3479940187876814E-2</v>
      </c>
      <c r="H1181" s="13" t="str">
        <f t="shared" si="56"/>
        <v>Slightly Over</v>
      </c>
    </row>
    <row r="1182" spans="1:8" x14ac:dyDescent="0.25">
      <c r="A1182" s="11">
        <v>45839</v>
      </c>
      <c r="B1182" s="10" t="s">
        <v>1792</v>
      </c>
      <c r="C1182" s="10" t="s">
        <v>1795</v>
      </c>
      <c r="D1182" s="12">
        <v>5676.11</v>
      </c>
      <c r="E1182" s="12">
        <v>6036.54</v>
      </c>
      <c r="F1182" s="12">
        <f t="shared" si="54"/>
        <v>360.43000000000029</v>
      </c>
      <c r="G1182" s="27">
        <f t="shared" si="55"/>
        <v>6.3499474111671603E-2</v>
      </c>
      <c r="H1182" s="10" t="str">
        <f t="shared" si="56"/>
        <v>Slightly Over</v>
      </c>
    </row>
    <row r="1183" spans="1:8" x14ac:dyDescent="0.25">
      <c r="A1183" s="14">
        <v>45839</v>
      </c>
      <c r="B1183" s="13" t="s">
        <v>1877</v>
      </c>
      <c r="C1183" s="13" t="s">
        <v>1797</v>
      </c>
      <c r="D1183" s="15">
        <v>3807.39</v>
      </c>
      <c r="E1183" s="15">
        <v>3828.03</v>
      </c>
      <c r="F1183" s="15">
        <f t="shared" si="54"/>
        <v>20.640000000000327</v>
      </c>
      <c r="G1183" s="28">
        <f t="shared" si="55"/>
        <v>5.4210364580461494E-3</v>
      </c>
      <c r="H1183" s="13" t="str">
        <f t="shared" si="56"/>
        <v>Within Budget</v>
      </c>
    </row>
    <row r="1184" spans="1:8" x14ac:dyDescent="0.25">
      <c r="A1184" s="11">
        <v>45839</v>
      </c>
      <c r="B1184" s="10" t="s">
        <v>1877</v>
      </c>
      <c r="C1184" s="10" t="s">
        <v>1775</v>
      </c>
      <c r="D1184" s="12">
        <v>60917.52</v>
      </c>
      <c r="E1184" s="12">
        <v>63319.76</v>
      </c>
      <c r="F1184" s="12">
        <f t="shared" si="54"/>
        <v>2402.2400000000052</v>
      </c>
      <c r="G1184" s="27">
        <f t="shared" si="55"/>
        <v>3.943430395721962E-2</v>
      </c>
      <c r="H1184" s="10" t="str">
        <f t="shared" si="56"/>
        <v>Within Budget</v>
      </c>
    </row>
    <row r="1185" spans="1:8" x14ac:dyDescent="0.25">
      <c r="A1185" s="14">
        <v>45839</v>
      </c>
      <c r="B1185" s="13" t="s">
        <v>1862</v>
      </c>
      <c r="C1185" s="13" t="s">
        <v>1780</v>
      </c>
      <c r="D1185" s="15">
        <v>4483.66</v>
      </c>
      <c r="E1185" s="15">
        <v>4299.71</v>
      </c>
      <c r="F1185" s="15">
        <f t="shared" si="54"/>
        <v>-183.94999999999982</v>
      </c>
      <c r="G1185" s="28">
        <f t="shared" si="55"/>
        <v>-4.1026750467252161E-2</v>
      </c>
      <c r="H1185" s="13" t="str">
        <f t="shared" si="56"/>
        <v>Under Budget</v>
      </c>
    </row>
    <row r="1186" spans="1:8" x14ac:dyDescent="0.25">
      <c r="A1186" s="11">
        <v>45839</v>
      </c>
      <c r="B1186" s="10" t="s">
        <v>1818</v>
      </c>
      <c r="C1186" s="10" t="s">
        <v>1795</v>
      </c>
      <c r="D1186" s="12">
        <v>2126.42</v>
      </c>
      <c r="E1186" s="12">
        <v>2021.44</v>
      </c>
      <c r="F1186" s="12">
        <f t="shared" si="54"/>
        <v>-104.98000000000002</v>
      </c>
      <c r="G1186" s="27">
        <f t="shared" si="55"/>
        <v>-4.9369362590645317E-2</v>
      </c>
      <c r="H1186" s="10" t="str">
        <f t="shared" si="56"/>
        <v>Under Budget</v>
      </c>
    </row>
    <row r="1187" spans="1:8" x14ac:dyDescent="0.25">
      <c r="A1187" s="14">
        <v>45839</v>
      </c>
      <c r="B1187" s="13" t="s">
        <v>1774</v>
      </c>
      <c r="C1187" s="13" t="s">
        <v>1792</v>
      </c>
      <c r="D1187" s="15">
        <v>15956.22</v>
      </c>
      <c r="E1187" s="15">
        <v>15707.95</v>
      </c>
      <c r="F1187" s="15">
        <f t="shared" si="54"/>
        <v>-248.26999999999862</v>
      </c>
      <c r="G1187" s="28">
        <f t="shared" si="55"/>
        <v>-1.5559449543814175E-2</v>
      </c>
      <c r="H1187" s="13" t="str">
        <f t="shared" si="56"/>
        <v>Under Budget</v>
      </c>
    </row>
    <row r="1188" spans="1:8" x14ac:dyDescent="0.25">
      <c r="A1188" s="11">
        <v>45839</v>
      </c>
      <c r="B1188" s="10" t="s">
        <v>1792</v>
      </c>
      <c r="C1188" s="10" t="s">
        <v>1792</v>
      </c>
      <c r="D1188" s="12">
        <v>16858.82</v>
      </c>
      <c r="E1188" s="12">
        <v>16297.16</v>
      </c>
      <c r="F1188" s="12">
        <f t="shared" si="54"/>
        <v>-561.65999999999985</v>
      </c>
      <c r="G1188" s="27">
        <f t="shared" si="55"/>
        <v>-3.3315498949511288E-2</v>
      </c>
      <c r="H1188" s="10" t="str">
        <f t="shared" si="56"/>
        <v>Under Budget</v>
      </c>
    </row>
    <row r="1189" spans="1:8" x14ac:dyDescent="0.25">
      <c r="A1189" s="14">
        <v>45839</v>
      </c>
      <c r="B1189" s="13" t="s">
        <v>1877</v>
      </c>
      <c r="C1189" s="13" t="s">
        <v>1792</v>
      </c>
      <c r="D1189" s="15">
        <v>8929.2000000000007</v>
      </c>
      <c r="E1189" s="15">
        <v>8970.89</v>
      </c>
      <c r="F1189" s="15">
        <f t="shared" si="54"/>
        <v>41.68999999999869</v>
      </c>
      <c r="G1189" s="28">
        <f t="shared" si="55"/>
        <v>4.6689513058279231E-3</v>
      </c>
      <c r="H1189" s="13" t="str">
        <f t="shared" si="56"/>
        <v>Within Budget</v>
      </c>
    </row>
    <row r="1190" spans="1:8" x14ac:dyDescent="0.25">
      <c r="A1190" s="11">
        <v>45839</v>
      </c>
      <c r="B1190" s="10" t="s">
        <v>1862</v>
      </c>
      <c r="C1190" s="10" t="s">
        <v>1795</v>
      </c>
      <c r="D1190" s="12">
        <v>3095.9</v>
      </c>
      <c r="E1190" s="12">
        <v>2900.72</v>
      </c>
      <c r="F1190" s="12">
        <f t="shared" si="54"/>
        <v>-195.18000000000029</v>
      </c>
      <c r="G1190" s="27">
        <f t="shared" si="55"/>
        <v>-6.3044671985529335E-2</v>
      </c>
      <c r="H1190" s="10" t="str">
        <f t="shared" si="56"/>
        <v>Under Budget</v>
      </c>
    </row>
    <row r="1191" spans="1:8" x14ac:dyDescent="0.25">
      <c r="A1191" s="14">
        <v>45839</v>
      </c>
      <c r="B1191" s="13" t="s">
        <v>1862</v>
      </c>
      <c r="C1191" s="13" t="s">
        <v>1789</v>
      </c>
      <c r="D1191" s="15">
        <v>3559.67</v>
      </c>
      <c r="E1191" s="15">
        <v>3914.9</v>
      </c>
      <c r="F1191" s="15">
        <f t="shared" si="54"/>
        <v>355.23</v>
      </c>
      <c r="G1191" s="28">
        <f t="shared" si="55"/>
        <v>9.9792958336025528E-2</v>
      </c>
      <c r="H1191" s="13" t="str">
        <f t="shared" si="56"/>
        <v>Slightly Over</v>
      </c>
    </row>
    <row r="1192" spans="1:8" x14ac:dyDescent="0.25">
      <c r="A1192" s="11">
        <v>45839</v>
      </c>
      <c r="B1192" s="10" t="s">
        <v>1799</v>
      </c>
      <c r="C1192" s="10" t="s">
        <v>1795</v>
      </c>
      <c r="D1192" s="12">
        <v>2961.96</v>
      </c>
      <c r="E1192" s="12">
        <v>3057.24</v>
      </c>
      <c r="F1192" s="12">
        <f t="shared" si="54"/>
        <v>95.279999999999745</v>
      </c>
      <c r="G1192" s="27">
        <f t="shared" si="55"/>
        <v>3.2167888830368994E-2</v>
      </c>
      <c r="H1192" s="10" t="str">
        <f t="shared" si="56"/>
        <v>Within Budget</v>
      </c>
    </row>
    <row r="1193" spans="1:8" x14ac:dyDescent="0.25">
      <c r="A1193" s="14">
        <v>45839</v>
      </c>
      <c r="B1193" s="13" t="s">
        <v>1786</v>
      </c>
      <c r="C1193" s="13" t="s">
        <v>1783</v>
      </c>
      <c r="D1193" s="15">
        <v>10226.870000000001</v>
      </c>
      <c r="E1193" s="15">
        <v>9734.5499999999993</v>
      </c>
      <c r="F1193" s="15">
        <f t="shared" si="54"/>
        <v>-492.32000000000153</v>
      </c>
      <c r="G1193" s="28">
        <f t="shared" si="55"/>
        <v>-4.8139851195918348E-2</v>
      </c>
      <c r="H1193" s="13" t="str">
        <f t="shared" si="56"/>
        <v>Under Budget</v>
      </c>
    </row>
    <row r="1194" spans="1:8" x14ac:dyDescent="0.25">
      <c r="A1194" s="11">
        <v>45839</v>
      </c>
      <c r="B1194" s="10" t="s">
        <v>1862</v>
      </c>
      <c r="C1194" s="10" t="s">
        <v>1783</v>
      </c>
      <c r="D1194" s="12">
        <v>6943.33</v>
      </c>
      <c r="E1194" s="12">
        <v>7139.51</v>
      </c>
      <c r="F1194" s="12">
        <f t="shared" si="54"/>
        <v>196.18000000000029</v>
      </c>
      <c r="G1194" s="27">
        <f t="shared" si="55"/>
        <v>2.8254454274822066E-2</v>
      </c>
      <c r="H1194" s="10" t="str">
        <f t="shared" si="56"/>
        <v>Within Budget</v>
      </c>
    </row>
    <row r="1195" spans="1:8" x14ac:dyDescent="0.25">
      <c r="A1195" s="14">
        <v>45839</v>
      </c>
      <c r="B1195" s="13" t="s">
        <v>1799</v>
      </c>
      <c r="C1195" s="13" t="s">
        <v>1792</v>
      </c>
      <c r="D1195" s="15">
        <v>6688.44</v>
      </c>
      <c r="E1195" s="15">
        <v>7291.62</v>
      </c>
      <c r="F1195" s="15">
        <f t="shared" si="54"/>
        <v>603.18000000000029</v>
      </c>
      <c r="G1195" s="28">
        <f t="shared" si="55"/>
        <v>9.0182464072339791E-2</v>
      </c>
      <c r="H1195" s="13" t="str">
        <f t="shared" si="56"/>
        <v>Slightly Over</v>
      </c>
    </row>
    <row r="1196" spans="1:8" x14ac:dyDescent="0.25">
      <c r="A1196" s="11">
        <v>45839</v>
      </c>
      <c r="B1196" s="10" t="s">
        <v>1862</v>
      </c>
      <c r="C1196" s="10" t="s">
        <v>1786</v>
      </c>
      <c r="D1196" s="12">
        <v>6867.6</v>
      </c>
      <c r="E1196" s="12">
        <v>7037.18</v>
      </c>
      <c r="F1196" s="12">
        <f t="shared" si="54"/>
        <v>169.57999999999993</v>
      </c>
      <c r="G1196" s="27">
        <f t="shared" si="55"/>
        <v>2.4692760207350447E-2</v>
      </c>
      <c r="H1196" s="10" t="str">
        <f t="shared" si="56"/>
        <v>Within Budget</v>
      </c>
    </row>
    <row r="1197" spans="1:8" x14ac:dyDescent="0.25">
      <c r="A1197" s="14">
        <v>45839</v>
      </c>
      <c r="B1197" s="13" t="s">
        <v>1799</v>
      </c>
      <c r="C1197" s="13" t="s">
        <v>1789</v>
      </c>
      <c r="D1197" s="15">
        <v>4636.8</v>
      </c>
      <c r="E1197" s="15">
        <v>4388.71</v>
      </c>
      <c r="F1197" s="15">
        <f t="shared" si="54"/>
        <v>-248.09000000000015</v>
      </c>
      <c r="G1197" s="28">
        <f t="shared" si="55"/>
        <v>-5.3504572118702583E-2</v>
      </c>
      <c r="H1197" s="13" t="str">
        <f t="shared" si="56"/>
        <v>Under Budget</v>
      </c>
    </row>
    <row r="1198" spans="1:8" x14ac:dyDescent="0.25">
      <c r="A1198" s="11">
        <v>45839</v>
      </c>
      <c r="B1198" s="10" t="s">
        <v>1792</v>
      </c>
      <c r="C1198" s="10" t="s">
        <v>1778</v>
      </c>
      <c r="D1198" s="12">
        <v>15144.16</v>
      </c>
      <c r="E1198" s="12">
        <v>16339.62</v>
      </c>
      <c r="F1198" s="12">
        <f t="shared" si="54"/>
        <v>1195.4600000000009</v>
      </c>
      <c r="G1198" s="27">
        <f t="shared" si="55"/>
        <v>7.8938679992815772E-2</v>
      </c>
      <c r="H1198" s="10" t="str">
        <f t="shared" si="56"/>
        <v>Slightly Over</v>
      </c>
    </row>
    <row r="1199" spans="1:8" x14ac:dyDescent="0.25">
      <c r="A1199" s="14">
        <v>45870</v>
      </c>
      <c r="B1199" s="13" t="s">
        <v>1862</v>
      </c>
      <c r="C1199" s="13" t="s">
        <v>1786</v>
      </c>
      <c r="D1199" s="15">
        <v>8036.94</v>
      </c>
      <c r="E1199" s="15">
        <v>7586.18</v>
      </c>
      <c r="F1199" s="15">
        <f t="shared" si="54"/>
        <v>-450.75999999999931</v>
      </c>
      <c r="G1199" s="28">
        <f t="shared" si="55"/>
        <v>-5.608602278976816E-2</v>
      </c>
      <c r="H1199" s="13" t="str">
        <f t="shared" si="56"/>
        <v>Under Budget</v>
      </c>
    </row>
    <row r="1200" spans="1:8" x14ac:dyDescent="0.25">
      <c r="A1200" s="11">
        <v>45870</v>
      </c>
      <c r="B1200" s="10" t="s">
        <v>1799</v>
      </c>
      <c r="C1200" s="10" t="s">
        <v>1795</v>
      </c>
      <c r="D1200" s="12">
        <v>2555.88</v>
      </c>
      <c r="E1200" s="12">
        <v>2387.33</v>
      </c>
      <c r="F1200" s="12">
        <f t="shared" si="54"/>
        <v>-168.55000000000018</v>
      </c>
      <c r="G1200" s="27">
        <f t="shared" si="55"/>
        <v>-6.594597555440794E-2</v>
      </c>
      <c r="H1200" s="10" t="str">
        <f t="shared" si="56"/>
        <v>Under Budget</v>
      </c>
    </row>
    <row r="1201" spans="1:8" x14ac:dyDescent="0.25">
      <c r="A1201" s="14">
        <v>45870</v>
      </c>
      <c r="B1201" s="13" t="s">
        <v>1774</v>
      </c>
      <c r="C1201" s="13" t="s">
        <v>1795</v>
      </c>
      <c r="D1201" s="15">
        <v>6807.56</v>
      </c>
      <c r="E1201" s="15">
        <v>6547.2</v>
      </c>
      <c r="F1201" s="15">
        <f t="shared" si="54"/>
        <v>-260.36000000000058</v>
      </c>
      <c r="G1201" s="28">
        <f t="shared" si="55"/>
        <v>-3.8245715057965049E-2</v>
      </c>
      <c r="H1201" s="13" t="str">
        <f t="shared" si="56"/>
        <v>Under Budget</v>
      </c>
    </row>
    <row r="1202" spans="1:8" x14ac:dyDescent="0.25">
      <c r="A1202" s="11">
        <v>45870</v>
      </c>
      <c r="B1202" s="10" t="s">
        <v>1792</v>
      </c>
      <c r="C1202" s="10" t="s">
        <v>1775</v>
      </c>
      <c r="D1202" s="12">
        <v>67587.14</v>
      </c>
      <c r="E1202" s="12">
        <v>70866</v>
      </c>
      <c r="F1202" s="12">
        <f t="shared" si="54"/>
        <v>3278.8600000000006</v>
      </c>
      <c r="G1202" s="27">
        <f t="shared" si="55"/>
        <v>4.85130751205037E-2</v>
      </c>
      <c r="H1202" s="10" t="str">
        <f t="shared" si="56"/>
        <v>Within Budget</v>
      </c>
    </row>
    <row r="1203" spans="1:8" x14ac:dyDescent="0.25">
      <c r="A1203" s="14">
        <v>45870</v>
      </c>
      <c r="B1203" s="13" t="s">
        <v>1792</v>
      </c>
      <c r="C1203" s="13" t="s">
        <v>1783</v>
      </c>
      <c r="D1203" s="15">
        <v>15595.86</v>
      </c>
      <c r="E1203" s="15">
        <v>14478.62</v>
      </c>
      <c r="F1203" s="15">
        <f t="shared" si="54"/>
        <v>-1117.2399999999998</v>
      </c>
      <c r="G1203" s="28">
        <f t="shared" si="55"/>
        <v>-7.1636960065042887E-2</v>
      </c>
      <c r="H1203" s="13" t="str">
        <f t="shared" si="56"/>
        <v>Under Budget</v>
      </c>
    </row>
    <row r="1204" spans="1:8" x14ac:dyDescent="0.25">
      <c r="A1204" s="11">
        <v>45870</v>
      </c>
      <c r="B1204" s="10" t="s">
        <v>1774</v>
      </c>
      <c r="C1204" s="10" t="s">
        <v>1775</v>
      </c>
      <c r="D1204" s="12">
        <v>107736.92</v>
      </c>
      <c r="E1204" s="12">
        <v>113745.24</v>
      </c>
      <c r="F1204" s="12">
        <f t="shared" si="54"/>
        <v>6008.320000000007</v>
      </c>
      <c r="G1204" s="27">
        <f t="shared" si="55"/>
        <v>5.5768440382368521E-2</v>
      </c>
      <c r="H1204" s="10" t="str">
        <f t="shared" si="56"/>
        <v>Slightly Over</v>
      </c>
    </row>
    <row r="1205" spans="1:8" x14ac:dyDescent="0.25">
      <c r="A1205" s="14">
        <v>45870</v>
      </c>
      <c r="B1205" s="13" t="s">
        <v>1786</v>
      </c>
      <c r="C1205" s="13" t="s">
        <v>1780</v>
      </c>
      <c r="D1205" s="15">
        <v>6797.85</v>
      </c>
      <c r="E1205" s="15">
        <v>6183.91</v>
      </c>
      <c r="F1205" s="15">
        <f t="shared" si="54"/>
        <v>-613.94000000000051</v>
      </c>
      <c r="G1205" s="28">
        <f t="shared" si="55"/>
        <v>-9.031384923174246E-2</v>
      </c>
      <c r="H1205" s="13" t="str">
        <f t="shared" si="56"/>
        <v>Under Budget</v>
      </c>
    </row>
    <row r="1206" spans="1:8" x14ac:dyDescent="0.25">
      <c r="A1206" s="11">
        <v>45870</v>
      </c>
      <c r="B1206" s="10" t="s">
        <v>1877</v>
      </c>
      <c r="C1206" s="10" t="s">
        <v>1789</v>
      </c>
      <c r="D1206" s="12">
        <v>5564.05</v>
      </c>
      <c r="E1206" s="12">
        <v>5271.67</v>
      </c>
      <c r="F1206" s="12">
        <f t="shared" si="54"/>
        <v>-292.38000000000011</v>
      </c>
      <c r="G1206" s="27">
        <f t="shared" si="55"/>
        <v>-5.254805402539519E-2</v>
      </c>
      <c r="H1206" s="10" t="str">
        <f t="shared" si="56"/>
        <v>Under Budget</v>
      </c>
    </row>
    <row r="1207" spans="1:8" x14ac:dyDescent="0.25">
      <c r="A1207" s="14">
        <v>45870</v>
      </c>
      <c r="B1207" s="13" t="s">
        <v>1799</v>
      </c>
      <c r="C1207" s="13" t="s">
        <v>1797</v>
      </c>
      <c r="D1207" s="15">
        <v>2141.3000000000002</v>
      </c>
      <c r="E1207" s="15">
        <v>2347.8200000000002</v>
      </c>
      <c r="F1207" s="15">
        <f t="shared" si="54"/>
        <v>206.51999999999998</v>
      </c>
      <c r="G1207" s="28">
        <f t="shared" si="55"/>
        <v>9.6446084154485578E-2</v>
      </c>
      <c r="H1207" s="13" t="str">
        <f t="shared" si="56"/>
        <v>Slightly Over</v>
      </c>
    </row>
    <row r="1208" spans="1:8" x14ac:dyDescent="0.25">
      <c r="A1208" s="11">
        <v>45870</v>
      </c>
      <c r="B1208" s="10" t="s">
        <v>1799</v>
      </c>
      <c r="C1208" s="10" t="s">
        <v>1778</v>
      </c>
      <c r="D1208" s="12">
        <v>8861.6</v>
      </c>
      <c r="E1208" s="12">
        <v>8236.89</v>
      </c>
      <c r="F1208" s="12">
        <f t="shared" si="54"/>
        <v>-624.71000000000095</v>
      </c>
      <c r="G1208" s="27">
        <f t="shared" si="55"/>
        <v>-7.0496298636815127E-2</v>
      </c>
      <c r="H1208" s="10" t="str">
        <f t="shared" si="56"/>
        <v>Under Budget</v>
      </c>
    </row>
    <row r="1209" spans="1:8" x14ac:dyDescent="0.25">
      <c r="A1209" s="14">
        <v>45870</v>
      </c>
      <c r="B1209" s="13" t="s">
        <v>1799</v>
      </c>
      <c r="C1209" s="13" t="s">
        <v>1780</v>
      </c>
      <c r="D1209" s="15">
        <v>4265.33</v>
      </c>
      <c r="E1209" s="15">
        <v>4217.1899999999996</v>
      </c>
      <c r="F1209" s="15">
        <f t="shared" si="54"/>
        <v>-48.140000000000327</v>
      </c>
      <c r="G1209" s="28">
        <f t="shared" si="55"/>
        <v>-1.1286348301303845E-2</v>
      </c>
      <c r="H1209" s="13" t="str">
        <f t="shared" si="56"/>
        <v>Under Budget</v>
      </c>
    </row>
    <row r="1210" spans="1:8" x14ac:dyDescent="0.25">
      <c r="A1210" s="11">
        <v>45870</v>
      </c>
      <c r="B1210" s="10" t="s">
        <v>1774</v>
      </c>
      <c r="C1210" s="10" t="s">
        <v>1780</v>
      </c>
      <c r="D1210" s="12">
        <v>10511.54</v>
      </c>
      <c r="E1210" s="12">
        <v>10515.93</v>
      </c>
      <c r="F1210" s="12">
        <f t="shared" si="54"/>
        <v>4.3899999999994179</v>
      </c>
      <c r="G1210" s="27">
        <f t="shared" si="55"/>
        <v>4.1763623598439596E-4</v>
      </c>
      <c r="H1210" s="10" t="str">
        <f t="shared" si="56"/>
        <v>Within Budget</v>
      </c>
    </row>
    <row r="1211" spans="1:8" x14ac:dyDescent="0.25">
      <c r="A1211" s="14">
        <v>45870</v>
      </c>
      <c r="B1211" s="13" t="s">
        <v>1862</v>
      </c>
      <c r="C1211" s="13" t="s">
        <v>1795</v>
      </c>
      <c r="D1211" s="15">
        <v>2105.98</v>
      </c>
      <c r="E1211" s="15">
        <v>2121.87</v>
      </c>
      <c r="F1211" s="15">
        <f t="shared" si="54"/>
        <v>15.889999999999873</v>
      </c>
      <c r="G1211" s="28">
        <f t="shared" si="55"/>
        <v>7.5451808659150951E-3</v>
      </c>
      <c r="H1211" s="13" t="str">
        <f t="shared" si="56"/>
        <v>Within Budget</v>
      </c>
    </row>
    <row r="1212" spans="1:8" x14ac:dyDescent="0.25">
      <c r="A1212" s="11">
        <v>45870</v>
      </c>
      <c r="B1212" s="10" t="s">
        <v>1786</v>
      </c>
      <c r="C1212" s="10" t="s">
        <v>1778</v>
      </c>
      <c r="D1212" s="12">
        <v>15135.62</v>
      </c>
      <c r="E1212" s="12">
        <v>14645.6</v>
      </c>
      <c r="F1212" s="12">
        <f t="shared" si="54"/>
        <v>-490.02000000000044</v>
      </c>
      <c r="G1212" s="27">
        <f t="shared" si="55"/>
        <v>-3.2375284263214878E-2</v>
      </c>
      <c r="H1212" s="10" t="str">
        <f t="shared" si="56"/>
        <v>Under Budget</v>
      </c>
    </row>
    <row r="1213" spans="1:8" x14ac:dyDescent="0.25">
      <c r="A1213" s="14">
        <v>45870</v>
      </c>
      <c r="B1213" s="13" t="s">
        <v>1786</v>
      </c>
      <c r="C1213" s="13" t="s">
        <v>1783</v>
      </c>
      <c r="D1213" s="15">
        <v>12363.76</v>
      </c>
      <c r="E1213" s="15">
        <v>11670.45</v>
      </c>
      <c r="F1213" s="15">
        <f t="shared" si="54"/>
        <v>-693.30999999999949</v>
      </c>
      <c r="G1213" s="28">
        <f t="shared" si="55"/>
        <v>-5.6075983357813441E-2</v>
      </c>
      <c r="H1213" s="13" t="str">
        <f t="shared" si="56"/>
        <v>Under Budget</v>
      </c>
    </row>
    <row r="1214" spans="1:8" x14ac:dyDescent="0.25">
      <c r="A1214" s="11">
        <v>45870</v>
      </c>
      <c r="B1214" s="10" t="s">
        <v>1792</v>
      </c>
      <c r="C1214" s="10" t="s">
        <v>1792</v>
      </c>
      <c r="D1214" s="12">
        <v>14801.19</v>
      </c>
      <c r="E1214" s="12">
        <v>13491.01</v>
      </c>
      <c r="F1214" s="12">
        <f t="shared" si="54"/>
        <v>-1310.1800000000003</v>
      </c>
      <c r="G1214" s="27">
        <f t="shared" si="55"/>
        <v>-8.8518558305109268E-2</v>
      </c>
      <c r="H1214" s="10" t="str">
        <f t="shared" si="56"/>
        <v>Under Budget</v>
      </c>
    </row>
    <row r="1215" spans="1:8" x14ac:dyDescent="0.25">
      <c r="A1215" s="14">
        <v>45870</v>
      </c>
      <c r="B1215" s="13" t="s">
        <v>1877</v>
      </c>
      <c r="C1215" s="13" t="s">
        <v>1792</v>
      </c>
      <c r="D1215" s="15">
        <v>9211.49</v>
      </c>
      <c r="E1215" s="15">
        <v>9594.82</v>
      </c>
      <c r="F1215" s="15">
        <f t="shared" si="54"/>
        <v>383.32999999999993</v>
      </c>
      <c r="G1215" s="28">
        <f t="shared" si="55"/>
        <v>4.161433166621252E-2</v>
      </c>
      <c r="H1215" s="13" t="str">
        <f t="shared" si="56"/>
        <v>Within Budget</v>
      </c>
    </row>
    <row r="1216" spans="1:8" x14ac:dyDescent="0.25">
      <c r="A1216" s="11">
        <v>45870</v>
      </c>
      <c r="B1216" s="10" t="s">
        <v>1818</v>
      </c>
      <c r="C1216" s="10" t="s">
        <v>1795</v>
      </c>
      <c r="D1216" s="12">
        <v>2202.92</v>
      </c>
      <c r="E1216" s="12">
        <v>2120.6999999999998</v>
      </c>
      <c r="F1216" s="12">
        <f t="shared" si="54"/>
        <v>-82.220000000000255</v>
      </c>
      <c r="G1216" s="27">
        <f t="shared" si="55"/>
        <v>-3.7323189221578748E-2</v>
      </c>
      <c r="H1216" s="10" t="str">
        <f t="shared" si="56"/>
        <v>Under Budget</v>
      </c>
    </row>
    <row r="1217" spans="1:8" x14ac:dyDescent="0.25">
      <c r="A1217" s="14">
        <v>45870</v>
      </c>
      <c r="B1217" s="13" t="s">
        <v>1774</v>
      </c>
      <c r="C1217" s="13" t="s">
        <v>1778</v>
      </c>
      <c r="D1217" s="15">
        <v>24546.86</v>
      </c>
      <c r="E1217" s="15">
        <v>23355.82</v>
      </c>
      <c r="F1217" s="15">
        <f t="shared" si="54"/>
        <v>-1191.0400000000009</v>
      </c>
      <c r="G1217" s="28">
        <f t="shared" si="55"/>
        <v>-4.8521073571120739E-2</v>
      </c>
      <c r="H1217" s="13" t="str">
        <f t="shared" si="56"/>
        <v>Under Budget</v>
      </c>
    </row>
    <row r="1218" spans="1:8" x14ac:dyDescent="0.25">
      <c r="A1218" s="11">
        <v>45870</v>
      </c>
      <c r="B1218" s="10" t="s">
        <v>1818</v>
      </c>
      <c r="C1218" s="10" t="s">
        <v>1786</v>
      </c>
      <c r="D1218" s="12">
        <v>6269.96</v>
      </c>
      <c r="E1218" s="12">
        <v>5980.19</v>
      </c>
      <c r="F1218" s="12">
        <f t="shared" ref="F1218:F1281" si="57">E1218-D1218</f>
        <v>-289.77000000000044</v>
      </c>
      <c r="G1218" s="27">
        <f t="shared" ref="G1218:G1281" si="58">IFERROR(F1218/D1218,0)</f>
        <v>-4.6215605841185656E-2</v>
      </c>
      <c r="H1218" s="10" t="str">
        <f t="shared" ref="H1218:H1281" si="59">IF(G1218&lt;=0,"Under Budget",IF(G1218&lt;=5%,"Within Budget",IF(G1218&lt;=15%,"Slightly Over","Significantly Over")))</f>
        <v>Under Budget</v>
      </c>
    </row>
    <row r="1219" spans="1:8" x14ac:dyDescent="0.25">
      <c r="A1219" s="14">
        <v>45870</v>
      </c>
      <c r="B1219" s="13" t="s">
        <v>1799</v>
      </c>
      <c r="C1219" s="13" t="s">
        <v>1789</v>
      </c>
      <c r="D1219" s="15">
        <v>3707.33</v>
      </c>
      <c r="E1219" s="15">
        <v>3676.23</v>
      </c>
      <c r="F1219" s="15">
        <f t="shared" si="57"/>
        <v>-31.099999999999909</v>
      </c>
      <c r="G1219" s="28">
        <f t="shared" si="58"/>
        <v>-8.3887865390995433E-3</v>
      </c>
      <c r="H1219" s="13" t="str">
        <f t="shared" si="59"/>
        <v>Under Budget</v>
      </c>
    </row>
    <row r="1220" spans="1:8" x14ac:dyDescent="0.25">
      <c r="A1220" s="11">
        <v>45870</v>
      </c>
      <c r="B1220" s="10" t="s">
        <v>1774</v>
      </c>
      <c r="C1220" s="10" t="s">
        <v>1792</v>
      </c>
      <c r="D1220" s="12">
        <v>16999.36</v>
      </c>
      <c r="E1220" s="12">
        <v>17240.29</v>
      </c>
      <c r="F1220" s="12">
        <f t="shared" si="57"/>
        <v>240.93000000000029</v>
      </c>
      <c r="G1220" s="27">
        <f t="shared" si="58"/>
        <v>1.4172886508668579E-2</v>
      </c>
      <c r="H1220" s="10" t="str">
        <f t="shared" si="59"/>
        <v>Within Budget</v>
      </c>
    </row>
    <row r="1221" spans="1:8" x14ac:dyDescent="0.25">
      <c r="A1221" s="14">
        <v>45870</v>
      </c>
      <c r="B1221" s="13" t="s">
        <v>1877</v>
      </c>
      <c r="C1221" s="13" t="s">
        <v>1786</v>
      </c>
      <c r="D1221" s="15">
        <v>9720.4699999999993</v>
      </c>
      <c r="E1221" s="15">
        <v>9103.92</v>
      </c>
      <c r="F1221" s="15">
        <f t="shared" si="57"/>
        <v>-616.54999999999927</v>
      </c>
      <c r="G1221" s="28">
        <f t="shared" si="58"/>
        <v>-6.3428002966934655E-2</v>
      </c>
      <c r="H1221" s="13" t="str">
        <f t="shared" si="59"/>
        <v>Under Budget</v>
      </c>
    </row>
    <row r="1222" spans="1:8" x14ac:dyDescent="0.25">
      <c r="A1222" s="11">
        <v>45870</v>
      </c>
      <c r="B1222" s="10" t="s">
        <v>1862</v>
      </c>
      <c r="C1222" s="10" t="s">
        <v>1775</v>
      </c>
      <c r="D1222" s="12">
        <v>38726.720000000001</v>
      </c>
      <c r="E1222" s="12">
        <v>40089.68</v>
      </c>
      <c r="F1222" s="12">
        <f t="shared" si="57"/>
        <v>1362.9599999999991</v>
      </c>
      <c r="G1222" s="27">
        <f t="shared" si="58"/>
        <v>3.519430512059888E-2</v>
      </c>
      <c r="H1222" s="10" t="str">
        <f t="shared" si="59"/>
        <v>Within Budget</v>
      </c>
    </row>
    <row r="1223" spans="1:8" x14ac:dyDescent="0.25">
      <c r="A1223" s="14">
        <v>45870</v>
      </c>
      <c r="B1223" s="13" t="s">
        <v>1877</v>
      </c>
      <c r="C1223" s="13" t="s">
        <v>1775</v>
      </c>
      <c r="D1223" s="15">
        <v>60697.279999999999</v>
      </c>
      <c r="E1223" s="15">
        <v>64177.52</v>
      </c>
      <c r="F1223" s="15">
        <f t="shared" si="57"/>
        <v>3480.239999999998</v>
      </c>
      <c r="G1223" s="28">
        <f t="shared" si="58"/>
        <v>5.7337659941269166E-2</v>
      </c>
      <c r="H1223" s="13" t="str">
        <f t="shared" si="59"/>
        <v>Slightly Over</v>
      </c>
    </row>
    <row r="1224" spans="1:8" x14ac:dyDescent="0.25">
      <c r="A1224" s="11">
        <v>45870</v>
      </c>
      <c r="B1224" s="10" t="s">
        <v>1799</v>
      </c>
      <c r="C1224" s="10" t="s">
        <v>1786</v>
      </c>
      <c r="D1224" s="12">
        <v>6626.92</v>
      </c>
      <c r="E1224" s="12">
        <v>6496.46</v>
      </c>
      <c r="F1224" s="12">
        <f t="shared" si="57"/>
        <v>-130.46000000000004</v>
      </c>
      <c r="G1224" s="27">
        <f t="shared" si="58"/>
        <v>-1.9686370138767336E-2</v>
      </c>
      <c r="H1224" s="10" t="str">
        <f t="shared" si="59"/>
        <v>Under Budget</v>
      </c>
    </row>
    <row r="1225" spans="1:8" x14ac:dyDescent="0.25">
      <c r="A1225" s="14">
        <v>45870</v>
      </c>
      <c r="B1225" s="13" t="s">
        <v>1774</v>
      </c>
      <c r="C1225" s="13" t="s">
        <v>1786</v>
      </c>
      <c r="D1225" s="15">
        <v>14219.95</v>
      </c>
      <c r="E1225" s="15">
        <v>14829.84</v>
      </c>
      <c r="F1225" s="15">
        <f t="shared" si="57"/>
        <v>609.88999999999942</v>
      </c>
      <c r="G1225" s="28">
        <f t="shared" si="58"/>
        <v>4.2889742931585512E-2</v>
      </c>
      <c r="H1225" s="13" t="str">
        <f t="shared" si="59"/>
        <v>Within Budget</v>
      </c>
    </row>
    <row r="1226" spans="1:8" x14ac:dyDescent="0.25">
      <c r="A1226" s="11">
        <v>45870</v>
      </c>
      <c r="B1226" s="10" t="s">
        <v>1792</v>
      </c>
      <c r="C1226" s="10" t="s">
        <v>1795</v>
      </c>
      <c r="D1226" s="12">
        <v>4749.41</v>
      </c>
      <c r="E1226" s="12">
        <v>5234.6000000000004</v>
      </c>
      <c r="F1226" s="12">
        <f t="shared" si="57"/>
        <v>485.19000000000051</v>
      </c>
      <c r="G1226" s="27">
        <f t="shared" si="58"/>
        <v>0.10215795225091127</v>
      </c>
      <c r="H1226" s="10" t="str">
        <f t="shared" si="59"/>
        <v>Slightly Over</v>
      </c>
    </row>
    <row r="1227" spans="1:8" x14ac:dyDescent="0.25">
      <c r="A1227" s="14">
        <v>45870</v>
      </c>
      <c r="B1227" s="13" t="s">
        <v>1799</v>
      </c>
      <c r="C1227" s="13" t="s">
        <v>1783</v>
      </c>
      <c r="D1227" s="15">
        <v>7132.7</v>
      </c>
      <c r="E1227" s="15">
        <v>7826.55</v>
      </c>
      <c r="F1227" s="15">
        <f t="shared" si="57"/>
        <v>693.85000000000036</v>
      </c>
      <c r="G1227" s="28">
        <f t="shared" si="58"/>
        <v>9.7277328360929297E-2</v>
      </c>
      <c r="H1227" s="13" t="str">
        <f t="shared" si="59"/>
        <v>Slightly Over</v>
      </c>
    </row>
    <row r="1228" spans="1:8" x14ac:dyDescent="0.25">
      <c r="A1228" s="11">
        <v>45870</v>
      </c>
      <c r="B1228" s="10" t="s">
        <v>1786</v>
      </c>
      <c r="C1228" s="10" t="s">
        <v>1775</v>
      </c>
      <c r="D1228" s="12">
        <v>68828.34</v>
      </c>
      <c r="E1228" s="12">
        <v>65370.11</v>
      </c>
      <c r="F1228" s="12">
        <f t="shared" si="57"/>
        <v>-3458.2299999999959</v>
      </c>
      <c r="G1228" s="27">
        <f t="shared" si="58"/>
        <v>-5.024427437883866E-2</v>
      </c>
      <c r="H1228" s="10" t="str">
        <f t="shared" si="59"/>
        <v>Under Budget</v>
      </c>
    </row>
    <row r="1229" spans="1:8" x14ac:dyDescent="0.25">
      <c r="A1229" s="14">
        <v>45870</v>
      </c>
      <c r="B1229" s="13" t="s">
        <v>1818</v>
      </c>
      <c r="C1229" s="13" t="s">
        <v>1797</v>
      </c>
      <c r="D1229" s="15">
        <v>2119.96</v>
      </c>
      <c r="E1229" s="15">
        <v>1902.86</v>
      </c>
      <c r="F1229" s="15">
        <f t="shared" si="57"/>
        <v>-217.10000000000014</v>
      </c>
      <c r="G1229" s="28">
        <f t="shared" si="58"/>
        <v>-0.10240759259608678</v>
      </c>
      <c r="H1229" s="13" t="str">
        <f t="shared" si="59"/>
        <v>Under Budget</v>
      </c>
    </row>
    <row r="1230" spans="1:8" x14ac:dyDescent="0.25">
      <c r="A1230" s="11">
        <v>45870</v>
      </c>
      <c r="B1230" s="10" t="s">
        <v>1818</v>
      </c>
      <c r="C1230" s="10" t="s">
        <v>1783</v>
      </c>
      <c r="D1230" s="12">
        <v>6390.12</v>
      </c>
      <c r="E1230" s="12">
        <v>6389.92</v>
      </c>
      <c r="F1230" s="12">
        <f t="shared" si="57"/>
        <v>-0.1999999999998181</v>
      </c>
      <c r="G1230" s="27">
        <f t="shared" si="58"/>
        <v>-3.1298316776495291E-5</v>
      </c>
      <c r="H1230" s="10" t="str">
        <f t="shared" si="59"/>
        <v>Under Budget</v>
      </c>
    </row>
    <row r="1231" spans="1:8" x14ac:dyDescent="0.25">
      <c r="A1231" s="14">
        <v>45870</v>
      </c>
      <c r="B1231" s="13" t="s">
        <v>1877</v>
      </c>
      <c r="C1231" s="13" t="s">
        <v>1783</v>
      </c>
      <c r="D1231" s="15">
        <v>8406.4699999999993</v>
      </c>
      <c r="E1231" s="15">
        <v>9016.4</v>
      </c>
      <c r="F1231" s="15">
        <f t="shared" si="57"/>
        <v>609.93000000000029</v>
      </c>
      <c r="G1231" s="28">
        <f t="shared" si="58"/>
        <v>7.2554829791815156E-2</v>
      </c>
      <c r="H1231" s="13" t="str">
        <f t="shared" si="59"/>
        <v>Slightly Over</v>
      </c>
    </row>
    <row r="1232" spans="1:8" x14ac:dyDescent="0.25">
      <c r="A1232" s="11">
        <v>45870</v>
      </c>
      <c r="B1232" s="10" t="s">
        <v>1862</v>
      </c>
      <c r="C1232" s="10" t="s">
        <v>1792</v>
      </c>
      <c r="D1232" s="12">
        <v>6810.05</v>
      </c>
      <c r="E1232" s="12">
        <v>6305.73</v>
      </c>
      <c r="F1232" s="12">
        <f t="shared" si="57"/>
        <v>-504.32000000000062</v>
      </c>
      <c r="G1232" s="27">
        <f t="shared" si="58"/>
        <v>-7.4055256569335121E-2</v>
      </c>
      <c r="H1232" s="10" t="str">
        <f t="shared" si="59"/>
        <v>Under Budget</v>
      </c>
    </row>
    <row r="1233" spans="1:8" x14ac:dyDescent="0.25">
      <c r="A1233" s="14">
        <v>45870</v>
      </c>
      <c r="B1233" s="13" t="s">
        <v>1818</v>
      </c>
      <c r="C1233" s="13" t="s">
        <v>1778</v>
      </c>
      <c r="D1233" s="15">
        <v>5813.36</v>
      </c>
      <c r="E1233" s="15">
        <v>6071.29</v>
      </c>
      <c r="F1233" s="15">
        <f t="shared" si="57"/>
        <v>257.93000000000029</v>
      </c>
      <c r="G1233" s="28">
        <f t="shared" si="58"/>
        <v>4.4368489135370989E-2</v>
      </c>
      <c r="H1233" s="13" t="str">
        <f t="shared" si="59"/>
        <v>Within Budget</v>
      </c>
    </row>
    <row r="1234" spans="1:8" x14ac:dyDescent="0.25">
      <c r="A1234" s="11">
        <v>45870</v>
      </c>
      <c r="B1234" s="10" t="s">
        <v>1818</v>
      </c>
      <c r="C1234" s="10" t="s">
        <v>1789</v>
      </c>
      <c r="D1234" s="12">
        <v>3316.75</v>
      </c>
      <c r="E1234" s="12">
        <v>2963.93</v>
      </c>
      <c r="F1234" s="12">
        <f t="shared" si="57"/>
        <v>-352.82000000000016</v>
      </c>
      <c r="G1234" s="27">
        <f t="shared" si="58"/>
        <v>-0.10637521670309796</v>
      </c>
      <c r="H1234" s="10" t="str">
        <f t="shared" si="59"/>
        <v>Under Budget</v>
      </c>
    </row>
    <row r="1235" spans="1:8" x14ac:dyDescent="0.25">
      <c r="A1235" s="14">
        <v>45870</v>
      </c>
      <c r="B1235" s="13" t="s">
        <v>1774</v>
      </c>
      <c r="C1235" s="13" t="s">
        <v>1789</v>
      </c>
      <c r="D1235" s="15">
        <v>11716.03</v>
      </c>
      <c r="E1235" s="15">
        <v>11442.35</v>
      </c>
      <c r="F1235" s="15">
        <f t="shared" si="57"/>
        <v>-273.68000000000029</v>
      </c>
      <c r="G1235" s="28">
        <f t="shared" si="58"/>
        <v>-2.3359448550404897E-2</v>
      </c>
      <c r="H1235" s="13" t="str">
        <f t="shared" si="59"/>
        <v>Under Budget</v>
      </c>
    </row>
    <row r="1236" spans="1:8" x14ac:dyDescent="0.25">
      <c r="A1236" s="11">
        <v>45870</v>
      </c>
      <c r="B1236" s="10" t="s">
        <v>1786</v>
      </c>
      <c r="C1236" s="10" t="s">
        <v>1789</v>
      </c>
      <c r="D1236" s="12">
        <v>7302.45</v>
      </c>
      <c r="E1236" s="12">
        <v>7677.26</v>
      </c>
      <c r="F1236" s="12">
        <f t="shared" si="57"/>
        <v>374.8100000000004</v>
      </c>
      <c r="G1236" s="27">
        <f t="shared" si="58"/>
        <v>5.1326609562544132E-2</v>
      </c>
      <c r="H1236" s="10" t="str">
        <f t="shared" si="59"/>
        <v>Slightly Over</v>
      </c>
    </row>
    <row r="1237" spans="1:8" x14ac:dyDescent="0.25">
      <c r="A1237" s="14">
        <v>45870</v>
      </c>
      <c r="B1237" s="13" t="s">
        <v>1877</v>
      </c>
      <c r="C1237" s="13" t="s">
        <v>1795</v>
      </c>
      <c r="D1237" s="15">
        <v>3100.63</v>
      </c>
      <c r="E1237" s="15">
        <v>3072.6</v>
      </c>
      <c r="F1237" s="15">
        <f t="shared" si="57"/>
        <v>-28.0300000000002</v>
      </c>
      <c r="G1237" s="28">
        <f t="shared" si="58"/>
        <v>-9.0400983026030831E-3</v>
      </c>
      <c r="H1237" s="13" t="str">
        <f t="shared" si="59"/>
        <v>Under Budget</v>
      </c>
    </row>
    <row r="1238" spans="1:8" x14ac:dyDescent="0.25">
      <c r="A1238" s="11">
        <v>45870</v>
      </c>
      <c r="B1238" s="10" t="s">
        <v>1877</v>
      </c>
      <c r="C1238" s="10" t="s">
        <v>1780</v>
      </c>
      <c r="D1238" s="12">
        <v>6792.21</v>
      </c>
      <c r="E1238" s="12">
        <v>6975.07</v>
      </c>
      <c r="F1238" s="12">
        <f t="shared" si="57"/>
        <v>182.85999999999967</v>
      </c>
      <c r="G1238" s="27">
        <f t="shared" si="58"/>
        <v>2.6922018017699639E-2</v>
      </c>
      <c r="H1238" s="10" t="str">
        <f t="shared" si="59"/>
        <v>Within Budget</v>
      </c>
    </row>
    <row r="1239" spans="1:8" x14ac:dyDescent="0.25">
      <c r="A1239" s="14">
        <v>45870</v>
      </c>
      <c r="B1239" s="13" t="s">
        <v>1818</v>
      </c>
      <c r="C1239" s="13" t="s">
        <v>1780</v>
      </c>
      <c r="D1239" s="15">
        <v>4393.82</v>
      </c>
      <c r="E1239" s="15">
        <v>4100.6899999999996</v>
      </c>
      <c r="F1239" s="15">
        <f t="shared" si="57"/>
        <v>-293.13000000000011</v>
      </c>
      <c r="G1239" s="28">
        <f t="shared" si="58"/>
        <v>-6.6714157612282735E-2</v>
      </c>
      <c r="H1239" s="13" t="str">
        <f t="shared" si="59"/>
        <v>Under Budget</v>
      </c>
    </row>
    <row r="1240" spans="1:8" x14ac:dyDescent="0.25">
      <c r="A1240" s="11">
        <v>45870</v>
      </c>
      <c r="B1240" s="10" t="s">
        <v>1862</v>
      </c>
      <c r="C1240" s="10" t="s">
        <v>1780</v>
      </c>
      <c r="D1240" s="12">
        <v>3327.19</v>
      </c>
      <c r="E1240" s="12">
        <v>3603.66</v>
      </c>
      <c r="F1240" s="12">
        <f t="shared" si="57"/>
        <v>276.4699999999998</v>
      </c>
      <c r="G1240" s="27">
        <f t="shared" si="58"/>
        <v>8.3094142504635982E-2</v>
      </c>
      <c r="H1240" s="10" t="str">
        <f t="shared" si="59"/>
        <v>Slightly Over</v>
      </c>
    </row>
    <row r="1241" spans="1:8" x14ac:dyDescent="0.25">
      <c r="A1241" s="14">
        <v>45870</v>
      </c>
      <c r="B1241" s="13" t="s">
        <v>1818</v>
      </c>
      <c r="C1241" s="13" t="s">
        <v>1792</v>
      </c>
      <c r="D1241" s="15">
        <v>7002.14</v>
      </c>
      <c r="E1241" s="15">
        <v>6432.59</v>
      </c>
      <c r="F1241" s="15">
        <f t="shared" si="57"/>
        <v>-569.55000000000018</v>
      </c>
      <c r="G1241" s="28">
        <f t="shared" si="58"/>
        <v>-8.1339419091877654E-2</v>
      </c>
      <c r="H1241" s="13" t="str">
        <f t="shared" si="59"/>
        <v>Under Budget</v>
      </c>
    </row>
    <row r="1242" spans="1:8" x14ac:dyDescent="0.25">
      <c r="A1242" s="11">
        <v>45870</v>
      </c>
      <c r="B1242" s="10" t="s">
        <v>1799</v>
      </c>
      <c r="C1242" s="10" t="s">
        <v>1775</v>
      </c>
      <c r="D1242" s="12">
        <v>43001.84</v>
      </c>
      <c r="E1242" s="12">
        <v>40233.230000000003</v>
      </c>
      <c r="F1242" s="12">
        <f t="shared" si="57"/>
        <v>-2768.6099999999933</v>
      </c>
      <c r="G1242" s="27">
        <f t="shared" si="58"/>
        <v>-6.4383524053854294E-2</v>
      </c>
      <c r="H1242" s="10" t="str">
        <f t="shared" si="59"/>
        <v>Under Budget</v>
      </c>
    </row>
    <row r="1243" spans="1:8" x14ac:dyDescent="0.25">
      <c r="A1243" s="14">
        <v>45870</v>
      </c>
      <c r="B1243" s="13" t="s">
        <v>1786</v>
      </c>
      <c r="C1243" s="13" t="s">
        <v>1786</v>
      </c>
      <c r="D1243" s="15">
        <v>13049.32</v>
      </c>
      <c r="E1243" s="15">
        <v>11977.35</v>
      </c>
      <c r="F1243" s="15">
        <f t="shared" si="57"/>
        <v>-1071.9699999999993</v>
      </c>
      <c r="G1243" s="28">
        <f t="shared" si="58"/>
        <v>-8.2147575505850071E-2</v>
      </c>
      <c r="H1243" s="13" t="str">
        <f t="shared" si="59"/>
        <v>Under Budget</v>
      </c>
    </row>
    <row r="1244" spans="1:8" x14ac:dyDescent="0.25">
      <c r="A1244" s="11">
        <v>45870</v>
      </c>
      <c r="B1244" s="10" t="s">
        <v>1786</v>
      </c>
      <c r="C1244" s="10" t="s">
        <v>1795</v>
      </c>
      <c r="D1244" s="12">
        <v>4478.62</v>
      </c>
      <c r="E1244" s="12">
        <v>4082.98</v>
      </c>
      <c r="F1244" s="12">
        <f t="shared" si="57"/>
        <v>-395.63999999999987</v>
      </c>
      <c r="G1244" s="27">
        <f t="shared" si="58"/>
        <v>-8.8339711786219841E-2</v>
      </c>
      <c r="H1244" s="10" t="str">
        <f t="shared" si="59"/>
        <v>Under Budget</v>
      </c>
    </row>
    <row r="1245" spans="1:8" x14ac:dyDescent="0.25">
      <c r="A1245" s="14">
        <v>45870</v>
      </c>
      <c r="B1245" s="13" t="s">
        <v>1792</v>
      </c>
      <c r="C1245" s="13" t="s">
        <v>1778</v>
      </c>
      <c r="D1245" s="15">
        <v>14886.9</v>
      </c>
      <c r="E1245" s="15">
        <v>15661.34</v>
      </c>
      <c r="F1245" s="15">
        <f t="shared" si="57"/>
        <v>774.44000000000051</v>
      </c>
      <c r="G1245" s="28">
        <f t="shared" si="58"/>
        <v>5.2021576016497761E-2</v>
      </c>
      <c r="H1245" s="13" t="str">
        <f t="shared" si="59"/>
        <v>Slightly Over</v>
      </c>
    </row>
    <row r="1246" spans="1:8" x14ac:dyDescent="0.25">
      <c r="A1246" s="11">
        <v>45870</v>
      </c>
      <c r="B1246" s="10" t="s">
        <v>1818</v>
      </c>
      <c r="C1246" s="10" t="s">
        <v>1775</v>
      </c>
      <c r="D1246" s="12">
        <v>42551.55</v>
      </c>
      <c r="E1246" s="12">
        <v>41938.36</v>
      </c>
      <c r="F1246" s="12">
        <f t="shared" si="57"/>
        <v>-613.19000000000233</v>
      </c>
      <c r="G1246" s="27">
        <f t="shared" si="58"/>
        <v>-1.4410520885843225E-2</v>
      </c>
      <c r="H1246" s="10" t="str">
        <f t="shared" si="59"/>
        <v>Under Budget</v>
      </c>
    </row>
    <row r="1247" spans="1:8" x14ac:dyDescent="0.25">
      <c r="A1247" s="14">
        <v>45870</v>
      </c>
      <c r="B1247" s="13" t="s">
        <v>1774</v>
      </c>
      <c r="C1247" s="13" t="s">
        <v>1797</v>
      </c>
      <c r="D1247" s="15">
        <v>5388.98</v>
      </c>
      <c r="E1247" s="15">
        <v>4957.74</v>
      </c>
      <c r="F1247" s="15">
        <f t="shared" si="57"/>
        <v>-431.23999999999978</v>
      </c>
      <c r="G1247" s="28">
        <f t="shared" si="58"/>
        <v>-8.0022564566949561E-2</v>
      </c>
      <c r="H1247" s="13" t="str">
        <f t="shared" si="59"/>
        <v>Under Budget</v>
      </c>
    </row>
    <row r="1248" spans="1:8" x14ac:dyDescent="0.25">
      <c r="A1248" s="11">
        <v>45870</v>
      </c>
      <c r="B1248" s="10" t="s">
        <v>1799</v>
      </c>
      <c r="C1248" s="10" t="s">
        <v>1792</v>
      </c>
      <c r="D1248" s="12">
        <v>6396.71</v>
      </c>
      <c r="E1248" s="12">
        <v>6507.17</v>
      </c>
      <c r="F1248" s="12">
        <f t="shared" si="57"/>
        <v>110.46000000000004</v>
      </c>
      <c r="G1248" s="27">
        <f t="shared" si="58"/>
        <v>1.7268251960773591E-2</v>
      </c>
      <c r="H1248" s="10" t="str">
        <f t="shared" si="59"/>
        <v>Within Budget</v>
      </c>
    </row>
    <row r="1249" spans="1:8" x14ac:dyDescent="0.25">
      <c r="A1249" s="14">
        <v>45870</v>
      </c>
      <c r="B1249" s="13" t="s">
        <v>1792</v>
      </c>
      <c r="C1249" s="13" t="s">
        <v>1780</v>
      </c>
      <c r="D1249" s="15">
        <v>7883.51</v>
      </c>
      <c r="E1249" s="15">
        <v>8631.99</v>
      </c>
      <c r="F1249" s="15">
        <f t="shared" si="57"/>
        <v>748.47999999999956</v>
      </c>
      <c r="G1249" s="28">
        <f t="shared" si="58"/>
        <v>9.4942481204438073E-2</v>
      </c>
      <c r="H1249" s="13" t="str">
        <f t="shared" si="59"/>
        <v>Slightly Over</v>
      </c>
    </row>
    <row r="1250" spans="1:8" x14ac:dyDescent="0.25">
      <c r="A1250" s="11">
        <v>45870</v>
      </c>
      <c r="B1250" s="10" t="s">
        <v>1862</v>
      </c>
      <c r="C1250" s="10" t="s">
        <v>1789</v>
      </c>
      <c r="D1250" s="12">
        <v>3889.53</v>
      </c>
      <c r="E1250" s="12">
        <v>4034.11</v>
      </c>
      <c r="F1250" s="12">
        <f t="shared" si="57"/>
        <v>144.57999999999993</v>
      </c>
      <c r="G1250" s="27">
        <f t="shared" si="58"/>
        <v>3.7171586284203986E-2</v>
      </c>
      <c r="H1250" s="10" t="str">
        <f t="shared" si="59"/>
        <v>Within Budget</v>
      </c>
    </row>
    <row r="1251" spans="1:8" x14ac:dyDescent="0.25">
      <c r="A1251" s="14">
        <v>45870</v>
      </c>
      <c r="B1251" s="13" t="s">
        <v>1877</v>
      </c>
      <c r="C1251" s="13" t="s">
        <v>1797</v>
      </c>
      <c r="D1251" s="15">
        <v>3526.59</v>
      </c>
      <c r="E1251" s="15">
        <v>3699.65</v>
      </c>
      <c r="F1251" s="15">
        <f t="shared" si="57"/>
        <v>173.05999999999995</v>
      </c>
      <c r="G1251" s="28">
        <f t="shared" si="58"/>
        <v>4.9072900450576884E-2</v>
      </c>
      <c r="H1251" s="13" t="str">
        <f t="shared" si="59"/>
        <v>Within Budget</v>
      </c>
    </row>
    <row r="1252" spans="1:8" x14ac:dyDescent="0.25">
      <c r="A1252" s="11">
        <v>45870</v>
      </c>
      <c r="B1252" s="10" t="s">
        <v>1862</v>
      </c>
      <c r="C1252" s="10" t="s">
        <v>1797</v>
      </c>
      <c r="D1252" s="12">
        <v>2756.83</v>
      </c>
      <c r="E1252" s="12">
        <v>2525.9299999999998</v>
      </c>
      <c r="F1252" s="12">
        <f t="shared" si="57"/>
        <v>-230.90000000000009</v>
      </c>
      <c r="G1252" s="27">
        <f t="shared" si="58"/>
        <v>-8.3755617865446941E-2</v>
      </c>
      <c r="H1252" s="10" t="str">
        <f t="shared" si="59"/>
        <v>Under Budget</v>
      </c>
    </row>
    <row r="1253" spans="1:8" x14ac:dyDescent="0.25">
      <c r="A1253" s="14">
        <v>45870</v>
      </c>
      <c r="B1253" s="13" t="s">
        <v>1792</v>
      </c>
      <c r="C1253" s="13" t="s">
        <v>1789</v>
      </c>
      <c r="D1253" s="15">
        <v>7711.67</v>
      </c>
      <c r="E1253" s="15">
        <v>7695.92</v>
      </c>
      <c r="F1253" s="15">
        <f t="shared" si="57"/>
        <v>-15.75</v>
      </c>
      <c r="G1253" s="28">
        <f t="shared" si="58"/>
        <v>-2.0423591777137765E-3</v>
      </c>
      <c r="H1253" s="13" t="str">
        <f t="shared" si="59"/>
        <v>Under Budget</v>
      </c>
    </row>
    <row r="1254" spans="1:8" x14ac:dyDescent="0.25">
      <c r="A1254" s="11">
        <v>45870</v>
      </c>
      <c r="B1254" s="10" t="s">
        <v>1774</v>
      </c>
      <c r="C1254" s="10" t="s">
        <v>1783</v>
      </c>
      <c r="D1254" s="12">
        <v>18038.13</v>
      </c>
      <c r="E1254" s="12">
        <v>17172.96</v>
      </c>
      <c r="F1254" s="12">
        <f t="shared" si="57"/>
        <v>-865.17000000000189</v>
      </c>
      <c r="G1254" s="27">
        <f t="shared" si="58"/>
        <v>-4.7963397536219213E-2</v>
      </c>
      <c r="H1254" s="10" t="str">
        <f t="shared" si="59"/>
        <v>Under Budget</v>
      </c>
    </row>
    <row r="1255" spans="1:8" x14ac:dyDescent="0.25">
      <c r="A1255" s="14">
        <v>45870</v>
      </c>
      <c r="B1255" s="13" t="s">
        <v>1862</v>
      </c>
      <c r="C1255" s="13" t="s">
        <v>1783</v>
      </c>
      <c r="D1255" s="15">
        <v>7985.84</v>
      </c>
      <c r="E1255" s="15">
        <v>7183.67</v>
      </c>
      <c r="F1255" s="15">
        <f t="shared" si="57"/>
        <v>-802.17000000000007</v>
      </c>
      <c r="G1255" s="28">
        <f t="shared" si="58"/>
        <v>-0.10044904480931249</v>
      </c>
      <c r="H1255" s="13" t="str">
        <f t="shared" si="59"/>
        <v>Under Budget</v>
      </c>
    </row>
    <row r="1256" spans="1:8" x14ac:dyDescent="0.25">
      <c r="A1256" s="11">
        <v>45870</v>
      </c>
      <c r="B1256" s="10" t="s">
        <v>1786</v>
      </c>
      <c r="C1256" s="10" t="s">
        <v>1797</v>
      </c>
      <c r="D1256" s="12">
        <v>3441.54</v>
      </c>
      <c r="E1256" s="12">
        <v>3563.33</v>
      </c>
      <c r="F1256" s="12">
        <f t="shared" si="57"/>
        <v>121.78999999999996</v>
      </c>
      <c r="G1256" s="27">
        <f t="shared" si="58"/>
        <v>3.5388227363331519E-2</v>
      </c>
      <c r="H1256" s="10" t="str">
        <f t="shared" si="59"/>
        <v>Within Budget</v>
      </c>
    </row>
    <row r="1257" spans="1:8" x14ac:dyDescent="0.25">
      <c r="A1257" s="14">
        <v>45870</v>
      </c>
      <c r="B1257" s="13" t="s">
        <v>1862</v>
      </c>
      <c r="C1257" s="13" t="s">
        <v>1778</v>
      </c>
      <c r="D1257" s="15">
        <v>9334.3799999999992</v>
      </c>
      <c r="E1257" s="15">
        <v>8744.4500000000007</v>
      </c>
      <c r="F1257" s="15">
        <f t="shared" si="57"/>
        <v>-589.92999999999847</v>
      </c>
      <c r="G1257" s="28">
        <f t="shared" si="58"/>
        <v>-6.319969831954543E-2</v>
      </c>
      <c r="H1257" s="13" t="str">
        <f t="shared" si="59"/>
        <v>Under Budget</v>
      </c>
    </row>
    <row r="1258" spans="1:8" x14ac:dyDescent="0.25">
      <c r="A1258" s="11">
        <v>45870</v>
      </c>
      <c r="B1258" s="10" t="s">
        <v>1786</v>
      </c>
      <c r="C1258" s="10" t="s">
        <v>1792</v>
      </c>
      <c r="D1258" s="12">
        <v>8287.5400000000009</v>
      </c>
      <c r="E1258" s="12">
        <v>9157.42</v>
      </c>
      <c r="F1258" s="12">
        <f t="shared" si="57"/>
        <v>869.8799999999992</v>
      </c>
      <c r="G1258" s="27">
        <f t="shared" si="58"/>
        <v>0.10496238932180105</v>
      </c>
      <c r="H1258" s="10" t="str">
        <f t="shared" si="59"/>
        <v>Slightly Over</v>
      </c>
    </row>
    <row r="1259" spans="1:8" x14ac:dyDescent="0.25">
      <c r="A1259" s="14">
        <v>45870</v>
      </c>
      <c r="B1259" s="13" t="s">
        <v>1792</v>
      </c>
      <c r="C1259" s="13" t="s">
        <v>1786</v>
      </c>
      <c r="D1259" s="15">
        <v>10950.53</v>
      </c>
      <c r="E1259" s="15">
        <v>11865.28</v>
      </c>
      <c r="F1259" s="15">
        <f t="shared" si="57"/>
        <v>914.75</v>
      </c>
      <c r="G1259" s="28">
        <f t="shared" si="58"/>
        <v>8.3534769549966983E-2</v>
      </c>
      <c r="H1259" s="13" t="str">
        <f t="shared" si="59"/>
        <v>Slightly Over</v>
      </c>
    </row>
    <row r="1260" spans="1:8" x14ac:dyDescent="0.25">
      <c r="A1260" s="11">
        <v>45870</v>
      </c>
      <c r="B1260" s="10" t="s">
        <v>1792</v>
      </c>
      <c r="C1260" s="10" t="s">
        <v>1797</v>
      </c>
      <c r="D1260" s="12">
        <v>4478.63</v>
      </c>
      <c r="E1260" s="12">
        <v>4786.8500000000004</v>
      </c>
      <c r="F1260" s="12">
        <f t="shared" si="57"/>
        <v>308.22000000000025</v>
      </c>
      <c r="G1260" s="27">
        <f t="shared" si="58"/>
        <v>6.8820152591305875E-2</v>
      </c>
      <c r="H1260" s="10" t="str">
        <f t="shared" si="59"/>
        <v>Slightly Over</v>
      </c>
    </row>
    <row r="1261" spans="1:8" x14ac:dyDescent="0.25">
      <c r="A1261" s="14">
        <v>45870</v>
      </c>
      <c r="B1261" s="13" t="s">
        <v>1877</v>
      </c>
      <c r="C1261" s="13" t="s">
        <v>1778</v>
      </c>
      <c r="D1261" s="15">
        <v>13566.76</v>
      </c>
      <c r="E1261" s="15">
        <v>14004.66</v>
      </c>
      <c r="F1261" s="15">
        <f t="shared" si="57"/>
        <v>437.89999999999964</v>
      </c>
      <c r="G1261" s="28">
        <f t="shared" si="58"/>
        <v>3.2277419221685914E-2</v>
      </c>
      <c r="H1261" s="13" t="str">
        <f t="shared" si="59"/>
        <v>Within Budget</v>
      </c>
    </row>
    <row r="1262" spans="1:8" x14ac:dyDescent="0.25">
      <c r="A1262" s="11">
        <v>45901</v>
      </c>
      <c r="B1262" s="10" t="s">
        <v>1774</v>
      </c>
      <c r="C1262" s="10" t="s">
        <v>1778</v>
      </c>
      <c r="D1262" s="12">
        <v>18522.96</v>
      </c>
      <c r="E1262" s="12">
        <v>18735.47</v>
      </c>
      <c r="F1262" s="12">
        <f t="shared" si="57"/>
        <v>212.51000000000204</v>
      </c>
      <c r="G1262" s="27">
        <f t="shared" si="58"/>
        <v>1.1472788366438304E-2</v>
      </c>
      <c r="H1262" s="10" t="str">
        <f t="shared" si="59"/>
        <v>Within Budget</v>
      </c>
    </row>
    <row r="1263" spans="1:8" x14ac:dyDescent="0.25">
      <c r="A1263" s="14">
        <v>45901</v>
      </c>
      <c r="B1263" s="13" t="s">
        <v>1792</v>
      </c>
      <c r="C1263" s="13" t="s">
        <v>1792</v>
      </c>
      <c r="D1263" s="15">
        <v>12426.23</v>
      </c>
      <c r="E1263" s="15">
        <v>12365.1</v>
      </c>
      <c r="F1263" s="15">
        <f t="shared" si="57"/>
        <v>-61.1299999999992</v>
      </c>
      <c r="G1263" s="28">
        <f t="shared" si="58"/>
        <v>-4.9194325229775402E-3</v>
      </c>
      <c r="H1263" s="13" t="str">
        <f t="shared" si="59"/>
        <v>Under Budget</v>
      </c>
    </row>
    <row r="1264" spans="1:8" x14ac:dyDescent="0.25">
      <c r="A1264" s="11">
        <v>45901</v>
      </c>
      <c r="B1264" s="10" t="s">
        <v>1792</v>
      </c>
      <c r="C1264" s="10" t="s">
        <v>1797</v>
      </c>
      <c r="D1264" s="12">
        <v>5547.71</v>
      </c>
      <c r="E1264" s="12">
        <v>5815.37</v>
      </c>
      <c r="F1264" s="12">
        <f t="shared" si="57"/>
        <v>267.65999999999985</v>
      </c>
      <c r="G1264" s="27">
        <f t="shared" si="58"/>
        <v>4.824693432064759E-2</v>
      </c>
      <c r="H1264" s="10" t="str">
        <f t="shared" si="59"/>
        <v>Within Budget</v>
      </c>
    </row>
    <row r="1265" spans="1:8" x14ac:dyDescent="0.25">
      <c r="A1265" s="14">
        <v>45901</v>
      </c>
      <c r="B1265" s="13" t="s">
        <v>1877</v>
      </c>
      <c r="C1265" s="13" t="s">
        <v>1780</v>
      </c>
      <c r="D1265" s="15">
        <v>4924.92</v>
      </c>
      <c r="E1265" s="15">
        <v>5384.97</v>
      </c>
      <c r="F1265" s="15">
        <f t="shared" si="57"/>
        <v>460.05000000000018</v>
      </c>
      <c r="G1265" s="28">
        <f t="shared" si="58"/>
        <v>9.341268487609955E-2</v>
      </c>
      <c r="H1265" s="13" t="str">
        <f t="shared" si="59"/>
        <v>Slightly Over</v>
      </c>
    </row>
    <row r="1266" spans="1:8" x14ac:dyDescent="0.25">
      <c r="A1266" s="11">
        <v>45901</v>
      </c>
      <c r="B1266" s="10" t="s">
        <v>1818</v>
      </c>
      <c r="C1266" s="10" t="s">
        <v>1778</v>
      </c>
      <c r="D1266" s="12">
        <v>7154.43</v>
      </c>
      <c r="E1266" s="12">
        <v>6819.88</v>
      </c>
      <c r="F1266" s="12">
        <f t="shared" si="57"/>
        <v>-334.55000000000018</v>
      </c>
      <c r="G1266" s="27">
        <f t="shared" si="58"/>
        <v>-4.6761237443094725E-2</v>
      </c>
      <c r="H1266" s="10" t="str">
        <f t="shared" si="59"/>
        <v>Under Budget</v>
      </c>
    </row>
    <row r="1267" spans="1:8" x14ac:dyDescent="0.25">
      <c r="A1267" s="14">
        <v>45901</v>
      </c>
      <c r="B1267" s="13" t="s">
        <v>1774</v>
      </c>
      <c r="C1267" s="13" t="s">
        <v>1797</v>
      </c>
      <c r="D1267" s="15">
        <v>5152.6899999999996</v>
      </c>
      <c r="E1267" s="15">
        <v>5692.29</v>
      </c>
      <c r="F1267" s="15">
        <f t="shared" si="57"/>
        <v>539.60000000000036</v>
      </c>
      <c r="G1267" s="28">
        <f t="shared" si="58"/>
        <v>0.10472199957692009</v>
      </c>
      <c r="H1267" s="13" t="str">
        <f t="shared" si="59"/>
        <v>Slightly Over</v>
      </c>
    </row>
    <row r="1268" spans="1:8" x14ac:dyDescent="0.25">
      <c r="A1268" s="11">
        <v>45901</v>
      </c>
      <c r="B1268" s="10" t="s">
        <v>1774</v>
      </c>
      <c r="C1268" s="10" t="s">
        <v>1780</v>
      </c>
      <c r="D1268" s="12">
        <v>9326.33</v>
      </c>
      <c r="E1268" s="12">
        <v>8650.84</v>
      </c>
      <c r="F1268" s="12">
        <f t="shared" si="57"/>
        <v>-675.48999999999978</v>
      </c>
      <c r="G1268" s="27">
        <f t="shared" si="58"/>
        <v>-7.2428275645403897E-2</v>
      </c>
      <c r="H1268" s="10" t="str">
        <f t="shared" si="59"/>
        <v>Under Budget</v>
      </c>
    </row>
    <row r="1269" spans="1:8" x14ac:dyDescent="0.25">
      <c r="A1269" s="14">
        <v>45901</v>
      </c>
      <c r="B1269" s="13" t="s">
        <v>1818</v>
      </c>
      <c r="C1269" s="13" t="s">
        <v>1797</v>
      </c>
      <c r="D1269" s="15">
        <v>2240.37</v>
      </c>
      <c r="E1269" s="15">
        <v>2028.56</v>
      </c>
      <c r="F1269" s="15">
        <f t="shared" si="57"/>
        <v>-211.80999999999995</v>
      </c>
      <c r="G1269" s="28">
        <f t="shared" si="58"/>
        <v>-9.4542419332520944E-2</v>
      </c>
      <c r="H1269" s="13" t="str">
        <f t="shared" si="59"/>
        <v>Under Budget</v>
      </c>
    </row>
    <row r="1270" spans="1:8" x14ac:dyDescent="0.25">
      <c r="A1270" s="11">
        <v>45901</v>
      </c>
      <c r="B1270" s="10" t="s">
        <v>1818</v>
      </c>
      <c r="C1270" s="10" t="s">
        <v>1789</v>
      </c>
      <c r="D1270" s="12">
        <v>3948.37</v>
      </c>
      <c r="E1270" s="12">
        <v>3737.99</v>
      </c>
      <c r="F1270" s="12">
        <f t="shared" si="57"/>
        <v>-210.38000000000011</v>
      </c>
      <c r="G1270" s="27">
        <f t="shared" si="58"/>
        <v>-5.3282747057646601E-2</v>
      </c>
      <c r="H1270" s="10" t="str">
        <f t="shared" si="59"/>
        <v>Under Budget</v>
      </c>
    </row>
    <row r="1271" spans="1:8" x14ac:dyDescent="0.25">
      <c r="A1271" s="14">
        <v>45901</v>
      </c>
      <c r="B1271" s="13" t="s">
        <v>1799</v>
      </c>
      <c r="C1271" s="13" t="s">
        <v>1775</v>
      </c>
      <c r="D1271" s="15">
        <v>41795.120000000003</v>
      </c>
      <c r="E1271" s="15">
        <v>40534.050000000003</v>
      </c>
      <c r="F1271" s="15">
        <f t="shared" si="57"/>
        <v>-1261.0699999999997</v>
      </c>
      <c r="G1271" s="28">
        <f t="shared" si="58"/>
        <v>-3.0172661305913218E-2</v>
      </c>
      <c r="H1271" s="13" t="str">
        <f t="shared" si="59"/>
        <v>Under Budget</v>
      </c>
    </row>
    <row r="1272" spans="1:8" x14ac:dyDescent="0.25">
      <c r="A1272" s="11">
        <v>45901</v>
      </c>
      <c r="B1272" s="10" t="s">
        <v>1877</v>
      </c>
      <c r="C1272" s="10" t="s">
        <v>1778</v>
      </c>
      <c r="D1272" s="12">
        <v>12957.11</v>
      </c>
      <c r="E1272" s="12">
        <v>12404.56</v>
      </c>
      <c r="F1272" s="12">
        <f t="shared" si="57"/>
        <v>-552.55000000000109</v>
      </c>
      <c r="G1272" s="27">
        <f t="shared" si="58"/>
        <v>-4.2644540333454072E-2</v>
      </c>
      <c r="H1272" s="10" t="str">
        <f t="shared" si="59"/>
        <v>Under Budget</v>
      </c>
    </row>
    <row r="1273" spans="1:8" x14ac:dyDescent="0.25">
      <c r="A1273" s="14">
        <v>45901</v>
      </c>
      <c r="B1273" s="13" t="s">
        <v>1862</v>
      </c>
      <c r="C1273" s="13" t="s">
        <v>1786</v>
      </c>
      <c r="D1273" s="15">
        <v>6156.09</v>
      </c>
      <c r="E1273" s="15">
        <v>5899.53</v>
      </c>
      <c r="F1273" s="15">
        <f t="shared" si="57"/>
        <v>-256.5600000000004</v>
      </c>
      <c r="G1273" s="28">
        <f t="shared" si="58"/>
        <v>-4.1675803959981154E-2</v>
      </c>
      <c r="H1273" s="13" t="str">
        <f t="shared" si="59"/>
        <v>Under Budget</v>
      </c>
    </row>
    <row r="1274" spans="1:8" x14ac:dyDescent="0.25">
      <c r="A1274" s="11">
        <v>45901</v>
      </c>
      <c r="B1274" s="10" t="s">
        <v>1862</v>
      </c>
      <c r="C1274" s="10" t="s">
        <v>1797</v>
      </c>
      <c r="D1274" s="12">
        <v>2456.9299999999998</v>
      </c>
      <c r="E1274" s="12">
        <v>2223.52</v>
      </c>
      <c r="F1274" s="12">
        <f t="shared" si="57"/>
        <v>-233.40999999999985</v>
      </c>
      <c r="G1274" s="27">
        <f t="shared" si="58"/>
        <v>-9.5000671569804546E-2</v>
      </c>
      <c r="H1274" s="10" t="str">
        <f t="shared" si="59"/>
        <v>Under Budget</v>
      </c>
    </row>
    <row r="1275" spans="1:8" x14ac:dyDescent="0.25">
      <c r="A1275" s="14">
        <v>45901</v>
      </c>
      <c r="B1275" s="13" t="s">
        <v>1799</v>
      </c>
      <c r="C1275" s="13" t="s">
        <v>1786</v>
      </c>
      <c r="D1275" s="15">
        <v>7290.9</v>
      </c>
      <c r="E1275" s="15">
        <v>6555.7</v>
      </c>
      <c r="F1275" s="15">
        <f t="shared" si="57"/>
        <v>-735.19999999999982</v>
      </c>
      <c r="G1275" s="28">
        <f t="shared" si="58"/>
        <v>-0.10083803097011342</v>
      </c>
      <c r="H1275" s="13" t="str">
        <f t="shared" si="59"/>
        <v>Under Budget</v>
      </c>
    </row>
    <row r="1276" spans="1:8" x14ac:dyDescent="0.25">
      <c r="A1276" s="11">
        <v>45901</v>
      </c>
      <c r="B1276" s="10" t="s">
        <v>1799</v>
      </c>
      <c r="C1276" s="10" t="s">
        <v>1778</v>
      </c>
      <c r="D1276" s="12">
        <v>7376.54</v>
      </c>
      <c r="E1276" s="12">
        <v>7421.99</v>
      </c>
      <c r="F1276" s="12">
        <f t="shared" si="57"/>
        <v>45.449999999999818</v>
      </c>
      <c r="G1276" s="27">
        <f t="shared" si="58"/>
        <v>6.1614252752645307E-3</v>
      </c>
      <c r="H1276" s="10" t="str">
        <f t="shared" si="59"/>
        <v>Within Budget</v>
      </c>
    </row>
    <row r="1277" spans="1:8" x14ac:dyDescent="0.25">
      <c r="A1277" s="14">
        <v>45901</v>
      </c>
      <c r="B1277" s="13" t="s">
        <v>1774</v>
      </c>
      <c r="C1277" s="13" t="s">
        <v>1795</v>
      </c>
      <c r="D1277" s="15">
        <v>6007.6</v>
      </c>
      <c r="E1277" s="15">
        <v>5800.2</v>
      </c>
      <c r="F1277" s="15">
        <f t="shared" si="57"/>
        <v>-207.40000000000055</v>
      </c>
      <c r="G1277" s="28">
        <f t="shared" si="58"/>
        <v>-3.4522937612357772E-2</v>
      </c>
      <c r="H1277" s="13" t="str">
        <f t="shared" si="59"/>
        <v>Under Budget</v>
      </c>
    </row>
    <row r="1278" spans="1:8" x14ac:dyDescent="0.25">
      <c r="A1278" s="11">
        <v>45901</v>
      </c>
      <c r="B1278" s="10" t="s">
        <v>1774</v>
      </c>
      <c r="C1278" s="10" t="s">
        <v>1789</v>
      </c>
      <c r="D1278" s="12">
        <v>9833.9</v>
      </c>
      <c r="E1278" s="12">
        <v>9134.07</v>
      </c>
      <c r="F1278" s="12">
        <f t="shared" si="57"/>
        <v>-699.82999999999993</v>
      </c>
      <c r="G1278" s="27">
        <f t="shared" si="58"/>
        <v>-7.1165051505506463E-2</v>
      </c>
      <c r="H1278" s="10" t="str">
        <f t="shared" si="59"/>
        <v>Under Budget</v>
      </c>
    </row>
    <row r="1279" spans="1:8" x14ac:dyDescent="0.25">
      <c r="A1279" s="14">
        <v>45901</v>
      </c>
      <c r="B1279" s="13" t="s">
        <v>1786</v>
      </c>
      <c r="C1279" s="13" t="s">
        <v>1778</v>
      </c>
      <c r="D1279" s="15">
        <v>11865.68</v>
      </c>
      <c r="E1279" s="15">
        <v>13180.74</v>
      </c>
      <c r="F1279" s="15">
        <f t="shared" si="57"/>
        <v>1315.0599999999995</v>
      </c>
      <c r="G1279" s="28">
        <f t="shared" si="58"/>
        <v>0.1108288779067023</v>
      </c>
      <c r="H1279" s="13" t="str">
        <f t="shared" si="59"/>
        <v>Slightly Over</v>
      </c>
    </row>
    <row r="1280" spans="1:8" x14ac:dyDescent="0.25">
      <c r="A1280" s="11">
        <v>45901</v>
      </c>
      <c r="B1280" s="10" t="s">
        <v>1877</v>
      </c>
      <c r="C1280" s="10" t="s">
        <v>1786</v>
      </c>
      <c r="D1280" s="12">
        <v>10781.3</v>
      </c>
      <c r="E1280" s="12">
        <v>10612.11</v>
      </c>
      <c r="F1280" s="12">
        <f t="shared" si="57"/>
        <v>-169.18999999999869</v>
      </c>
      <c r="G1280" s="27">
        <f t="shared" si="58"/>
        <v>-1.569291272852056E-2</v>
      </c>
      <c r="H1280" s="10" t="str">
        <f t="shared" si="59"/>
        <v>Under Budget</v>
      </c>
    </row>
    <row r="1281" spans="1:8" x14ac:dyDescent="0.25">
      <c r="A1281" s="14">
        <v>45901</v>
      </c>
      <c r="B1281" s="13" t="s">
        <v>1877</v>
      </c>
      <c r="C1281" s="13" t="s">
        <v>1797</v>
      </c>
      <c r="D1281" s="15">
        <v>3992.86</v>
      </c>
      <c r="E1281" s="15">
        <v>3825.92</v>
      </c>
      <c r="F1281" s="15">
        <f t="shared" si="57"/>
        <v>-166.94000000000005</v>
      </c>
      <c r="G1281" s="28">
        <f t="shared" si="58"/>
        <v>-4.1809630189888966E-2</v>
      </c>
      <c r="H1281" s="13" t="str">
        <f t="shared" si="59"/>
        <v>Under Budget</v>
      </c>
    </row>
    <row r="1282" spans="1:8" x14ac:dyDescent="0.25">
      <c r="A1282" s="11">
        <v>45901</v>
      </c>
      <c r="B1282" s="10" t="s">
        <v>1877</v>
      </c>
      <c r="C1282" s="10" t="s">
        <v>1789</v>
      </c>
      <c r="D1282" s="12">
        <v>6368.94</v>
      </c>
      <c r="E1282" s="12">
        <v>6021.01</v>
      </c>
      <c r="F1282" s="12">
        <f t="shared" ref="F1282:F1345" si="60">E1282-D1282</f>
        <v>-347.92999999999938</v>
      </c>
      <c r="G1282" s="27">
        <f t="shared" ref="G1282:G1345" si="61">IFERROR(F1282/D1282,0)</f>
        <v>-5.4629184762299443E-2</v>
      </c>
      <c r="H1282" s="10" t="str">
        <f t="shared" ref="H1282:H1345" si="62">IF(G1282&lt;=0,"Under Budget",IF(G1282&lt;=5%,"Within Budget",IF(G1282&lt;=15%,"Slightly Over","Significantly Over")))</f>
        <v>Under Budget</v>
      </c>
    </row>
    <row r="1283" spans="1:8" x14ac:dyDescent="0.25">
      <c r="A1283" s="14">
        <v>45901</v>
      </c>
      <c r="B1283" s="13" t="s">
        <v>1862</v>
      </c>
      <c r="C1283" s="13" t="s">
        <v>1783</v>
      </c>
      <c r="D1283" s="15">
        <v>5251.42</v>
      </c>
      <c r="E1283" s="15">
        <v>5352.4</v>
      </c>
      <c r="F1283" s="15">
        <f t="shared" si="60"/>
        <v>100.97999999999956</v>
      </c>
      <c r="G1283" s="28">
        <f t="shared" si="61"/>
        <v>1.9229084704708358E-2</v>
      </c>
      <c r="H1283" s="13" t="str">
        <f t="shared" si="62"/>
        <v>Within Budget</v>
      </c>
    </row>
    <row r="1284" spans="1:8" x14ac:dyDescent="0.25">
      <c r="A1284" s="11">
        <v>45901</v>
      </c>
      <c r="B1284" s="10" t="s">
        <v>1786</v>
      </c>
      <c r="C1284" s="10" t="s">
        <v>1797</v>
      </c>
      <c r="D1284" s="12">
        <v>3483.12</v>
      </c>
      <c r="E1284" s="12">
        <v>3609.29</v>
      </c>
      <c r="F1284" s="12">
        <f t="shared" si="60"/>
        <v>126.17000000000007</v>
      </c>
      <c r="G1284" s="27">
        <f t="shared" si="61"/>
        <v>3.622327109028689E-2</v>
      </c>
      <c r="H1284" s="10" t="str">
        <f t="shared" si="62"/>
        <v>Within Budget</v>
      </c>
    </row>
    <row r="1285" spans="1:8" x14ac:dyDescent="0.25">
      <c r="A1285" s="14">
        <v>45901</v>
      </c>
      <c r="B1285" s="13" t="s">
        <v>1862</v>
      </c>
      <c r="C1285" s="13" t="s">
        <v>1775</v>
      </c>
      <c r="D1285" s="15">
        <v>40193.519999999997</v>
      </c>
      <c r="E1285" s="15">
        <v>42755.82</v>
      </c>
      <c r="F1285" s="15">
        <f t="shared" si="60"/>
        <v>2562.3000000000029</v>
      </c>
      <c r="G1285" s="28">
        <f t="shared" si="61"/>
        <v>6.3749081941566782E-2</v>
      </c>
      <c r="H1285" s="13" t="str">
        <f t="shared" si="62"/>
        <v>Slightly Over</v>
      </c>
    </row>
    <row r="1286" spans="1:8" x14ac:dyDescent="0.25">
      <c r="A1286" s="11">
        <v>45901</v>
      </c>
      <c r="B1286" s="10" t="s">
        <v>1799</v>
      </c>
      <c r="C1286" s="10" t="s">
        <v>1797</v>
      </c>
      <c r="D1286" s="12">
        <v>2090.69</v>
      </c>
      <c r="E1286" s="12">
        <v>2044.25</v>
      </c>
      <c r="F1286" s="12">
        <f t="shared" si="60"/>
        <v>-46.440000000000055</v>
      </c>
      <c r="G1286" s="27">
        <f t="shared" si="61"/>
        <v>-2.2212762293788199E-2</v>
      </c>
      <c r="H1286" s="10" t="str">
        <f t="shared" si="62"/>
        <v>Under Budget</v>
      </c>
    </row>
    <row r="1287" spans="1:8" x14ac:dyDescent="0.25">
      <c r="A1287" s="14">
        <v>45901</v>
      </c>
      <c r="B1287" s="13" t="s">
        <v>1774</v>
      </c>
      <c r="C1287" s="13" t="s">
        <v>1786</v>
      </c>
      <c r="D1287" s="15">
        <v>15321.38</v>
      </c>
      <c r="E1287" s="15">
        <v>13900.14</v>
      </c>
      <c r="F1287" s="15">
        <f t="shared" si="60"/>
        <v>-1421.2399999999998</v>
      </c>
      <c r="G1287" s="28">
        <f t="shared" si="61"/>
        <v>-9.276187915187796E-2</v>
      </c>
      <c r="H1287" s="13" t="str">
        <f t="shared" si="62"/>
        <v>Under Budget</v>
      </c>
    </row>
    <row r="1288" spans="1:8" x14ac:dyDescent="0.25">
      <c r="A1288" s="11">
        <v>45901</v>
      </c>
      <c r="B1288" s="10" t="s">
        <v>1786</v>
      </c>
      <c r="C1288" s="10" t="s">
        <v>1780</v>
      </c>
      <c r="D1288" s="12">
        <v>7436.28</v>
      </c>
      <c r="E1288" s="12">
        <v>6778.03</v>
      </c>
      <c r="F1288" s="12">
        <f t="shared" si="60"/>
        <v>-658.25</v>
      </c>
      <c r="G1288" s="27">
        <f t="shared" si="61"/>
        <v>-8.8518721726454627E-2</v>
      </c>
      <c r="H1288" s="10" t="str">
        <f t="shared" si="62"/>
        <v>Under Budget</v>
      </c>
    </row>
    <row r="1289" spans="1:8" x14ac:dyDescent="0.25">
      <c r="A1289" s="14">
        <v>45901</v>
      </c>
      <c r="B1289" s="13" t="s">
        <v>1786</v>
      </c>
      <c r="C1289" s="13" t="s">
        <v>1789</v>
      </c>
      <c r="D1289" s="15">
        <v>6360.49</v>
      </c>
      <c r="E1289" s="15">
        <v>6495.65</v>
      </c>
      <c r="F1289" s="15">
        <f t="shared" si="60"/>
        <v>135.15999999999985</v>
      </c>
      <c r="G1289" s="28">
        <f t="shared" si="61"/>
        <v>2.1249935146505985E-2</v>
      </c>
      <c r="H1289" s="13" t="str">
        <f t="shared" si="62"/>
        <v>Within Budget</v>
      </c>
    </row>
    <row r="1290" spans="1:8" x14ac:dyDescent="0.25">
      <c r="A1290" s="11">
        <v>45901</v>
      </c>
      <c r="B1290" s="10" t="s">
        <v>1818</v>
      </c>
      <c r="C1290" s="10" t="s">
        <v>1780</v>
      </c>
      <c r="D1290" s="12">
        <v>3599.56</v>
      </c>
      <c r="E1290" s="12">
        <v>3762.36</v>
      </c>
      <c r="F1290" s="12">
        <f t="shared" si="60"/>
        <v>162.80000000000018</v>
      </c>
      <c r="G1290" s="27">
        <f t="shared" si="61"/>
        <v>4.5227750058340517E-2</v>
      </c>
      <c r="H1290" s="10" t="str">
        <f t="shared" si="62"/>
        <v>Within Budget</v>
      </c>
    </row>
    <row r="1291" spans="1:8" x14ac:dyDescent="0.25">
      <c r="A1291" s="14">
        <v>45901</v>
      </c>
      <c r="B1291" s="13" t="s">
        <v>1799</v>
      </c>
      <c r="C1291" s="13" t="s">
        <v>1795</v>
      </c>
      <c r="D1291" s="15">
        <v>2334.12</v>
      </c>
      <c r="E1291" s="15">
        <v>2174.2399999999998</v>
      </c>
      <c r="F1291" s="15">
        <f t="shared" si="60"/>
        <v>-159.88000000000011</v>
      </c>
      <c r="G1291" s="28">
        <f t="shared" si="61"/>
        <v>-6.8496906757150491E-2</v>
      </c>
      <c r="H1291" s="13" t="str">
        <f t="shared" si="62"/>
        <v>Under Budget</v>
      </c>
    </row>
    <row r="1292" spans="1:8" x14ac:dyDescent="0.25">
      <c r="A1292" s="11">
        <v>45901</v>
      </c>
      <c r="B1292" s="10" t="s">
        <v>1774</v>
      </c>
      <c r="C1292" s="10" t="s">
        <v>1792</v>
      </c>
      <c r="D1292" s="12">
        <v>15354.25</v>
      </c>
      <c r="E1292" s="12">
        <v>14492.04</v>
      </c>
      <c r="F1292" s="12">
        <f t="shared" si="60"/>
        <v>-862.20999999999913</v>
      </c>
      <c r="G1292" s="27">
        <f t="shared" si="61"/>
        <v>-5.6154484914600136E-2</v>
      </c>
      <c r="H1292" s="10" t="str">
        <f t="shared" si="62"/>
        <v>Under Budget</v>
      </c>
    </row>
    <row r="1293" spans="1:8" x14ac:dyDescent="0.25">
      <c r="A1293" s="14">
        <v>45901</v>
      </c>
      <c r="B1293" s="13" t="s">
        <v>1799</v>
      </c>
      <c r="C1293" s="13" t="s">
        <v>1789</v>
      </c>
      <c r="D1293" s="15">
        <v>4324.09</v>
      </c>
      <c r="E1293" s="15">
        <v>4276.3</v>
      </c>
      <c r="F1293" s="15">
        <f t="shared" si="60"/>
        <v>-47.789999999999964</v>
      </c>
      <c r="G1293" s="28">
        <f t="shared" si="61"/>
        <v>-1.1052036382221454E-2</v>
      </c>
      <c r="H1293" s="13" t="str">
        <f t="shared" si="62"/>
        <v>Under Budget</v>
      </c>
    </row>
    <row r="1294" spans="1:8" x14ac:dyDescent="0.25">
      <c r="A1294" s="11">
        <v>45901</v>
      </c>
      <c r="B1294" s="10" t="s">
        <v>1792</v>
      </c>
      <c r="C1294" s="10" t="s">
        <v>1778</v>
      </c>
      <c r="D1294" s="12">
        <v>14074.23</v>
      </c>
      <c r="E1294" s="12">
        <v>14280.05</v>
      </c>
      <c r="F1294" s="12">
        <f t="shared" si="60"/>
        <v>205.81999999999971</v>
      </c>
      <c r="G1294" s="27">
        <f t="shared" si="61"/>
        <v>1.462389061426449E-2</v>
      </c>
      <c r="H1294" s="10" t="str">
        <f t="shared" si="62"/>
        <v>Within Budget</v>
      </c>
    </row>
    <row r="1295" spans="1:8" x14ac:dyDescent="0.25">
      <c r="A1295" s="14">
        <v>45901</v>
      </c>
      <c r="B1295" s="13" t="s">
        <v>1877</v>
      </c>
      <c r="C1295" s="13" t="s">
        <v>1795</v>
      </c>
      <c r="D1295" s="15">
        <v>3879.54</v>
      </c>
      <c r="E1295" s="15">
        <v>4183.99</v>
      </c>
      <c r="F1295" s="15">
        <f t="shared" si="60"/>
        <v>304.44999999999982</v>
      </c>
      <c r="G1295" s="28">
        <f t="shared" si="61"/>
        <v>7.8475798677162714E-2</v>
      </c>
      <c r="H1295" s="13" t="str">
        <f t="shared" si="62"/>
        <v>Slightly Over</v>
      </c>
    </row>
    <row r="1296" spans="1:8" x14ac:dyDescent="0.25">
      <c r="A1296" s="11">
        <v>45901</v>
      </c>
      <c r="B1296" s="10" t="s">
        <v>1818</v>
      </c>
      <c r="C1296" s="10" t="s">
        <v>1795</v>
      </c>
      <c r="D1296" s="12">
        <v>2406.38</v>
      </c>
      <c r="E1296" s="12">
        <v>2243.23</v>
      </c>
      <c r="F1296" s="12">
        <f t="shared" si="60"/>
        <v>-163.15000000000009</v>
      </c>
      <c r="G1296" s="27">
        <f t="shared" si="61"/>
        <v>-6.7798934499123192E-2</v>
      </c>
      <c r="H1296" s="10" t="str">
        <f t="shared" si="62"/>
        <v>Under Budget</v>
      </c>
    </row>
    <row r="1297" spans="1:8" x14ac:dyDescent="0.25">
      <c r="A1297" s="14">
        <v>45901</v>
      </c>
      <c r="B1297" s="13" t="s">
        <v>1786</v>
      </c>
      <c r="C1297" s="13" t="s">
        <v>1786</v>
      </c>
      <c r="D1297" s="15">
        <v>9641.7999999999993</v>
      </c>
      <c r="E1297" s="15">
        <v>9308.17</v>
      </c>
      <c r="F1297" s="15">
        <f t="shared" si="60"/>
        <v>-333.6299999999992</v>
      </c>
      <c r="G1297" s="28">
        <f t="shared" si="61"/>
        <v>-3.4602460121553984E-2</v>
      </c>
      <c r="H1297" s="13" t="str">
        <f t="shared" si="62"/>
        <v>Under Budget</v>
      </c>
    </row>
    <row r="1298" spans="1:8" x14ac:dyDescent="0.25">
      <c r="A1298" s="11">
        <v>45901</v>
      </c>
      <c r="B1298" s="10" t="s">
        <v>1818</v>
      </c>
      <c r="C1298" s="10" t="s">
        <v>1783</v>
      </c>
      <c r="D1298" s="12">
        <v>5245.22</v>
      </c>
      <c r="E1298" s="12">
        <v>5336.4</v>
      </c>
      <c r="F1298" s="12">
        <f t="shared" si="60"/>
        <v>91.179999999999382</v>
      </c>
      <c r="G1298" s="27">
        <f t="shared" si="61"/>
        <v>1.7383446261548492E-2</v>
      </c>
      <c r="H1298" s="10" t="str">
        <f t="shared" si="62"/>
        <v>Within Budget</v>
      </c>
    </row>
    <row r="1299" spans="1:8" x14ac:dyDescent="0.25">
      <c r="A1299" s="14">
        <v>45901</v>
      </c>
      <c r="B1299" s="13" t="s">
        <v>1877</v>
      </c>
      <c r="C1299" s="13" t="s">
        <v>1792</v>
      </c>
      <c r="D1299" s="15">
        <v>10062.290000000001</v>
      </c>
      <c r="E1299" s="15">
        <v>9129.83</v>
      </c>
      <c r="F1299" s="15">
        <f t="shared" si="60"/>
        <v>-932.46000000000095</v>
      </c>
      <c r="G1299" s="28">
        <f t="shared" si="61"/>
        <v>-9.2668766254997703E-2</v>
      </c>
      <c r="H1299" s="13" t="str">
        <f t="shared" si="62"/>
        <v>Under Budget</v>
      </c>
    </row>
    <row r="1300" spans="1:8" x14ac:dyDescent="0.25">
      <c r="A1300" s="11">
        <v>45901</v>
      </c>
      <c r="B1300" s="10" t="s">
        <v>1862</v>
      </c>
      <c r="C1300" s="10" t="s">
        <v>1778</v>
      </c>
      <c r="D1300" s="12">
        <v>6846.25</v>
      </c>
      <c r="E1300" s="12">
        <v>6550.63</v>
      </c>
      <c r="F1300" s="12">
        <f t="shared" si="60"/>
        <v>-295.61999999999989</v>
      </c>
      <c r="G1300" s="27">
        <f t="shared" si="61"/>
        <v>-4.3179842979733415E-2</v>
      </c>
      <c r="H1300" s="10" t="str">
        <f t="shared" si="62"/>
        <v>Under Budget</v>
      </c>
    </row>
    <row r="1301" spans="1:8" x14ac:dyDescent="0.25">
      <c r="A1301" s="14">
        <v>45901</v>
      </c>
      <c r="B1301" s="13" t="s">
        <v>1862</v>
      </c>
      <c r="C1301" s="13" t="s">
        <v>1789</v>
      </c>
      <c r="D1301" s="15">
        <v>4731.46</v>
      </c>
      <c r="E1301" s="15">
        <v>4284.0600000000004</v>
      </c>
      <c r="F1301" s="15">
        <f t="shared" si="60"/>
        <v>-447.39999999999964</v>
      </c>
      <c r="G1301" s="28">
        <f t="shared" si="61"/>
        <v>-9.4558550637646649E-2</v>
      </c>
      <c r="H1301" s="13" t="str">
        <f t="shared" si="62"/>
        <v>Under Budget</v>
      </c>
    </row>
    <row r="1302" spans="1:8" x14ac:dyDescent="0.25">
      <c r="A1302" s="11">
        <v>45901</v>
      </c>
      <c r="B1302" s="10" t="s">
        <v>1786</v>
      </c>
      <c r="C1302" s="10" t="s">
        <v>1775</v>
      </c>
      <c r="D1302" s="12">
        <v>66993.89</v>
      </c>
      <c r="E1302" s="12">
        <v>66702.350000000006</v>
      </c>
      <c r="F1302" s="12">
        <f t="shared" si="60"/>
        <v>-291.5399999999936</v>
      </c>
      <c r="G1302" s="27">
        <f t="shared" si="61"/>
        <v>-4.3517401363018862E-3</v>
      </c>
      <c r="H1302" s="10" t="str">
        <f t="shared" si="62"/>
        <v>Under Budget</v>
      </c>
    </row>
    <row r="1303" spans="1:8" x14ac:dyDescent="0.25">
      <c r="A1303" s="14">
        <v>45901</v>
      </c>
      <c r="B1303" s="13" t="s">
        <v>1818</v>
      </c>
      <c r="C1303" s="13" t="s">
        <v>1786</v>
      </c>
      <c r="D1303" s="15">
        <v>5285</v>
      </c>
      <c r="E1303" s="15">
        <v>5284.92</v>
      </c>
      <c r="F1303" s="15">
        <f t="shared" si="60"/>
        <v>-7.999999999992724E-2</v>
      </c>
      <c r="G1303" s="28">
        <f t="shared" si="61"/>
        <v>-1.513718070008084E-5</v>
      </c>
      <c r="H1303" s="13" t="str">
        <f t="shared" si="62"/>
        <v>Under Budget</v>
      </c>
    </row>
    <row r="1304" spans="1:8" x14ac:dyDescent="0.25">
      <c r="A1304" s="11">
        <v>45901</v>
      </c>
      <c r="B1304" s="10" t="s">
        <v>1799</v>
      </c>
      <c r="C1304" s="10" t="s">
        <v>1792</v>
      </c>
      <c r="D1304" s="12">
        <v>6391.03</v>
      </c>
      <c r="E1304" s="12">
        <v>5777.5</v>
      </c>
      <c r="F1304" s="12">
        <f t="shared" si="60"/>
        <v>-613.52999999999975</v>
      </c>
      <c r="G1304" s="27">
        <f t="shared" si="61"/>
        <v>-9.5998610552602601E-2</v>
      </c>
      <c r="H1304" s="10" t="str">
        <f t="shared" si="62"/>
        <v>Under Budget</v>
      </c>
    </row>
    <row r="1305" spans="1:8" x14ac:dyDescent="0.25">
      <c r="A1305" s="14">
        <v>45901</v>
      </c>
      <c r="B1305" s="13" t="s">
        <v>1786</v>
      </c>
      <c r="C1305" s="13" t="s">
        <v>1783</v>
      </c>
      <c r="D1305" s="15">
        <v>10898.38</v>
      </c>
      <c r="E1305" s="15">
        <v>9808.16</v>
      </c>
      <c r="F1305" s="15">
        <f t="shared" si="60"/>
        <v>-1090.2199999999993</v>
      </c>
      <c r="G1305" s="28">
        <f t="shared" si="61"/>
        <v>-0.1000350510809863</v>
      </c>
      <c r="H1305" s="13" t="str">
        <f t="shared" si="62"/>
        <v>Under Budget</v>
      </c>
    </row>
    <row r="1306" spans="1:8" x14ac:dyDescent="0.25">
      <c r="A1306" s="11">
        <v>45901</v>
      </c>
      <c r="B1306" s="10" t="s">
        <v>1792</v>
      </c>
      <c r="C1306" s="10" t="s">
        <v>1786</v>
      </c>
      <c r="D1306" s="12">
        <v>16113.3</v>
      </c>
      <c r="E1306" s="12">
        <v>14498.61</v>
      </c>
      <c r="F1306" s="12">
        <f t="shared" si="60"/>
        <v>-1614.6899999999987</v>
      </c>
      <c r="G1306" s="27">
        <f t="shared" si="61"/>
        <v>-0.10020852339371815</v>
      </c>
      <c r="H1306" s="10" t="str">
        <f t="shared" si="62"/>
        <v>Under Budget</v>
      </c>
    </row>
    <row r="1307" spans="1:8" x14ac:dyDescent="0.25">
      <c r="A1307" s="14">
        <v>45901</v>
      </c>
      <c r="B1307" s="13" t="s">
        <v>1862</v>
      </c>
      <c r="C1307" s="13" t="s">
        <v>1795</v>
      </c>
      <c r="D1307" s="15">
        <v>2089.2399999999998</v>
      </c>
      <c r="E1307" s="15">
        <v>1934.2</v>
      </c>
      <c r="F1307" s="15">
        <f t="shared" si="60"/>
        <v>-155.03999999999974</v>
      </c>
      <c r="G1307" s="28">
        <f t="shared" si="61"/>
        <v>-7.4208803201163936E-2</v>
      </c>
      <c r="H1307" s="13" t="str">
        <f t="shared" si="62"/>
        <v>Under Budget</v>
      </c>
    </row>
    <row r="1308" spans="1:8" x14ac:dyDescent="0.25">
      <c r="A1308" s="11">
        <v>45901</v>
      </c>
      <c r="B1308" s="10" t="s">
        <v>1862</v>
      </c>
      <c r="C1308" s="10" t="s">
        <v>1780</v>
      </c>
      <c r="D1308" s="12">
        <v>4024.67</v>
      </c>
      <c r="E1308" s="12">
        <v>4017.72</v>
      </c>
      <c r="F1308" s="12">
        <f t="shared" si="60"/>
        <v>-6.9500000000002728</v>
      </c>
      <c r="G1308" s="27">
        <f t="shared" si="61"/>
        <v>-1.7268496547543706E-3</v>
      </c>
      <c r="H1308" s="10" t="str">
        <f t="shared" si="62"/>
        <v>Under Budget</v>
      </c>
    </row>
    <row r="1309" spans="1:8" x14ac:dyDescent="0.25">
      <c r="A1309" s="14">
        <v>45901</v>
      </c>
      <c r="B1309" s="13" t="s">
        <v>1818</v>
      </c>
      <c r="C1309" s="13" t="s">
        <v>1792</v>
      </c>
      <c r="D1309" s="15">
        <v>5645.25</v>
      </c>
      <c r="E1309" s="15">
        <v>5965.82</v>
      </c>
      <c r="F1309" s="15">
        <f t="shared" si="60"/>
        <v>320.56999999999971</v>
      </c>
      <c r="G1309" s="28">
        <f t="shared" si="61"/>
        <v>5.6785793366104197E-2</v>
      </c>
      <c r="H1309" s="13" t="str">
        <f t="shared" si="62"/>
        <v>Slightly Over</v>
      </c>
    </row>
    <row r="1310" spans="1:8" x14ac:dyDescent="0.25">
      <c r="A1310" s="11">
        <v>45901</v>
      </c>
      <c r="B1310" s="10" t="s">
        <v>1786</v>
      </c>
      <c r="C1310" s="10" t="s">
        <v>1792</v>
      </c>
      <c r="D1310" s="12">
        <v>8661.9500000000007</v>
      </c>
      <c r="E1310" s="12">
        <v>8799.6</v>
      </c>
      <c r="F1310" s="12">
        <f t="shared" si="60"/>
        <v>137.64999999999964</v>
      </c>
      <c r="G1310" s="27">
        <f t="shared" si="61"/>
        <v>1.589134086435498E-2</v>
      </c>
      <c r="H1310" s="10" t="str">
        <f t="shared" si="62"/>
        <v>Within Budget</v>
      </c>
    </row>
    <row r="1311" spans="1:8" x14ac:dyDescent="0.25">
      <c r="A1311" s="14">
        <v>45901</v>
      </c>
      <c r="B1311" s="13" t="s">
        <v>1792</v>
      </c>
      <c r="C1311" s="13" t="s">
        <v>1775</v>
      </c>
      <c r="D1311" s="15">
        <v>105541.02</v>
      </c>
      <c r="E1311" s="15">
        <v>95389.18</v>
      </c>
      <c r="F1311" s="15">
        <f t="shared" si="60"/>
        <v>-10151.840000000011</v>
      </c>
      <c r="G1311" s="28">
        <f t="shared" si="61"/>
        <v>-9.6188571988408023E-2</v>
      </c>
      <c r="H1311" s="13" t="str">
        <f t="shared" si="62"/>
        <v>Under Budget</v>
      </c>
    </row>
    <row r="1312" spans="1:8" x14ac:dyDescent="0.25">
      <c r="A1312" s="11">
        <v>45901</v>
      </c>
      <c r="B1312" s="10" t="s">
        <v>1792</v>
      </c>
      <c r="C1312" s="10" t="s">
        <v>1780</v>
      </c>
      <c r="D1312" s="12">
        <v>6624.38</v>
      </c>
      <c r="E1312" s="12">
        <v>6759.7</v>
      </c>
      <c r="F1312" s="12">
        <f t="shared" si="60"/>
        <v>135.31999999999971</v>
      </c>
      <c r="G1312" s="27">
        <f t="shared" si="61"/>
        <v>2.0427572089765339E-2</v>
      </c>
      <c r="H1312" s="10" t="str">
        <f t="shared" si="62"/>
        <v>Within Budget</v>
      </c>
    </row>
    <row r="1313" spans="1:8" x14ac:dyDescent="0.25">
      <c r="A1313" s="14">
        <v>45901</v>
      </c>
      <c r="B1313" s="13" t="s">
        <v>1799</v>
      </c>
      <c r="C1313" s="13" t="s">
        <v>1780</v>
      </c>
      <c r="D1313" s="15">
        <v>4107.96</v>
      </c>
      <c r="E1313" s="15">
        <v>3851.89</v>
      </c>
      <c r="F1313" s="15">
        <f t="shared" si="60"/>
        <v>-256.07000000000016</v>
      </c>
      <c r="G1313" s="28">
        <f t="shared" si="61"/>
        <v>-6.2335076290908426E-2</v>
      </c>
      <c r="H1313" s="13" t="str">
        <f t="shared" si="62"/>
        <v>Under Budget</v>
      </c>
    </row>
    <row r="1314" spans="1:8" x14ac:dyDescent="0.25">
      <c r="A1314" s="11">
        <v>45901</v>
      </c>
      <c r="B1314" s="10" t="s">
        <v>1792</v>
      </c>
      <c r="C1314" s="10" t="s">
        <v>1789</v>
      </c>
      <c r="D1314" s="12">
        <v>10627.23</v>
      </c>
      <c r="E1314" s="12">
        <v>9634.31</v>
      </c>
      <c r="F1314" s="12">
        <f t="shared" si="60"/>
        <v>-992.92000000000007</v>
      </c>
      <c r="G1314" s="27">
        <f t="shared" si="61"/>
        <v>-9.3431684455874214E-2</v>
      </c>
      <c r="H1314" s="10" t="str">
        <f t="shared" si="62"/>
        <v>Under Budget</v>
      </c>
    </row>
    <row r="1315" spans="1:8" x14ac:dyDescent="0.25">
      <c r="A1315" s="14">
        <v>45901</v>
      </c>
      <c r="B1315" s="13" t="s">
        <v>1862</v>
      </c>
      <c r="C1315" s="13" t="s">
        <v>1792</v>
      </c>
      <c r="D1315" s="15">
        <v>6406.59</v>
      </c>
      <c r="E1315" s="15">
        <v>5753.63</v>
      </c>
      <c r="F1315" s="15">
        <f t="shared" si="60"/>
        <v>-652.96</v>
      </c>
      <c r="G1315" s="28">
        <f t="shared" si="61"/>
        <v>-0.10192005419419692</v>
      </c>
      <c r="H1315" s="13" t="str">
        <f t="shared" si="62"/>
        <v>Under Budget</v>
      </c>
    </row>
    <row r="1316" spans="1:8" x14ac:dyDescent="0.25">
      <c r="A1316" s="11">
        <v>45901</v>
      </c>
      <c r="B1316" s="10" t="s">
        <v>1877</v>
      </c>
      <c r="C1316" s="10" t="s">
        <v>1783</v>
      </c>
      <c r="D1316" s="12">
        <v>11306.71</v>
      </c>
      <c r="E1316" s="12">
        <v>10200.120000000001</v>
      </c>
      <c r="F1316" s="12">
        <f t="shared" si="60"/>
        <v>-1106.5899999999983</v>
      </c>
      <c r="G1316" s="27">
        <f t="shared" si="61"/>
        <v>-9.7870202738020023E-2</v>
      </c>
      <c r="H1316" s="10" t="str">
        <f t="shared" si="62"/>
        <v>Under Budget</v>
      </c>
    </row>
    <row r="1317" spans="1:8" x14ac:dyDescent="0.25">
      <c r="A1317" s="14">
        <v>45901</v>
      </c>
      <c r="B1317" s="13" t="s">
        <v>1818</v>
      </c>
      <c r="C1317" s="13" t="s">
        <v>1775</v>
      </c>
      <c r="D1317" s="15">
        <v>40084.1</v>
      </c>
      <c r="E1317" s="15">
        <v>39216.910000000003</v>
      </c>
      <c r="F1317" s="15">
        <f t="shared" si="60"/>
        <v>-867.18999999999505</v>
      </c>
      <c r="G1317" s="28">
        <f t="shared" si="61"/>
        <v>-2.1634263960023926E-2</v>
      </c>
      <c r="H1317" s="13" t="str">
        <f t="shared" si="62"/>
        <v>Under Budget</v>
      </c>
    </row>
    <row r="1318" spans="1:8" x14ac:dyDescent="0.25">
      <c r="A1318" s="11">
        <v>45901</v>
      </c>
      <c r="B1318" s="10" t="s">
        <v>1774</v>
      </c>
      <c r="C1318" s="10" t="s">
        <v>1775</v>
      </c>
      <c r="D1318" s="12">
        <v>90277.88</v>
      </c>
      <c r="E1318" s="12">
        <v>89542.41</v>
      </c>
      <c r="F1318" s="12">
        <f t="shared" si="60"/>
        <v>-735.47000000000116</v>
      </c>
      <c r="G1318" s="27">
        <f t="shared" si="61"/>
        <v>-8.1467353907734782E-3</v>
      </c>
      <c r="H1318" s="10" t="str">
        <f t="shared" si="62"/>
        <v>Under Budget</v>
      </c>
    </row>
    <row r="1319" spans="1:8" x14ac:dyDescent="0.25">
      <c r="A1319" s="14">
        <v>45901</v>
      </c>
      <c r="B1319" s="13" t="s">
        <v>1786</v>
      </c>
      <c r="C1319" s="13" t="s">
        <v>1795</v>
      </c>
      <c r="D1319" s="15">
        <v>4640.37</v>
      </c>
      <c r="E1319" s="15">
        <v>4153.2700000000004</v>
      </c>
      <c r="F1319" s="15">
        <f t="shared" si="60"/>
        <v>-487.09999999999945</v>
      </c>
      <c r="G1319" s="28">
        <f t="shared" si="61"/>
        <v>-0.1049700778170705</v>
      </c>
      <c r="H1319" s="13" t="str">
        <f t="shared" si="62"/>
        <v>Under Budget</v>
      </c>
    </row>
    <row r="1320" spans="1:8" x14ac:dyDescent="0.25">
      <c r="A1320" s="11">
        <v>45901</v>
      </c>
      <c r="B1320" s="10" t="s">
        <v>1877</v>
      </c>
      <c r="C1320" s="10" t="s">
        <v>1775</v>
      </c>
      <c r="D1320" s="12">
        <v>55692.79</v>
      </c>
      <c r="E1320" s="12">
        <v>58747.7</v>
      </c>
      <c r="F1320" s="12">
        <f t="shared" si="60"/>
        <v>3054.9099999999962</v>
      </c>
      <c r="G1320" s="27">
        <f t="shared" si="61"/>
        <v>5.4852881315516716E-2</v>
      </c>
      <c r="H1320" s="10" t="str">
        <f t="shared" si="62"/>
        <v>Slightly Over</v>
      </c>
    </row>
    <row r="1321" spans="1:8" x14ac:dyDescent="0.25">
      <c r="A1321" s="14">
        <v>45901</v>
      </c>
      <c r="B1321" s="13" t="s">
        <v>1799</v>
      </c>
      <c r="C1321" s="13" t="s">
        <v>1783</v>
      </c>
      <c r="D1321" s="15">
        <v>6588.24</v>
      </c>
      <c r="E1321" s="15">
        <v>6999.41</v>
      </c>
      <c r="F1321" s="15">
        <f t="shared" si="60"/>
        <v>411.17000000000007</v>
      </c>
      <c r="G1321" s="28">
        <f t="shared" si="61"/>
        <v>6.2409687564508896E-2</v>
      </c>
      <c r="H1321" s="13" t="str">
        <f t="shared" si="62"/>
        <v>Slightly Over</v>
      </c>
    </row>
    <row r="1322" spans="1:8" x14ac:dyDescent="0.25">
      <c r="A1322" s="11">
        <v>45901</v>
      </c>
      <c r="B1322" s="10" t="s">
        <v>1774</v>
      </c>
      <c r="C1322" s="10" t="s">
        <v>1783</v>
      </c>
      <c r="D1322" s="12">
        <v>14297.16</v>
      </c>
      <c r="E1322" s="12">
        <v>12858.31</v>
      </c>
      <c r="F1322" s="12">
        <f t="shared" si="60"/>
        <v>-1438.8500000000004</v>
      </c>
      <c r="G1322" s="27">
        <f t="shared" si="61"/>
        <v>-0.10063886813884718</v>
      </c>
      <c r="H1322" s="10" t="str">
        <f t="shared" si="62"/>
        <v>Under Budget</v>
      </c>
    </row>
    <row r="1323" spans="1:8" x14ac:dyDescent="0.25">
      <c r="A1323" s="14">
        <v>45901</v>
      </c>
      <c r="B1323" s="13" t="s">
        <v>1792</v>
      </c>
      <c r="C1323" s="13" t="s">
        <v>1783</v>
      </c>
      <c r="D1323" s="15">
        <v>16229.02</v>
      </c>
      <c r="E1323" s="15">
        <v>15432.36</v>
      </c>
      <c r="F1323" s="15">
        <f t="shared" si="60"/>
        <v>-796.65999999999985</v>
      </c>
      <c r="G1323" s="28">
        <f t="shared" si="61"/>
        <v>-4.9088607938125646E-2</v>
      </c>
      <c r="H1323" s="13" t="str">
        <f t="shared" si="62"/>
        <v>Under Budget</v>
      </c>
    </row>
    <row r="1324" spans="1:8" x14ac:dyDescent="0.25">
      <c r="A1324" s="11">
        <v>45901</v>
      </c>
      <c r="B1324" s="10" t="s">
        <v>1792</v>
      </c>
      <c r="C1324" s="10" t="s">
        <v>1795</v>
      </c>
      <c r="D1324" s="12">
        <v>4205.93</v>
      </c>
      <c r="E1324" s="12">
        <v>4131.62</v>
      </c>
      <c r="F1324" s="12">
        <f t="shared" si="60"/>
        <v>-74.3100000000004</v>
      </c>
      <c r="G1324" s="27">
        <f t="shared" si="61"/>
        <v>-1.7667911734146884E-2</v>
      </c>
      <c r="H1324" s="10" t="str">
        <f t="shared" si="62"/>
        <v>Under Budget</v>
      </c>
    </row>
    <row r="1325" spans="1:8" x14ac:dyDescent="0.25">
      <c r="A1325" s="14">
        <v>45931</v>
      </c>
      <c r="B1325" s="13" t="s">
        <v>1862</v>
      </c>
      <c r="C1325" s="13" t="s">
        <v>1789</v>
      </c>
      <c r="D1325" s="15">
        <v>3890.12</v>
      </c>
      <c r="E1325" s="15">
        <v>4187.2</v>
      </c>
      <c r="F1325" s="15">
        <f t="shared" si="60"/>
        <v>297.07999999999993</v>
      </c>
      <c r="G1325" s="28">
        <f t="shared" si="61"/>
        <v>7.6367824128818637E-2</v>
      </c>
      <c r="H1325" s="13" t="str">
        <f t="shared" si="62"/>
        <v>Slightly Over</v>
      </c>
    </row>
    <row r="1326" spans="1:8" x14ac:dyDescent="0.25">
      <c r="A1326" s="11">
        <v>45931</v>
      </c>
      <c r="B1326" s="10" t="s">
        <v>1774</v>
      </c>
      <c r="C1326" s="10" t="s">
        <v>1789</v>
      </c>
      <c r="D1326" s="12">
        <v>9919.64</v>
      </c>
      <c r="E1326" s="12">
        <v>9793.18</v>
      </c>
      <c r="F1326" s="12">
        <f t="shared" si="60"/>
        <v>-126.45999999999913</v>
      </c>
      <c r="G1326" s="27">
        <f t="shared" si="61"/>
        <v>-1.274844651620413E-2</v>
      </c>
      <c r="H1326" s="10" t="str">
        <f t="shared" si="62"/>
        <v>Under Budget</v>
      </c>
    </row>
    <row r="1327" spans="1:8" x14ac:dyDescent="0.25">
      <c r="A1327" s="14">
        <v>45931</v>
      </c>
      <c r="B1327" s="13" t="s">
        <v>1786</v>
      </c>
      <c r="C1327" s="13" t="s">
        <v>1795</v>
      </c>
      <c r="D1327" s="15">
        <v>4146.97</v>
      </c>
      <c r="E1327" s="15">
        <v>3743.67</v>
      </c>
      <c r="F1327" s="15">
        <f t="shared" si="60"/>
        <v>-403.30000000000018</v>
      </c>
      <c r="G1327" s="28">
        <f t="shared" si="61"/>
        <v>-9.7251728370352369E-2</v>
      </c>
      <c r="H1327" s="13" t="str">
        <f t="shared" si="62"/>
        <v>Under Budget</v>
      </c>
    </row>
    <row r="1328" spans="1:8" x14ac:dyDescent="0.25">
      <c r="A1328" s="11">
        <v>45931</v>
      </c>
      <c r="B1328" s="10" t="s">
        <v>1792</v>
      </c>
      <c r="C1328" s="10" t="s">
        <v>1786</v>
      </c>
      <c r="D1328" s="12">
        <v>14010.52</v>
      </c>
      <c r="E1328" s="12">
        <v>13567.72</v>
      </c>
      <c r="F1328" s="12">
        <f t="shared" si="60"/>
        <v>-442.80000000000109</v>
      </c>
      <c r="G1328" s="27">
        <f t="shared" si="61"/>
        <v>-3.1604822661828472E-2</v>
      </c>
      <c r="H1328" s="10" t="str">
        <f t="shared" si="62"/>
        <v>Under Budget</v>
      </c>
    </row>
    <row r="1329" spans="1:8" x14ac:dyDescent="0.25">
      <c r="A1329" s="14">
        <v>45931</v>
      </c>
      <c r="B1329" s="13" t="s">
        <v>1877</v>
      </c>
      <c r="C1329" s="13" t="s">
        <v>1780</v>
      </c>
      <c r="D1329" s="15">
        <v>6824.6</v>
      </c>
      <c r="E1329" s="15">
        <v>6900.38</v>
      </c>
      <c r="F1329" s="15">
        <f t="shared" si="60"/>
        <v>75.779999999999745</v>
      </c>
      <c r="G1329" s="28">
        <f t="shared" si="61"/>
        <v>1.1103947484101595E-2</v>
      </c>
      <c r="H1329" s="13" t="str">
        <f t="shared" si="62"/>
        <v>Within Budget</v>
      </c>
    </row>
    <row r="1330" spans="1:8" x14ac:dyDescent="0.25">
      <c r="A1330" s="11">
        <v>45931</v>
      </c>
      <c r="B1330" s="10" t="s">
        <v>1862</v>
      </c>
      <c r="C1330" s="10" t="s">
        <v>1778</v>
      </c>
      <c r="D1330" s="12">
        <v>9171.06</v>
      </c>
      <c r="E1330" s="12">
        <v>8980.2900000000009</v>
      </c>
      <c r="F1330" s="12">
        <f t="shared" si="60"/>
        <v>-190.76999999999862</v>
      </c>
      <c r="G1330" s="27">
        <f t="shared" si="61"/>
        <v>-2.0801303229942735E-2</v>
      </c>
      <c r="H1330" s="10" t="str">
        <f t="shared" si="62"/>
        <v>Under Budget</v>
      </c>
    </row>
    <row r="1331" spans="1:8" x14ac:dyDescent="0.25">
      <c r="A1331" s="14">
        <v>45931</v>
      </c>
      <c r="B1331" s="13" t="s">
        <v>1862</v>
      </c>
      <c r="C1331" s="13" t="s">
        <v>1795</v>
      </c>
      <c r="D1331" s="15">
        <v>2752.69</v>
      </c>
      <c r="E1331" s="15">
        <v>2513.98</v>
      </c>
      <c r="F1331" s="15">
        <f t="shared" si="60"/>
        <v>-238.71000000000004</v>
      </c>
      <c r="G1331" s="28">
        <f t="shared" si="61"/>
        <v>-8.6718809600790508E-2</v>
      </c>
      <c r="H1331" s="13" t="str">
        <f t="shared" si="62"/>
        <v>Under Budget</v>
      </c>
    </row>
    <row r="1332" spans="1:8" x14ac:dyDescent="0.25">
      <c r="A1332" s="11">
        <v>45931</v>
      </c>
      <c r="B1332" s="10" t="s">
        <v>1799</v>
      </c>
      <c r="C1332" s="10" t="s">
        <v>1775</v>
      </c>
      <c r="D1332" s="12">
        <v>44204.74</v>
      </c>
      <c r="E1332" s="12">
        <v>40155.949999999997</v>
      </c>
      <c r="F1332" s="12">
        <f t="shared" si="60"/>
        <v>-4048.7900000000009</v>
      </c>
      <c r="G1332" s="27">
        <f t="shared" si="61"/>
        <v>-9.1591761426489587E-2</v>
      </c>
      <c r="H1332" s="10" t="str">
        <f t="shared" si="62"/>
        <v>Under Budget</v>
      </c>
    </row>
    <row r="1333" spans="1:8" x14ac:dyDescent="0.25">
      <c r="A1333" s="14">
        <v>45931</v>
      </c>
      <c r="B1333" s="13" t="s">
        <v>1799</v>
      </c>
      <c r="C1333" s="13" t="s">
        <v>1780</v>
      </c>
      <c r="D1333" s="15">
        <v>4538.13</v>
      </c>
      <c r="E1333" s="15">
        <v>4593.16</v>
      </c>
      <c r="F1333" s="15">
        <f t="shared" si="60"/>
        <v>55.029999999999745</v>
      </c>
      <c r="G1333" s="28">
        <f t="shared" si="61"/>
        <v>1.2126140062096006E-2</v>
      </c>
      <c r="H1333" s="13" t="str">
        <f t="shared" si="62"/>
        <v>Within Budget</v>
      </c>
    </row>
    <row r="1334" spans="1:8" x14ac:dyDescent="0.25">
      <c r="A1334" s="11">
        <v>45931</v>
      </c>
      <c r="B1334" s="10" t="s">
        <v>1799</v>
      </c>
      <c r="C1334" s="10" t="s">
        <v>1786</v>
      </c>
      <c r="D1334" s="12">
        <v>6470.34</v>
      </c>
      <c r="E1334" s="12">
        <v>6258.95</v>
      </c>
      <c r="F1334" s="12">
        <f t="shared" si="60"/>
        <v>-211.39000000000033</v>
      </c>
      <c r="G1334" s="27">
        <f t="shared" si="61"/>
        <v>-3.2670617000034048E-2</v>
      </c>
      <c r="H1334" s="10" t="str">
        <f t="shared" si="62"/>
        <v>Under Budget</v>
      </c>
    </row>
    <row r="1335" spans="1:8" x14ac:dyDescent="0.25">
      <c r="A1335" s="14">
        <v>45931</v>
      </c>
      <c r="B1335" s="13" t="s">
        <v>1799</v>
      </c>
      <c r="C1335" s="13" t="s">
        <v>1789</v>
      </c>
      <c r="D1335" s="15">
        <v>4178.8999999999996</v>
      </c>
      <c r="E1335" s="15">
        <v>4346.57</v>
      </c>
      <c r="F1335" s="15">
        <f t="shared" si="60"/>
        <v>167.67000000000007</v>
      </c>
      <c r="G1335" s="28">
        <f t="shared" si="61"/>
        <v>4.0122998875302136E-2</v>
      </c>
      <c r="H1335" s="13" t="str">
        <f t="shared" si="62"/>
        <v>Within Budget</v>
      </c>
    </row>
    <row r="1336" spans="1:8" x14ac:dyDescent="0.25">
      <c r="A1336" s="11">
        <v>45931</v>
      </c>
      <c r="B1336" s="10" t="s">
        <v>1774</v>
      </c>
      <c r="C1336" s="10" t="s">
        <v>1786</v>
      </c>
      <c r="D1336" s="12">
        <v>17401.2</v>
      </c>
      <c r="E1336" s="12">
        <v>17414.46</v>
      </c>
      <c r="F1336" s="12">
        <f t="shared" si="60"/>
        <v>13.259999999998399</v>
      </c>
      <c r="G1336" s="27">
        <f t="shared" si="61"/>
        <v>7.6201641266110376E-4</v>
      </c>
      <c r="H1336" s="10" t="str">
        <f t="shared" si="62"/>
        <v>Within Budget</v>
      </c>
    </row>
    <row r="1337" spans="1:8" x14ac:dyDescent="0.25">
      <c r="A1337" s="14">
        <v>45931</v>
      </c>
      <c r="B1337" s="13" t="s">
        <v>1786</v>
      </c>
      <c r="C1337" s="13" t="s">
        <v>1778</v>
      </c>
      <c r="D1337" s="15">
        <v>13447.21</v>
      </c>
      <c r="E1337" s="15">
        <v>14179.22</v>
      </c>
      <c r="F1337" s="15">
        <f t="shared" si="60"/>
        <v>732.01000000000022</v>
      </c>
      <c r="G1337" s="28">
        <f t="shared" si="61"/>
        <v>5.4435827208766746E-2</v>
      </c>
      <c r="H1337" s="13" t="str">
        <f t="shared" si="62"/>
        <v>Slightly Over</v>
      </c>
    </row>
    <row r="1338" spans="1:8" x14ac:dyDescent="0.25">
      <c r="A1338" s="11">
        <v>45931</v>
      </c>
      <c r="B1338" s="10" t="s">
        <v>1786</v>
      </c>
      <c r="C1338" s="10" t="s">
        <v>1775</v>
      </c>
      <c r="D1338" s="12">
        <v>72963.08</v>
      </c>
      <c r="E1338" s="12">
        <v>71748.81</v>
      </c>
      <c r="F1338" s="12">
        <f t="shared" si="60"/>
        <v>-1214.2700000000041</v>
      </c>
      <c r="G1338" s="27">
        <f t="shared" si="61"/>
        <v>-1.6642252492630575E-2</v>
      </c>
      <c r="H1338" s="10" t="str">
        <f t="shared" si="62"/>
        <v>Under Budget</v>
      </c>
    </row>
    <row r="1339" spans="1:8" x14ac:dyDescent="0.25">
      <c r="A1339" s="14">
        <v>45931</v>
      </c>
      <c r="B1339" s="13" t="s">
        <v>1877</v>
      </c>
      <c r="C1339" s="13" t="s">
        <v>1775</v>
      </c>
      <c r="D1339" s="15">
        <v>64357.81</v>
      </c>
      <c r="E1339" s="15">
        <v>62652.85</v>
      </c>
      <c r="F1339" s="15">
        <f t="shared" si="60"/>
        <v>-1704.9599999999991</v>
      </c>
      <c r="G1339" s="28">
        <f t="shared" si="61"/>
        <v>-2.6491889640122918E-2</v>
      </c>
      <c r="H1339" s="13" t="str">
        <f t="shared" si="62"/>
        <v>Under Budget</v>
      </c>
    </row>
    <row r="1340" spans="1:8" x14ac:dyDescent="0.25">
      <c r="A1340" s="11">
        <v>45931</v>
      </c>
      <c r="B1340" s="10" t="s">
        <v>1877</v>
      </c>
      <c r="C1340" s="10" t="s">
        <v>1783</v>
      </c>
      <c r="D1340" s="12">
        <v>8579.7999999999993</v>
      </c>
      <c r="E1340" s="12">
        <v>8805.9</v>
      </c>
      <c r="F1340" s="12">
        <f t="shared" si="60"/>
        <v>226.10000000000036</v>
      </c>
      <c r="G1340" s="27">
        <f t="shared" si="61"/>
        <v>2.6352595631599848E-2</v>
      </c>
      <c r="H1340" s="10" t="str">
        <f t="shared" si="62"/>
        <v>Within Budget</v>
      </c>
    </row>
    <row r="1341" spans="1:8" x14ac:dyDescent="0.25">
      <c r="A1341" s="14">
        <v>45931</v>
      </c>
      <c r="B1341" s="13" t="s">
        <v>1862</v>
      </c>
      <c r="C1341" s="13" t="s">
        <v>1775</v>
      </c>
      <c r="D1341" s="15">
        <v>39174.17</v>
      </c>
      <c r="E1341" s="15">
        <v>40812.120000000003</v>
      </c>
      <c r="F1341" s="15">
        <f t="shared" si="60"/>
        <v>1637.9500000000044</v>
      </c>
      <c r="G1341" s="28">
        <f t="shared" si="61"/>
        <v>4.1811989890277304E-2</v>
      </c>
      <c r="H1341" s="13" t="str">
        <f t="shared" si="62"/>
        <v>Within Budget</v>
      </c>
    </row>
    <row r="1342" spans="1:8" x14ac:dyDescent="0.25">
      <c r="A1342" s="11">
        <v>45931</v>
      </c>
      <c r="B1342" s="10" t="s">
        <v>1862</v>
      </c>
      <c r="C1342" s="10" t="s">
        <v>1783</v>
      </c>
      <c r="D1342" s="12">
        <v>5257.61</v>
      </c>
      <c r="E1342" s="12">
        <v>5633.8</v>
      </c>
      <c r="F1342" s="12">
        <f t="shared" si="60"/>
        <v>376.19000000000051</v>
      </c>
      <c r="G1342" s="27">
        <f t="shared" si="61"/>
        <v>7.1551522459825004E-2</v>
      </c>
      <c r="H1342" s="10" t="str">
        <f t="shared" si="62"/>
        <v>Slightly Over</v>
      </c>
    </row>
    <row r="1343" spans="1:8" x14ac:dyDescent="0.25">
      <c r="A1343" s="14">
        <v>45931</v>
      </c>
      <c r="B1343" s="13" t="s">
        <v>1799</v>
      </c>
      <c r="C1343" s="13" t="s">
        <v>1783</v>
      </c>
      <c r="D1343" s="15">
        <v>5823.6</v>
      </c>
      <c r="E1343" s="15">
        <v>6257.23</v>
      </c>
      <c r="F1343" s="15">
        <f t="shared" si="60"/>
        <v>433.6299999999992</v>
      </c>
      <c r="G1343" s="28">
        <f t="shared" si="61"/>
        <v>7.4460814616388343E-2</v>
      </c>
      <c r="H1343" s="13" t="str">
        <f t="shared" si="62"/>
        <v>Slightly Over</v>
      </c>
    </row>
    <row r="1344" spans="1:8" x14ac:dyDescent="0.25">
      <c r="A1344" s="11">
        <v>45931</v>
      </c>
      <c r="B1344" s="10" t="s">
        <v>1774</v>
      </c>
      <c r="C1344" s="10" t="s">
        <v>1792</v>
      </c>
      <c r="D1344" s="12">
        <v>18022.099999999999</v>
      </c>
      <c r="E1344" s="12">
        <v>17057.96</v>
      </c>
      <c r="F1344" s="12">
        <f t="shared" si="60"/>
        <v>-964.13999999999942</v>
      </c>
      <c r="G1344" s="27">
        <f t="shared" si="61"/>
        <v>-5.349765010736815E-2</v>
      </c>
      <c r="H1344" s="10" t="str">
        <f t="shared" si="62"/>
        <v>Under Budget</v>
      </c>
    </row>
    <row r="1345" spans="1:8" x14ac:dyDescent="0.25">
      <c r="A1345" s="14">
        <v>45931</v>
      </c>
      <c r="B1345" s="13" t="s">
        <v>1774</v>
      </c>
      <c r="C1345" s="13" t="s">
        <v>1775</v>
      </c>
      <c r="D1345" s="15">
        <v>78386.58</v>
      </c>
      <c r="E1345" s="15">
        <v>82620</v>
      </c>
      <c r="F1345" s="15">
        <f t="shared" si="60"/>
        <v>4233.4199999999983</v>
      </c>
      <c r="G1345" s="28">
        <f t="shared" si="61"/>
        <v>5.4006948638402108E-2</v>
      </c>
      <c r="H1345" s="13" t="str">
        <f t="shared" si="62"/>
        <v>Slightly Over</v>
      </c>
    </row>
    <row r="1346" spans="1:8" x14ac:dyDescent="0.25">
      <c r="A1346" s="11">
        <v>45931</v>
      </c>
      <c r="B1346" s="10" t="s">
        <v>1786</v>
      </c>
      <c r="C1346" s="10" t="s">
        <v>1797</v>
      </c>
      <c r="D1346" s="12">
        <v>3829.59</v>
      </c>
      <c r="E1346" s="12">
        <v>4135.83</v>
      </c>
      <c r="F1346" s="12">
        <f t="shared" ref="F1346:F1409" si="63">E1346-D1346</f>
        <v>306.23999999999978</v>
      </c>
      <c r="G1346" s="27">
        <f t="shared" ref="G1346:G1409" si="64">IFERROR(F1346/D1346,0)</f>
        <v>7.9966784956091844E-2</v>
      </c>
      <c r="H1346" s="10" t="str">
        <f t="shared" ref="H1346:H1409" si="65">IF(G1346&lt;=0,"Under Budget",IF(G1346&lt;=5%,"Within Budget",IF(G1346&lt;=15%,"Slightly Over","Significantly Over")))</f>
        <v>Slightly Over</v>
      </c>
    </row>
    <row r="1347" spans="1:8" x14ac:dyDescent="0.25">
      <c r="A1347" s="14">
        <v>45931</v>
      </c>
      <c r="B1347" s="13" t="s">
        <v>1818</v>
      </c>
      <c r="C1347" s="13" t="s">
        <v>1795</v>
      </c>
      <c r="D1347" s="15">
        <v>1999.53</v>
      </c>
      <c r="E1347" s="15">
        <v>1785.69</v>
      </c>
      <c r="F1347" s="15">
        <f t="shared" si="63"/>
        <v>-213.83999999999992</v>
      </c>
      <c r="G1347" s="28">
        <f t="shared" si="64"/>
        <v>-0.10694513210604488</v>
      </c>
      <c r="H1347" s="13" t="str">
        <f t="shared" si="65"/>
        <v>Under Budget</v>
      </c>
    </row>
    <row r="1348" spans="1:8" x14ac:dyDescent="0.25">
      <c r="A1348" s="11">
        <v>45931</v>
      </c>
      <c r="B1348" s="10" t="s">
        <v>1799</v>
      </c>
      <c r="C1348" s="10" t="s">
        <v>1778</v>
      </c>
      <c r="D1348" s="12">
        <v>7719.53</v>
      </c>
      <c r="E1348" s="12">
        <v>8064.85</v>
      </c>
      <c r="F1348" s="12">
        <f t="shared" si="63"/>
        <v>345.32000000000062</v>
      </c>
      <c r="G1348" s="27">
        <f t="shared" si="64"/>
        <v>4.4733293348170243E-2</v>
      </c>
      <c r="H1348" s="10" t="str">
        <f t="shared" si="65"/>
        <v>Within Budget</v>
      </c>
    </row>
    <row r="1349" spans="1:8" x14ac:dyDescent="0.25">
      <c r="A1349" s="14">
        <v>45931</v>
      </c>
      <c r="B1349" s="13" t="s">
        <v>1774</v>
      </c>
      <c r="C1349" s="13" t="s">
        <v>1797</v>
      </c>
      <c r="D1349" s="15">
        <v>7227.92</v>
      </c>
      <c r="E1349" s="15">
        <v>6588.02</v>
      </c>
      <c r="F1349" s="15">
        <f t="shared" si="63"/>
        <v>-639.89999999999964</v>
      </c>
      <c r="G1349" s="28">
        <f t="shared" si="64"/>
        <v>-8.8531693765287883E-2</v>
      </c>
      <c r="H1349" s="13" t="str">
        <f t="shared" si="65"/>
        <v>Under Budget</v>
      </c>
    </row>
    <row r="1350" spans="1:8" x14ac:dyDescent="0.25">
      <c r="A1350" s="11">
        <v>45931</v>
      </c>
      <c r="B1350" s="10" t="s">
        <v>1774</v>
      </c>
      <c r="C1350" s="10" t="s">
        <v>1780</v>
      </c>
      <c r="D1350" s="12">
        <v>11204.81</v>
      </c>
      <c r="E1350" s="12">
        <v>10836.15</v>
      </c>
      <c r="F1350" s="12">
        <f t="shared" si="63"/>
        <v>-368.65999999999985</v>
      </c>
      <c r="G1350" s="27">
        <f t="shared" si="64"/>
        <v>-3.2901941219886807E-2</v>
      </c>
      <c r="H1350" s="10" t="str">
        <f t="shared" si="65"/>
        <v>Under Budget</v>
      </c>
    </row>
    <row r="1351" spans="1:8" x14ac:dyDescent="0.25">
      <c r="A1351" s="14">
        <v>45931</v>
      </c>
      <c r="B1351" s="13" t="s">
        <v>1786</v>
      </c>
      <c r="C1351" s="13" t="s">
        <v>1780</v>
      </c>
      <c r="D1351" s="15">
        <v>5994.05</v>
      </c>
      <c r="E1351" s="15">
        <v>5669.12</v>
      </c>
      <c r="F1351" s="15">
        <f t="shared" si="63"/>
        <v>-324.93000000000029</v>
      </c>
      <c r="G1351" s="28">
        <f t="shared" si="64"/>
        <v>-5.4208757017375611E-2</v>
      </c>
      <c r="H1351" s="13" t="str">
        <f t="shared" si="65"/>
        <v>Under Budget</v>
      </c>
    </row>
    <row r="1352" spans="1:8" x14ac:dyDescent="0.25">
      <c r="A1352" s="11">
        <v>45931</v>
      </c>
      <c r="B1352" s="10" t="s">
        <v>1792</v>
      </c>
      <c r="C1352" s="10" t="s">
        <v>1789</v>
      </c>
      <c r="D1352" s="12">
        <v>7990.04</v>
      </c>
      <c r="E1352" s="12">
        <v>7807.33</v>
      </c>
      <c r="F1352" s="12">
        <f t="shared" si="63"/>
        <v>-182.71000000000004</v>
      </c>
      <c r="G1352" s="27">
        <f t="shared" si="64"/>
        <v>-2.2867219688512203E-2</v>
      </c>
      <c r="H1352" s="10" t="str">
        <f t="shared" si="65"/>
        <v>Under Budget</v>
      </c>
    </row>
    <row r="1353" spans="1:8" x14ac:dyDescent="0.25">
      <c r="A1353" s="14">
        <v>45931</v>
      </c>
      <c r="B1353" s="13" t="s">
        <v>1792</v>
      </c>
      <c r="C1353" s="13" t="s">
        <v>1783</v>
      </c>
      <c r="D1353" s="15">
        <v>13653.32</v>
      </c>
      <c r="E1353" s="15">
        <v>14528.23</v>
      </c>
      <c r="F1353" s="15">
        <f t="shared" si="63"/>
        <v>874.90999999999985</v>
      </c>
      <c r="G1353" s="28">
        <f t="shared" si="64"/>
        <v>6.4080384844125815E-2</v>
      </c>
      <c r="H1353" s="13" t="str">
        <f t="shared" si="65"/>
        <v>Slightly Over</v>
      </c>
    </row>
    <row r="1354" spans="1:8" x14ac:dyDescent="0.25">
      <c r="A1354" s="11">
        <v>45931</v>
      </c>
      <c r="B1354" s="10" t="s">
        <v>1877</v>
      </c>
      <c r="C1354" s="10" t="s">
        <v>1786</v>
      </c>
      <c r="D1354" s="12">
        <v>10038.34</v>
      </c>
      <c r="E1354" s="12">
        <v>9240.42</v>
      </c>
      <c r="F1354" s="12">
        <f t="shared" si="63"/>
        <v>-797.92000000000007</v>
      </c>
      <c r="G1354" s="27">
        <f t="shared" si="64"/>
        <v>-7.9487245899222389E-2</v>
      </c>
      <c r="H1354" s="10" t="str">
        <f t="shared" si="65"/>
        <v>Under Budget</v>
      </c>
    </row>
    <row r="1355" spans="1:8" x14ac:dyDescent="0.25">
      <c r="A1355" s="14">
        <v>45931</v>
      </c>
      <c r="B1355" s="13" t="s">
        <v>1877</v>
      </c>
      <c r="C1355" s="13" t="s">
        <v>1795</v>
      </c>
      <c r="D1355" s="15">
        <v>4327.1099999999997</v>
      </c>
      <c r="E1355" s="15">
        <v>3998.61</v>
      </c>
      <c r="F1355" s="15">
        <f t="shared" si="63"/>
        <v>-328.49999999999955</v>
      </c>
      <c r="G1355" s="28">
        <f t="shared" si="64"/>
        <v>-7.5916720397678716E-2</v>
      </c>
      <c r="H1355" s="13" t="str">
        <f t="shared" si="65"/>
        <v>Under Budget</v>
      </c>
    </row>
    <row r="1356" spans="1:8" x14ac:dyDescent="0.25">
      <c r="A1356" s="11">
        <v>45931</v>
      </c>
      <c r="B1356" s="10" t="s">
        <v>1862</v>
      </c>
      <c r="C1356" s="10" t="s">
        <v>1792</v>
      </c>
      <c r="D1356" s="12">
        <v>6413.93</v>
      </c>
      <c r="E1356" s="12">
        <v>6565.39</v>
      </c>
      <c r="F1356" s="12">
        <f t="shared" si="63"/>
        <v>151.46000000000004</v>
      </c>
      <c r="G1356" s="27">
        <f t="shared" si="64"/>
        <v>2.3614227158699898E-2</v>
      </c>
      <c r="H1356" s="10" t="str">
        <f t="shared" si="65"/>
        <v>Within Budget</v>
      </c>
    </row>
    <row r="1357" spans="1:8" x14ac:dyDescent="0.25">
      <c r="A1357" s="14">
        <v>45931</v>
      </c>
      <c r="B1357" s="13" t="s">
        <v>1786</v>
      </c>
      <c r="C1357" s="13" t="s">
        <v>1792</v>
      </c>
      <c r="D1357" s="15">
        <v>11647.62</v>
      </c>
      <c r="E1357" s="15">
        <v>10905.53</v>
      </c>
      <c r="F1357" s="15">
        <f t="shared" si="63"/>
        <v>-742.09000000000015</v>
      </c>
      <c r="G1357" s="28">
        <f t="shared" si="64"/>
        <v>-6.3711728232892215E-2</v>
      </c>
      <c r="H1357" s="13" t="str">
        <f t="shared" si="65"/>
        <v>Under Budget</v>
      </c>
    </row>
    <row r="1358" spans="1:8" x14ac:dyDescent="0.25">
      <c r="A1358" s="11">
        <v>45931</v>
      </c>
      <c r="B1358" s="10" t="s">
        <v>1792</v>
      </c>
      <c r="C1358" s="10" t="s">
        <v>1795</v>
      </c>
      <c r="D1358" s="12">
        <v>5448.14</v>
      </c>
      <c r="E1358" s="12">
        <v>5344.1</v>
      </c>
      <c r="F1358" s="12">
        <f t="shared" si="63"/>
        <v>-104.03999999999996</v>
      </c>
      <c r="G1358" s="27">
        <f t="shared" si="64"/>
        <v>-1.9096425569093297E-2</v>
      </c>
      <c r="H1358" s="10" t="str">
        <f t="shared" si="65"/>
        <v>Under Budget</v>
      </c>
    </row>
    <row r="1359" spans="1:8" x14ac:dyDescent="0.25">
      <c r="A1359" s="14">
        <v>45931</v>
      </c>
      <c r="B1359" s="13" t="s">
        <v>1877</v>
      </c>
      <c r="C1359" s="13" t="s">
        <v>1789</v>
      </c>
      <c r="D1359" s="15">
        <v>6414.65</v>
      </c>
      <c r="E1359" s="15">
        <v>5831.55</v>
      </c>
      <c r="F1359" s="15">
        <f t="shared" si="63"/>
        <v>-583.09999999999945</v>
      </c>
      <c r="G1359" s="28">
        <f t="shared" si="64"/>
        <v>-9.0901296251549107E-2</v>
      </c>
      <c r="H1359" s="13" t="str">
        <f t="shared" si="65"/>
        <v>Under Budget</v>
      </c>
    </row>
    <row r="1360" spans="1:8" x14ac:dyDescent="0.25">
      <c r="A1360" s="11">
        <v>45931</v>
      </c>
      <c r="B1360" s="10" t="s">
        <v>1799</v>
      </c>
      <c r="C1360" s="10" t="s">
        <v>1797</v>
      </c>
      <c r="D1360" s="12">
        <v>2759.63</v>
      </c>
      <c r="E1360" s="12">
        <v>2563.23</v>
      </c>
      <c r="F1360" s="12">
        <f t="shared" si="63"/>
        <v>-196.40000000000009</v>
      </c>
      <c r="G1360" s="27">
        <f t="shared" si="64"/>
        <v>-7.1168961056373534E-2</v>
      </c>
      <c r="H1360" s="10" t="str">
        <f t="shared" si="65"/>
        <v>Under Budget</v>
      </c>
    </row>
    <row r="1361" spans="1:8" x14ac:dyDescent="0.25">
      <c r="A1361" s="14">
        <v>45931</v>
      </c>
      <c r="B1361" s="13" t="s">
        <v>1799</v>
      </c>
      <c r="C1361" s="13" t="s">
        <v>1792</v>
      </c>
      <c r="D1361" s="15">
        <v>5169.26</v>
      </c>
      <c r="E1361" s="15">
        <v>5686.63</v>
      </c>
      <c r="F1361" s="15">
        <f t="shared" si="63"/>
        <v>517.36999999999989</v>
      </c>
      <c r="G1361" s="28">
        <f t="shared" si="64"/>
        <v>0.10008589237144193</v>
      </c>
      <c r="H1361" s="13" t="str">
        <f t="shared" si="65"/>
        <v>Slightly Over</v>
      </c>
    </row>
    <row r="1362" spans="1:8" x14ac:dyDescent="0.25">
      <c r="A1362" s="11">
        <v>45931</v>
      </c>
      <c r="B1362" s="10" t="s">
        <v>1862</v>
      </c>
      <c r="C1362" s="10" t="s">
        <v>1786</v>
      </c>
      <c r="D1362" s="12">
        <v>7006.54</v>
      </c>
      <c r="E1362" s="12">
        <v>6407.79</v>
      </c>
      <c r="F1362" s="12">
        <f t="shared" si="63"/>
        <v>-598.75</v>
      </c>
      <c r="G1362" s="27">
        <f t="shared" si="64"/>
        <v>-8.5455874083356406E-2</v>
      </c>
      <c r="H1362" s="10" t="str">
        <f t="shared" si="65"/>
        <v>Under Budget</v>
      </c>
    </row>
    <row r="1363" spans="1:8" x14ac:dyDescent="0.25">
      <c r="A1363" s="14">
        <v>45931</v>
      </c>
      <c r="B1363" s="13" t="s">
        <v>1818</v>
      </c>
      <c r="C1363" s="13" t="s">
        <v>1783</v>
      </c>
      <c r="D1363" s="15">
        <v>6754.6</v>
      </c>
      <c r="E1363" s="15">
        <v>6068.36</v>
      </c>
      <c r="F1363" s="15">
        <f t="shared" si="63"/>
        <v>-686.24000000000069</v>
      </c>
      <c r="G1363" s="28">
        <f t="shared" si="64"/>
        <v>-0.10159594942705721</v>
      </c>
      <c r="H1363" s="13" t="str">
        <f t="shared" si="65"/>
        <v>Under Budget</v>
      </c>
    </row>
    <row r="1364" spans="1:8" x14ac:dyDescent="0.25">
      <c r="A1364" s="11">
        <v>45931</v>
      </c>
      <c r="B1364" s="10" t="s">
        <v>1792</v>
      </c>
      <c r="C1364" s="10" t="s">
        <v>1778</v>
      </c>
      <c r="D1364" s="12">
        <v>17712.189999999999</v>
      </c>
      <c r="E1364" s="12">
        <v>16658.16</v>
      </c>
      <c r="F1364" s="12">
        <f t="shared" si="63"/>
        <v>-1054.0299999999988</v>
      </c>
      <c r="G1364" s="27">
        <f t="shared" si="64"/>
        <v>-5.9508733815524725E-2</v>
      </c>
      <c r="H1364" s="10" t="str">
        <f t="shared" si="65"/>
        <v>Under Budget</v>
      </c>
    </row>
    <row r="1365" spans="1:8" x14ac:dyDescent="0.25">
      <c r="A1365" s="14">
        <v>45931</v>
      </c>
      <c r="B1365" s="13" t="s">
        <v>1818</v>
      </c>
      <c r="C1365" s="13" t="s">
        <v>1789</v>
      </c>
      <c r="D1365" s="15">
        <v>2819.06</v>
      </c>
      <c r="E1365" s="15">
        <v>3043.09</v>
      </c>
      <c r="F1365" s="15">
        <f t="shared" si="63"/>
        <v>224.0300000000002</v>
      </c>
      <c r="G1365" s="28">
        <f t="shared" si="64"/>
        <v>7.9469752328790527E-2</v>
      </c>
      <c r="H1365" s="13" t="str">
        <f t="shared" si="65"/>
        <v>Slightly Over</v>
      </c>
    </row>
    <row r="1366" spans="1:8" x14ac:dyDescent="0.25">
      <c r="A1366" s="11">
        <v>45931</v>
      </c>
      <c r="B1366" s="10" t="s">
        <v>1792</v>
      </c>
      <c r="C1366" s="10" t="s">
        <v>1797</v>
      </c>
      <c r="D1366" s="12">
        <v>4948.8100000000004</v>
      </c>
      <c r="E1366" s="12">
        <v>4592.34</v>
      </c>
      <c r="F1366" s="12">
        <f t="shared" si="63"/>
        <v>-356.47000000000025</v>
      </c>
      <c r="G1366" s="27">
        <f t="shared" si="64"/>
        <v>-7.2031458067697132E-2</v>
      </c>
      <c r="H1366" s="10" t="str">
        <f t="shared" si="65"/>
        <v>Under Budget</v>
      </c>
    </row>
    <row r="1367" spans="1:8" x14ac:dyDescent="0.25">
      <c r="A1367" s="14">
        <v>45931</v>
      </c>
      <c r="B1367" s="13" t="s">
        <v>1799</v>
      </c>
      <c r="C1367" s="13" t="s">
        <v>1795</v>
      </c>
      <c r="D1367" s="15">
        <v>2169.63</v>
      </c>
      <c r="E1367" s="15">
        <v>2081.2800000000002</v>
      </c>
      <c r="F1367" s="15">
        <f t="shared" si="63"/>
        <v>-88.349999999999909</v>
      </c>
      <c r="G1367" s="28">
        <f t="shared" si="64"/>
        <v>-4.0721228965307402E-2</v>
      </c>
      <c r="H1367" s="13" t="str">
        <f t="shared" si="65"/>
        <v>Under Budget</v>
      </c>
    </row>
    <row r="1368" spans="1:8" x14ac:dyDescent="0.25">
      <c r="A1368" s="11">
        <v>45931</v>
      </c>
      <c r="B1368" s="10" t="s">
        <v>1774</v>
      </c>
      <c r="C1368" s="10" t="s">
        <v>1778</v>
      </c>
      <c r="D1368" s="12">
        <v>18218.18</v>
      </c>
      <c r="E1368" s="12">
        <v>18694.099999999999</v>
      </c>
      <c r="F1368" s="12">
        <f t="shared" si="63"/>
        <v>475.91999999999825</v>
      </c>
      <c r="G1368" s="27">
        <f t="shared" si="64"/>
        <v>2.6123355900534426E-2</v>
      </c>
      <c r="H1368" s="10" t="str">
        <f t="shared" si="65"/>
        <v>Within Budget</v>
      </c>
    </row>
    <row r="1369" spans="1:8" x14ac:dyDescent="0.25">
      <c r="A1369" s="14">
        <v>45931</v>
      </c>
      <c r="B1369" s="13" t="s">
        <v>1774</v>
      </c>
      <c r="C1369" s="13" t="s">
        <v>1783</v>
      </c>
      <c r="D1369" s="15">
        <v>13953.46</v>
      </c>
      <c r="E1369" s="15">
        <v>12748.86</v>
      </c>
      <c r="F1369" s="15">
        <f t="shared" si="63"/>
        <v>-1204.5999999999985</v>
      </c>
      <c r="G1369" s="28">
        <f t="shared" si="64"/>
        <v>-8.632984220401238E-2</v>
      </c>
      <c r="H1369" s="13" t="str">
        <f t="shared" si="65"/>
        <v>Under Budget</v>
      </c>
    </row>
    <row r="1370" spans="1:8" x14ac:dyDescent="0.25">
      <c r="A1370" s="11">
        <v>45931</v>
      </c>
      <c r="B1370" s="10" t="s">
        <v>1792</v>
      </c>
      <c r="C1370" s="10" t="s">
        <v>1792</v>
      </c>
      <c r="D1370" s="12">
        <v>14224.81</v>
      </c>
      <c r="E1370" s="12">
        <v>13885.66</v>
      </c>
      <c r="F1370" s="12">
        <f t="shared" si="63"/>
        <v>-339.14999999999964</v>
      </c>
      <c r="G1370" s="27">
        <f t="shared" si="64"/>
        <v>-2.3842146221988176E-2</v>
      </c>
      <c r="H1370" s="10" t="str">
        <f t="shared" si="65"/>
        <v>Under Budget</v>
      </c>
    </row>
    <row r="1371" spans="1:8" x14ac:dyDescent="0.25">
      <c r="A1371" s="14">
        <v>45931</v>
      </c>
      <c r="B1371" s="13" t="s">
        <v>1786</v>
      </c>
      <c r="C1371" s="13" t="s">
        <v>1783</v>
      </c>
      <c r="D1371" s="15">
        <v>11231.58</v>
      </c>
      <c r="E1371" s="15">
        <v>10326.52</v>
      </c>
      <c r="F1371" s="15">
        <f t="shared" si="63"/>
        <v>-905.05999999999949</v>
      </c>
      <c r="G1371" s="28">
        <f t="shared" si="64"/>
        <v>-8.0581716908929957E-2</v>
      </c>
      <c r="H1371" s="13" t="str">
        <f t="shared" si="65"/>
        <v>Under Budget</v>
      </c>
    </row>
    <row r="1372" spans="1:8" x14ac:dyDescent="0.25">
      <c r="A1372" s="11">
        <v>45931</v>
      </c>
      <c r="B1372" s="10" t="s">
        <v>1877</v>
      </c>
      <c r="C1372" s="10" t="s">
        <v>1792</v>
      </c>
      <c r="D1372" s="12">
        <v>9727.39</v>
      </c>
      <c r="E1372" s="12">
        <v>9286.9599999999991</v>
      </c>
      <c r="F1372" s="12">
        <f t="shared" si="63"/>
        <v>-440.43000000000029</v>
      </c>
      <c r="G1372" s="27">
        <f t="shared" si="64"/>
        <v>-4.527730460072027E-2</v>
      </c>
      <c r="H1372" s="10" t="str">
        <f t="shared" si="65"/>
        <v>Under Budget</v>
      </c>
    </row>
    <row r="1373" spans="1:8" x14ac:dyDescent="0.25">
      <c r="A1373" s="14">
        <v>45931</v>
      </c>
      <c r="B1373" s="13" t="s">
        <v>1862</v>
      </c>
      <c r="C1373" s="13" t="s">
        <v>1780</v>
      </c>
      <c r="D1373" s="15">
        <v>3825.63</v>
      </c>
      <c r="E1373" s="15">
        <v>3970.66</v>
      </c>
      <c r="F1373" s="15">
        <f t="shared" si="63"/>
        <v>145.02999999999975</v>
      </c>
      <c r="G1373" s="28">
        <f t="shared" si="64"/>
        <v>3.7910095853493343E-2</v>
      </c>
      <c r="H1373" s="13" t="str">
        <f t="shared" si="65"/>
        <v>Within Budget</v>
      </c>
    </row>
    <row r="1374" spans="1:8" x14ac:dyDescent="0.25">
      <c r="A1374" s="11">
        <v>45931</v>
      </c>
      <c r="B1374" s="10" t="s">
        <v>1818</v>
      </c>
      <c r="C1374" s="10" t="s">
        <v>1797</v>
      </c>
      <c r="D1374" s="12">
        <v>2571.23</v>
      </c>
      <c r="E1374" s="12">
        <v>2307.06</v>
      </c>
      <c r="F1374" s="12">
        <f t="shared" si="63"/>
        <v>-264.17000000000007</v>
      </c>
      <c r="G1374" s="27">
        <f t="shared" si="64"/>
        <v>-0.10274071164384363</v>
      </c>
      <c r="H1374" s="10" t="str">
        <f t="shared" si="65"/>
        <v>Under Budget</v>
      </c>
    </row>
    <row r="1375" spans="1:8" x14ac:dyDescent="0.25">
      <c r="A1375" s="14">
        <v>45931</v>
      </c>
      <c r="B1375" s="13" t="s">
        <v>1818</v>
      </c>
      <c r="C1375" s="13" t="s">
        <v>1780</v>
      </c>
      <c r="D1375" s="15">
        <v>2855.07</v>
      </c>
      <c r="E1375" s="15">
        <v>2783.75</v>
      </c>
      <c r="F1375" s="15">
        <f t="shared" si="63"/>
        <v>-71.320000000000164</v>
      </c>
      <c r="G1375" s="28">
        <f t="shared" si="64"/>
        <v>-2.4980123079294085E-2</v>
      </c>
      <c r="H1375" s="13" t="str">
        <f t="shared" si="65"/>
        <v>Under Budget</v>
      </c>
    </row>
    <row r="1376" spans="1:8" x14ac:dyDescent="0.25">
      <c r="A1376" s="11">
        <v>45931</v>
      </c>
      <c r="B1376" s="10" t="s">
        <v>1792</v>
      </c>
      <c r="C1376" s="10" t="s">
        <v>1775</v>
      </c>
      <c r="D1376" s="12">
        <v>79765.490000000005</v>
      </c>
      <c r="E1376" s="12">
        <v>78688.55</v>
      </c>
      <c r="F1376" s="12">
        <f t="shared" si="63"/>
        <v>-1076.9400000000023</v>
      </c>
      <c r="G1376" s="27">
        <f t="shared" si="64"/>
        <v>-1.3501327453764807E-2</v>
      </c>
      <c r="H1376" s="10" t="str">
        <f t="shared" si="65"/>
        <v>Under Budget</v>
      </c>
    </row>
    <row r="1377" spans="1:8" x14ac:dyDescent="0.25">
      <c r="A1377" s="14">
        <v>45931</v>
      </c>
      <c r="B1377" s="13" t="s">
        <v>1818</v>
      </c>
      <c r="C1377" s="13" t="s">
        <v>1778</v>
      </c>
      <c r="D1377" s="15">
        <v>6061.21</v>
      </c>
      <c r="E1377" s="15">
        <v>6130.04</v>
      </c>
      <c r="F1377" s="15">
        <f t="shared" si="63"/>
        <v>68.829999999999927</v>
      </c>
      <c r="G1377" s="28">
        <f t="shared" si="64"/>
        <v>1.1355818392697156E-2</v>
      </c>
      <c r="H1377" s="13" t="str">
        <f t="shared" si="65"/>
        <v>Within Budget</v>
      </c>
    </row>
    <row r="1378" spans="1:8" x14ac:dyDescent="0.25">
      <c r="A1378" s="11">
        <v>45931</v>
      </c>
      <c r="B1378" s="10" t="s">
        <v>1792</v>
      </c>
      <c r="C1378" s="10" t="s">
        <v>1780</v>
      </c>
      <c r="D1378" s="12">
        <v>6322.99</v>
      </c>
      <c r="E1378" s="12">
        <v>6798.95</v>
      </c>
      <c r="F1378" s="12">
        <f t="shared" si="63"/>
        <v>475.96000000000004</v>
      </c>
      <c r="G1378" s="27">
        <f t="shared" si="64"/>
        <v>7.5274514114366781E-2</v>
      </c>
      <c r="H1378" s="10" t="str">
        <f t="shared" si="65"/>
        <v>Slightly Over</v>
      </c>
    </row>
    <row r="1379" spans="1:8" x14ac:dyDescent="0.25">
      <c r="A1379" s="14">
        <v>45931</v>
      </c>
      <c r="B1379" s="13" t="s">
        <v>1818</v>
      </c>
      <c r="C1379" s="13" t="s">
        <v>1775</v>
      </c>
      <c r="D1379" s="15">
        <v>39148.410000000003</v>
      </c>
      <c r="E1379" s="15">
        <v>37249.9</v>
      </c>
      <c r="F1379" s="15">
        <f t="shared" si="63"/>
        <v>-1898.510000000002</v>
      </c>
      <c r="G1379" s="28">
        <f t="shared" si="64"/>
        <v>-4.8495200699083356E-2</v>
      </c>
      <c r="H1379" s="13" t="str">
        <f t="shared" si="65"/>
        <v>Under Budget</v>
      </c>
    </row>
    <row r="1380" spans="1:8" x14ac:dyDescent="0.25">
      <c r="A1380" s="11">
        <v>45931</v>
      </c>
      <c r="B1380" s="10" t="s">
        <v>1786</v>
      </c>
      <c r="C1380" s="10" t="s">
        <v>1789</v>
      </c>
      <c r="D1380" s="12">
        <v>5442.61</v>
      </c>
      <c r="E1380" s="12">
        <v>5471.19</v>
      </c>
      <c r="F1380" s="12">
        <f t="shared" si="63"/>
        <v>28.579999999999927</v>
      </c>
      <c r="G1380" s="27">
        <f t="shared" si="64"/>
        <v>5.2511570735363968E-3</v>
      </c>
      <c r="H1380" s="10" t="str">
        <f t="shared" si="65"/>
        <v>Within Budget</v>
      </c>
    </row>
    <row r="1381" spans="1:8" x14ac:dyDescent="0.25">
      <c r="A1381" s="14">
        <v>45931</v>
      </c>
      <c r="B1381" s="13" t="s">
        <v>1877</v>
      </c>
      <c r="C1381" s="13" t="s">
        <v>1778</v>
      </c>
      <c r="D1381" s="15">
        <v>13278.68</v>
      </c>
      <c r="E1381" s="15">
        <v>12010.22</v>
      </c>
      <c r="F1381" s="15">
        <f t="shared" si="63"/>
        <v>-1268.4600000000009</v>
      </c>
      <c r="G1381" s="28">
        <f t="shared" si="64"/>
        <v>-9.5526061325372766E-2</v>
      </c>
      <c r="H1381" s="13" t="str">
        <f t="shared" si="65"/>
        <v>Under Budget</v>
      </c>
    </row>
    <row r="1382" spans="1:8" x14ac:dyDescent="0.25">
      <c r="A1382" s="11">
        <v>45931</v>
      </c>
      <c r="B1382" s="10" t="s">
        <v>1818</v>
      </c>
      <c r="C1382" s="10" t="s">
        <v>1786</v>
      </c>
      <c r="D1382" s="12">
        <v>5666.09</v>
      </c>
      <c r="E1382" s="12">
        <v>5093.93</v>
      </c>
      <c r="F1382" s="12">
        <f t="shared" si="63"/>
        <v>-572.15999999999985</v>
      </c>
      <c r="G1382" s="27">
        <f t="shared" si="64"/>
        <v>-0.10097968793294844</v>
      </c>
      <c r="H1382" s="10" t="str">
        <f t="shared" si="65"/>
        <v>Under Budget</v>
      </c>
    </row>
    <row r="1383" spans="1:8" x14ac:dyDescent="0.25">
      <c r="A1383" s="14">
        <v>45931</v>
      </c>
      <c r="B1383" s="13" t="s">
        <v>1818</v>
      </c>
      <c r="C1383" s="13" t="s">
        <v>1792</v>
      </c>
      <c r="D1383" s="15">
        <v>5260.85</v>
      </c>
      <c r="E1383" s="15">
        <v>4921.83</v>
      </c>
      <c r="F1383" s="15">
        <f t="shared" si="63"/>
        <v>-339.02000000000044</v>
      </c>
      <c r="G1383" s="28">
        <f t="shared" si="64"/>
        <v>-6.4442057842363953E-2</v>
      </c>
      <c r="H1383" s="13" t="str">
        <f t="shared" si="65"/>
        <v>Under Budget</v>
      </c>
    </row>
    <row r="1384" spans="1:8" x14ac:dyDescent="0.25">
      <c r="A1384" s="11">
        <v>45931</v>
      </c>
      <c r="B1384" s="10" t="s">
        <v>1786</v>
      </c>
      <c r="C1384" s="10" t="s">
        <v>1786</v>
      </c>
      <c r="D1384" s="12">
        <v>15882.01</v>
      </c>
      <c r="E1384" s="12">
        <v>23137.75</v>
      </c>
      <c r="F1384" s="12">
        <f t="shared" si="63"/>
        <v>7255.74</v>
      </c>
      <c r="G1384" s="27">
        <f t="shared" si="64"/>
        <v>0.45685275352427052</v>
      </c>
      <c r="H1384" s="10" t="str">
        <f t="shared" si="65"/>
        <v>Significantly Over</v>
      </c>
    </row>
    <row r="1385" spans="1:8" x14ac:dyDescent="0.25">
      <c r="A1385" s="14">
        <v>45931</v>
      </c>
      <c r="B1385" s="13" t="s">
        <v>1862</v>
      </c>
      <c r="C1385" s="13" t="s">
        <v>1797</v>
      </c>
      <c r="D1385" s="15">
        <v>2766.44</v>
      </c>
      <c r="E1385" s="15">
        <v>2615.98</v>
      </c>
      <c r="F1385" s="15">
        <f t="shared" si="63"/>
        <v>-150.46000000000004</v>
      </c>
      <c r="G1385" s="28">
        <f t="shared" si="64"/>
        <v>-5.4387588380734819E-2</v>
      </c>
      <c r="H1385" s="13" t="str">
        <f t="shared" si="65"/>
        <v>Under Budget</v>
      </c>
    </row>
    <row r="1386" spans="1:8" x14ac:dyDescent="0.25">
      <c r="A1386" s="11">
        <v>45931</v>
      </c>
      <c r="B1386" s="10" t="s">
        <v>1774</v>
      </c>
      <c r="C1386" s="10" t="s">
        <v>1795</v>
      </c>
      <c r="D1386" s="12">
        <v>4784.17</v>
      </c>
      <c r="E1386" s="12">
        <v>5289.34</v>
      </c>
      <c r="F1386" s="12">
        <f t="shared" si="63"/>
        <v>505.17000000000007</v>
      </c>
      <c r="G1386" s="27">
        <f t="shared" si="64"/>
        <v>0.10559198356245704</v>
      </c>
      <c r="H1386" s="10" t="str">
        <f t="shared" si="65"/>
        <v>Slightly Over</v>
      </c>
    </row>
    <row r="1387" spans="1:8" x14ac:dyDescent="0.25">
      <c r="A1387" s="14">
        <v>45931</v>
      </c>
      <c r="B1387" s="13" t="s">
        <v>1877</v>
      </c>
      <c r="C1387" s="13" t="s">
        <v>1797</v>
      </c>
      <c r="D1387" s="15">
        <v>3441.35</v>
      </c>
      <c r="E1387" s="15">
        <v>3181.11</v>
      </c>
      <c r="F1387" s="15">
        <f t="shared" si="63"/>
        <v>-260.23999999999978</v>
      </c>
      <c r="G1387" s="28">
        <f t="shared" si="64"/>
        <v>-7.562148575413713E-2</v>
      </c>
      <c r="H1387" s="13" t="str">
        <f t="shared" si="65"/>
        <v>Under Budget</v>
      </c>
    </row>
    <row r="1388" spans="1:8" x14ac:dyDescent="0.25">
      <c r="A1388" s="11">
        <v>45962</v>
      </c>
      <c r="B1388" s="10" t="s">
        <v>1786</v>
      </c>
      <c r="C1388" s="10" t="s">
        <v>1792</v>
      </c>
      <c r="D1388" s="12">
        <v>9549.93</v>
      </c>
      <c r="E1388" s="12">
        <v>9468.5400000000009</v>
      </c>
      <c r="F1388" s="12">
        <f t="shared" si="63"/>
        <v>-81.389999999999418</v>
      </c>
      <c r="G1388" s="27">
        <f t="shared" si="64"/>
        <v>-8.522575558145392E-3</v>
      </c>
      <c r="H1388" s="10" t="str">
        <f t="shared" si="65"/>
        <v>Under Budget</v>
      </c>
    </row>
    <row r="1389" spans="1:8" x14ac:dyDescent="0.25">
      <c r="A1389" s="14">
        <v>45962</v>
      </c>
      <c r="B1389" s="13" t="s">
        <v>1877</v>
      </c>
      <c r="C1389" s="13" t="s">
        <v>1795</v>
      </c>
      <c r="D1389" s="15">
        <v>3585.94</v>
      </c>
      <c r="E1389" s="15">
        <v>3242.02</v>
      </c>
      <c r="F1389" s="15">
        <f t="shared" si="63"/>
        <v>-343.92000000000007</v>
      </c>
      <c r="G1389" s="28">
        <f t="shared" si="64"/>
        <v>-9.5907906992308875E-2</v>
      </c>
      <c r="H1389" s="13" t="str">
        <f t="shared" si="65"/>
        <v>Under Budget</v>
      </c>
    </row>
    <row r="1390" spans="1:8" x14ac:dyDescent="0.25">
      <c r="A1390" s="11">
        <v>45962</v>
      </c>
      <c r="B1390" s="10" t="s">
        <v>1786</v>
      </c>
      <c r="C1390" s="10" t="s">
        <v>1789</v>
      </c>
      <c r="D1390" s="12">
        <v>6586.74</v>
      </c>
      <c r="E1390" s="12">
        <v>6699.92</v>
      </c>
      <c r="F1390" s="12">
        <f t="shared" si="63"/>
        <v>113.18000000000029</v>
      </c>
      <c r="G1390" s="27">
        <f t="shared" si="64"/>
        <v>1.7183007071783659E-2</v>
      </c>
      <c r="H1390" s="10" t="str">
        <f t="shared" si="65"/>
        <v>Within Budget</v>
      </c>
    </row>
    <row r="1391" spans="1:8" x14ac:dyDescent="0.25">
      <c r="A1391" s="14">
        <v>45962</v>
      </c>
      <c r="B1391" s="13" t="s">
        <v>1862</v>
      </c>
      <c r="C1391" s="13" t="s">
        <v>1783</v>
      </c>
      <c r="D1391" s="15">
        <v>6256.08</v>
      </c>
      <c r="E1391" s="15">
        <v>6531.05</v>
      </c>
      <c r="F1391" s="15">
        <f t="shared" si="63"/>
        <v>274.97000000000025</v>
      </c>
      <c r="G1391" s="28">
        <f t="shared" si="64"/>
        <v>4.3952443063387976E-2</v>
      </c>
      <c r="H1391" s="13" t="str">
        <f t="shared" si="65"/>
        <v>Within Budget</v>
      </c>
    </row>
    <row r="1392" spans="1:8" x14ac:dyDescent="0.25">
      <c r="A1392" s="11">
        <v>45962</v>
      </c>
      <c r="B1392" s="10" t="s">
        <v>1877</v>
      </c>
      <c r="C1392" s="10" t="s">
        <v>1789</v>
      </c>
      <c r="D1392" s="12">
        <v>7176.53</v>
      </c>
      <c r="E1392" s="12">
        <v>6413.84</v>
      </c>
      <c r="F1392" s="12">
        <f t="shared" si="63"/>
        <v>-762.6899999999996</v>
      </c>
      <c r="G1392" s="27">
        <f t="shared" si="64"/>
        <v>-0.10627559558728238</v>
      </c>
      <c r="H1392" s="10" t="str">
        <f t="shared" si="65"/>
        <v>Under Budget</v>
      </c>
    </row>
    <row r="1393" spans="1:8" x14ac:dyDescent="0.25">
      <c r="A1393" s="14">
        <v>45962</v>
      </c>
      <c r="B1393" s="13" t="s">
        <v>1862</v>
      </c>
      <c r="C1393" s="13" t="s">
        <v>1778</v>
      </c>
      <c r="D1393" s="15">
        <v>9312.15</v>
      </c>
      <c r="E1393" s="15">
        <v>9158.75</v>
      </c>
      <c r="F1393" s="15">
        <f t="shared" si="63"/>
        <v>-153.39999999999964</v>
      </c>
      <c r="G1393" s="28">
        <f t="shared" si="64"/>
        <v>-1.6473102344786075E-2</v>
      </c>
      <c r="H1393" s="13" t="str">
        <f t="shared" si="65"/>
        <v>Under Budget</v>
      </c>
    </row>
    <row r="1394" spans="1:8" x14ac:dyDescent="0.25">
      <c r="A1394" s="11">
        <v>45962</v>
      </c>
      <c r="B1394" s="10" t="s">
        <v>1774</v>
      </c>
      <c r="C1394" s="10" t="s">
        <v>1778</v>
      </c>
      <c r="D1394" s="12">
        <v>21303.5</v>
      </c>
      <c r="E1394" s="12">
        <v>19546.29</v>
      </c>
      <c r="F1394" s="12">
        <f t="shared" si="63"/>
        <v>-1757.2099999999991</v>
      </c>
      <c r="G1394" s="27">
        <f t="shared" si="64"/>
        <v>-8.2484568263430855E-2</v>
      </c>
      <c r="H1394" s="10" t="str">
        <f t="shared" si="65"/>
        <v>Under Budget</v>
      </c>
    </row>
    <row r="1395" spans="1:8" x14ac:dyDescent="0.25">
      <c r="A1395" s="14">
        <v>45962</v>
      </c>
      <c r="B1395" s="13" t="s">
        <v>1862</v>
      </c>
      <c r="C1395" s="13" t="s">
        <v>1795</v>
      </c>
      <c r="D1395" s="15">
        <v>2177.5</v>
      </c>
      <c r="E1395" s="15">
        <v>1978.77</v>
      </c>
      <c r="F1395" s="15">
        <f t="shared" si="63"/>
        <v>-198.73000000000002</v>
      </c>
      <c r="G1395" s="28">
        <f t="shared" si="64"/>
        <v>-9.126521239954076E-2</v>
      </c>
      <c r="H1395" s="13" t="str">
        <f t="shared" si="65"/>
        <v>Under Budget</v>
      </c>
    </row>
    <row r="1396" spans="1:8" x14ac:dyDescent="0.25">
      <c r="A1396" s="11">
        <v>45962</v>
      </c>
      <c r="B1396" s="10" t="s">
        <v>1818</v>
      </c>
      <c r="C1396" s="10" t="s">
        <v>1795</v>
      </c>
      <c r="D1396" s="12">
        <v>2131.37</v>
      </c>
      <c r="E1396" s="12">
        <v>2101.81</v>
      </c>
      <c r="F1396" s="12">
        <f t="shared" si="63"/>
        <v>-29.559999999999945</v>
      </c>
      <c r="G1396" s="27">
        <f t="shared" si="64"/>
        <v>-1.386901382678744E-2</v>
      </c>
      <c r="H1396" s="10" t="str">
        <f t="shared" si="65"/>
        <v>Under Budget</v>
      </c>
    </row>
    <row r="1397" spans="1:8" x14ac:dyDescent="0.25">
      <c r="A1397" s="14">
        <v>45962</v>
      </c>
      <c r="B1397" s="13" t="s">
        <v>1818</v>
      </c>
      <c r="C1397" s="13" t="s">
        <v>1786</v>
      </c>
      <c r="D1397" s="15">
        <v>6018.43</v>
      </c>
      <c r="E1397" s="15">
        <v>6016.88</v>
      </c>
      <c r="F1397" s="15">
        <f t="shared" si="63"/>
        <v>-1.5500000000001819</v>
      </c>
      <c r="G1397" s="28">
        <f t="shared" si="64"/>
        <v>-2.5754224939065199E-4</v>
      </c>
      <c r="H1397" s="13" t="str">
        <f t="shared" si="65"/>
        <v>Under Budget</v>
      </c>
    </row>
    <row r="1398" spans="1:8" x14ac:dyDescent="0.25">
      <c r="A1398" s="11">
        <v>45962</v>
      </c>
      <c r="B1398" s="10" t="s">
        <v>1774</v>
      </c>
      <c r="C1398" s="10" t="s">
        <v>1780</v>
      </c>
      <c r="D1398" s="12">
        <v>10649.51</v>
      </c>
      <c r="E1398" s="12">
        <v>10423.99</v>
      </c>
      <c r="F1398" s="12">
        <f t="shared" si="63"/>
        <v>-225.52000000000044</v>
      </c>
      <c r="G1398" s="27">
        <f t="shared" si="64"/>
        <v>-2.1176561175115141E-2</v>
      </c>
      <c r="H1398" s="10" t="str">
        <f t="shared" si="65"/>
        <v>Under Budget</v>
      </c>
    </row>
    <row r="1399" spans="1:8" x14ac:dyDescent="0.25">
      <c r="A1399" s="14">
        <v>45962</v>
      </c>
      <c r="B1399" s="13" t="s">
        <v>1792</v>
      </c>
      <c r="C1399" s="13" t="s">
        <v>1778</v>
      </c>
      <c r="D1399" s="15">
        <v>20922.349999999999</v>
      </c>
      <c r="E1399" s="15">
        <v>19256.599999999999</v>
      </c>
      <c r="F1399" s="15">
        <f t="shared" si="63"/>
        <v>-1665.75</v>
      </c>
      <c r="G1399" s="28">
        <f t="shared" si="64"/>
        <v>-7.9615817534837152E-2</v>
      </c>
      <c r="H1399" s="13" t="str">
        <f t="shared" si="65"/>
        <v>Under Budget</v>
      </c>
    </row>
    <row r="1400" spans="1:8" x14ac:dyDescent="0.25">
      <c r="A1400" s="11">
        <v>45962</v>
      </c>
      <c r="B1400" s="10" t="s">
        <v>1792</v>
      </c>
      <c r="C1400" s="10" t="s">
        <v>1775</v>
      </c>
      <c r="D1400" s="12">
        <v>83983.48</v>
      </c>
      <c r="E1400" s="12">
        <v>75509.42</v>
      </c>
      <c r="F1400" s="12">
        <f t="shared" si="63"/>
        <v>-8474.0599999999977</v>
      </c>
      <c r="G1400" s="27">
        <f t="shared" si="64"/>
        <v>-0.10090151063042396</v>
      </c>
      <c r="H1400" s="10" t="str">
        <f t="shared" si="65"/>
        <v>Under Budget</v>
      </c>
    </row>
    <row r="1401" spans="1:8" x14ac:dyDescent="0.25">
      <c r="A1401" s="14">
        <v>45962</v>
      </c>
      <c r="B1401" s="13" t="s">
        <v>1877</v>
      </c>
      <c r="C1401" s="13" t="s">
        <v>1780</v>
      </c>
      <c r="D1401" s="15">
        <v>6044.74</v>
      </c>
      <c r="E1401" s="15">
        <v>6217.39</v>
      </c>
      <c r="F1401" s="15">
        <f t="shared" si="63"/>
        <v>172.65000000000055</v>
      </c>
      <c r="G1401" s="28">
        <f t="shared" si="64"/>
        <v>2.8562022518751933E-2</v>
      </c>
      <c r="H1401" s="13" t="str">
        <f t="shared" si="65"/>
        <v>Within Budget</v>
      </c>
    </row>
    <row r="1402" spans="1:8" x14ac:dyDescent="0.25">
      <c r="A1402" s="11">
        <v>45962</v>
      </c>
      <c r="B1402" s="10" t="s">
        <v>1818</v>
      </c>
      <c r="C1402" s="10" t="s">
        <v>1775</v>
      </c>
      <c r="D1402" s="12">
        <v>31651.81</v>
      </c>
      <c r="E1402" s="12">
        <v>29789.98</v>
      </c>
      <c r="F1402" s="12">
        <f t="shared" si="63"/>
        <v>-1861.8300000000017</v>
      </c>
      <c r="G1402" s="27">
        <f t="shared" si="64"/>
        <v>-5.8822228491830379E-2</v>
      </c>
      <c r="H1402" s="10" t="str">
        <f t="shared" si="65"/>
        <v>Under Budget</v>
      </c>
    </row>
    <row r="1403" spans="1:8" x14ac:dyDescent="0.25">
      <c r="A1403" s="14">
        <v>45962</v>
      </c>
      <c r="B1403" s="13" t="s">
        <v>1877</v>
      </c>
      <c r="C1403" s="13" t="s">
        <v>1792</v>
      </c>
      <c r="D1403" s="15">
        <v>9446.07</v>
      </c>
      <c r="E1403" s="15">
        <v>9811.2199999999993</v>
      </c>
      <c r="F1403" s="15">
        <f t="shared" si="63"/>
        <v>365.14999999999964</v>
      </c>
      <c r="G1403" s="28">
        <f t="shared" si="64"/>
        <v>3.8656287747179476E-2</v>
      </c>
      <c r="H1403" s="13" t="str">
        <f t="shared" si="65"/>
        <v>Within Budget</v>
      </c>
    </row>
    <row r="1404" spans="1:8" x14ac:dyDescent="0.25">
      <c r="A1404" s="11">
        <v>45962</v>
      </c>
      <c r="B1404" s="10" t="s">
        <v>1792</v>
      </c>
      <c r="C1404" s="10" t="s">
        <v>1792</v>
      </c>
      <c r="D1404" s="12">
        <v>12943.64</v>
      </c>
      <c r="E1404" s="12">
        <v>12513.07</v>
      </c>
      <c r="F1404" s="12">
        <f t="shared" si="63"/>
        <v>-430.56999999999971</v>
      </c>
      <c r="G1404" s="27">
        <f t="shared" si="64"/>
        <v>-3.326498573816946E-2</v>
      </c>
      <c r="H1404" s="10" t="str">
        <f t="shared" si="65"/>
        <v>Under Budget</v>
      </c>
    </row>
    <row r="1405" spans="1:8" x14ac:dyDescent="0.25">
      <c r="A1405" s="14">
        <v>45962</v>
      </c>
      <c r="B1405" s="13" t="s">
        <v>1774</v>
      </c>
      <c r="C1405" s="13" t="s">
        <v>1795</v>
      </c>
      <c r="D1405" s="15">
        <v>6665.47</v>
      </c>
      <c r="E1405" s="15">
        <v>6188.61</v>
      </c>
      <c r="F1405" s="15">
        <f t="shared" si="63"/>
        <v>-476.86000000000058</v>
      </c>
      <c r="G1405" s="28">
        <f t="shared" si="64"/>
        <v>-7.1541841760596109E-2</v>
      </c>
      <c r="H1405" s="13" t="str">
        <f t="shared" si="65"/>
        <v>Under Budget</v>
      </c>
    </row>
    <row r="1406" spans="1:8" x14ac:dyDescent="0.25">
      <c r="A1406" s="11">
        <v>45962</v>
      </c>
      <c r="B1406" s="10" t="s">
        <v>1786</v>
      </c>
      <c r="C1406" s="10" t="s">
        <v>1783</v>
      </c>
      <c r="D1406" s="12">
        <v>13449.17</v>
      </c>
      <c r="E1406" s="12">
        <v>12282.04</v>
      </c>
      <c r="F1406" s="12">
        <f t="shared" si="63"/>
        <v>-1167.1299999999992</v>
      </c>
      <c r="G1406" s="27">
        <f t="shared" si="64"/>
        <v>-8.6780819931638845E-2</v>
      </c>
      <c r="H1406" s="10" t="str">
        <f t="shared" si="65"/>
        <v>Under Budget</v>
      </c>
    </row>
    <row r="1407" spans="1:8" x14ac:dyDescent="0.25">
      <c r="A1407" s="14">
        <v>45962</v>
      </c>
      <c r="B1407" s="13" t="s">
        <v>1818</v>
      </c>
      <c r="C1407" s="13" t="s">
        <v>1778</v>
      </c>
      <c r="D1407" s="15">
        <v>7306.39</v>
      </c>
      <c r="E1407" s="15">
        <v>7315.77</v>
      </c>
      <c r="F1407" s="15">
        <f t="shared" si="63"/>
        <v>9.3800000000001091</v>
      </c>
      <c r="G1407" s="28">
        <f t="shared" si="64"/>
        <v>1.2838077354206535E-3</v>
      </c>
      <c r="H1407" s="13" t="str">
        <f t="shared" si="65"/>
        <v>Within Budget</v>
      </c>
    </row>
    <row r="1408" spans="1:8" x14ac:dyDescent="0.25">
      <c r="A1408" s="11">
        <v>45962</v>
      </c>
      <c r="B1408" s="10" t="s">
        <v>1786</v>
      </c>
      <c r="C1408" s="10" t="s">
        <v>1797</v>
      </c>
      <c r="D1408" s="12">
        <v>4428.6899999999996</v>
      </c>
      <c r="E1408" s="12">
        <v>4512.87</v>
      </c>
      <c r="F1408" s="12">
        <f t="shared" si="63"/>
        <v>84.180000000000291</v>
      </c>
      <c r="G1408" s="27">
        <f t="shared" si="64"/>
        <v>1.9007878176165029E-2</v>
      </c>
      <c r="H1408" s="10" t="str">
        <f t="shared" si="65"/>
        <v>Within Budget</v>
      </c>
    </row>
    <row r="1409" spans="1:8" x14ac:dyDescent="0.25">
      <c r="A1409" s="14">
        <v>45962</v>
      </c>
      <c r="B1409" s="13" t="s">
        <v>1818</v>
      </c>
      <c r="C1409" s="13" t="s">
        <v>1797</v>
      </c>
      <c r="D1409" s="15">
        <v>2109.5500000000002</v>
      </c>
      <c r="E1409" s="15">
        <v>2207.1999999999998</v>
      </c>
      <c r="F1409" s="15">
        <f t="shared" si="63"/>
        <v>97.649999999999636</v>
      </c>
      <c r="G1409" s="28">
        <f t="shared" si="64"/>
        <v>4.6289493019838181E-2</v>
      </c>
      <c r="H1409" s="13" t="str">
        <f t="shared" si="65"/>
        <v>Within Budget</v>
      </c>
    </row>
    <row r="1410" spans="1:8" x14ac:dyDescent="0.25">
      <c r="A1410" s="11">
        <v>45962</v>
      </c>
      <c r="B1410" s="10" t="s">
        <v>1799</v>
      </c>
      <c r="C1410" s="10" t="s">
        <v>1795</v>
      </c>
      <c r="D1410" s="12">
        <v>2348.56</v>
      </c>
      <c r="E1410" s="12">
        <v>2527.09</v>
      </c>
      <c r="F1410" s="12">
        <f t="shared" ref="F1410:F1473" si="66">E1410-D1410</f>
        <v>178.5300000000002</v>
      </c>
      <c r="G1410" s="27">
        <f t="shared" ref="G1410:G1473" si="67">IFERROR(F1410/D1410,0)</f>
        <v>7.6016793269067087E-2</v>
      </c>
      <c r="H1410" s="10" t="str">
        <f t="shared" ref="H1410:H1473" si="68">IF(G1410&lt;=0,"Under Budget",IF(G1410&lt;=5%,"Within Budget",IF(G1410&lt;=15%,"Slightly Over","Significantly Over")))</f>
        <v>Slightly Over</v>
      </c>
    </row>
    <row r="1411" spans="1:8" x14ac:dyDescent="0.25">
      <c r="A1411" s="14">
        <v>45962</v>
      </c>
      <c r="B1411" s="13" t="s">
        <v>1786</v>
      </c>
      <c r="C1411" s="13" t="s">
        <v>1775</v>
      </c>
      <c r="D1411" s="15">
        <v>69843.570000000007</v>
      </c>
      <c r="E1411" s="15">
        <v>71248.460000000006</v>
      </c>
      <c r="F1411" s="15">
        <f t="shared" si="66"/>
        <v>1404.8899999999994</v>
      </c>
      <c r="G1411" s="28">
        <f t="shared" si="67"/>
        <v>2.0114807991630429E-2</v>
      </c>
      <c r="H1411" s="13" t="str">
        <f t="shared" si="68"/>
        <v>Within Budget</v>
      </c>
    </row>
    <row r="1412" spans="1:8" x14ac:dyDescent="0.25">
      <c r="A1412" s="11">
        <v>45962</v>
      </c>
      <c r="B1412" s="10" t="s">
        <v>1786</v>
      </c>
      <c r="C1412" s="10" t="s">
        <v>1795</v>
      </c>
      <c r="D1412" s="12">
        <v>4473.72</v>
      </c>
      <c r="E1412" s="12">
        <v>4097.43</v>
      </c>
      <c r="F1412" s="12">
        <f t="shared" si="66"/>
        <v>-376.28999999999996</v>
      </c>
      <c r="G1412" s="27">
        <f t="shared" si="67"/>
        <v>-8.411120946326546E-2</v>
      </c>
      <c r="H1412" s="10" t="str">
        <f t="shared" si="68"/>
        <v>Under Budget</v>
      </c>
    </row>
    <row r="1413" spans="1:8" x14ac:dyDescent="0.25">
      <c r="A1413" s="14">
        <v>45962</v>
      </c>
      <c r="B1413" s="13" t="s">
        <v>1786</v>
      </c>
      <c r="C1413" s="13" t="s">
        <v>1780</v>
      </c>
      <c r="D1413" s="15">
        <v>5972.59</v>
      </c>
      <c r="E1413" s="15">
        <v>6019.92</v>
      </c>
      <c r="F1413" s="15">
        <f t="shared" si="66"/>
        <v>47.329999999999927</v>
      </c>
      <c r="G1413" s="28">
        <f t="shared" si="67"/>
        <v>7.92453525187564E-3</v>
      </c>
      <c r="H1413" s="13" t="str">
        <f t="shared" si="68"/>
        <v>Within Budget</v>
      </c>
    </row>
    <row r="1414" spans="1:8" x14ac:dyDescent="0.25">
      <c r="A1414" s="11">
        <v>45962</v>
      </c>
      <c r="B1414" s="10" t="s">
        <v>1862</v>
      </c>
      <c r="C1414" s="10" t="s">
        <v>1792</v>
      </c>
      <c r="D1414" s="12">
        <v>6858.01</v>
      </c>
      <c r="E1414" s="12">
        <v>7071.54</v>
      </c>
      <c r="F1414" s="12">
        <f t="shared" si="66"/>
        <v>213.52999999999975</v>
      </c>
      <c r="G1414" s="27">
        <f t="shared" si="67"/>
        <v>3.1135854278427667E-2</v>
      </c>
      <c r="H1414" s="10" t="str">
        <f t="shared" si="68"/>
        <v>Within Budget</v>
      </c>
    </row>
    <row r="1415" spans="1:8" x14ac:dyDescent="0.25">
      <c r="A1415" s="14">
        <v>45962</v>
      </c>
      <c r="B1415" s="13" t="s">
        <v>1862</v>
      </c>
      <c r="C1415" s="13" t="s">
        <v>1789</v>
      </c>
      <c r="D1415" s="15">
        <v>3971.54</v>
      </c>
      <c r="E1415" s="15">
        <v>3737.54</v>
      </c>
      <c r="F1415" s="15">
        <f t="shared" si="66"/>
        <v>-234</v>
      </c>
      <c r="G1415" s="28">
        <f t="shared" si="67"/>
        <v>-5.8919210180433786E-2</v>
      </c>
      <c r="H1415" s="13" t="str">
        <f t="shared" si="68"/>
        <v>Under Budget</v>
      </c>
    </row>
    <row r="1416" spans="1:8" x14ac:dyDescent="0.25">
      <c r="A1416" s="11">
        <v>45962</v>
      </c>
      <c r="B1416" s="10" t="s">
        <v>1799</v>
      </c>
      <c r="C1416" s="10" t="s">
        <v>1786</v>
      </c>
      <c r="D1416" s="12">
        <v>6010.13</v>
      </c>
      <c r="E1416" s="12">
        <v>6343.62</v>
      </c>
      <c r="F1416" s="12">
        <f t="shared" si="66"/>
        <v>333.48999999999978</v>
      </c>
      <c r="G1416" s="27">
        <f t="shared" si="67"/>
        <v>5.5487984452915293E-2</v>
      </c>
      <c r="H1416" s="10" t="str">
        <f t="shared" si="68"/>
        <v>Slightly Over</v>
      </c>
    </row>
    <row r="1417" spans="1:8" x14ac:dyDescent="0.25">
      <c r="A1417" s="14">
        <v>45962</v>
      </c>
      <c r="B1417" s="13" t="s">
        <v>1799</v>
      </c>
      <c r="C1417" s="13" t="s">
        <v>1789</v>
      </c>
      <c r="D1417" s="15">
        <v>3970.25</v>
      </c>
      <c r="E1417" s="15">
        <v>4151.32</v>
      </c>
      <c r="F1417" s="15">
        <f t="shared" si="66"/>
        <v>181.06999999999971</v>
      </c>
      <c r="G1417" s="28">
        <f t="shared" si="67"/>
        <v>4.5606699829985442E-2</v>
      </c>
      <c r="H1417" s="13" t="str">
        <f t="shared" si="68"/>
        <v>Within Budget</v>
      </c>
    </row>
    <row r="1418" spans="1:8" x14ac:dyDescent="0.25">
      <c r="A1418" s="11">
        <v>45962</v>
      </c>
      <c r="B1418" s="10" t="s">
        <v>1774</v>
      </c>
      <c r="C1418" s="10" t="s">
        <v>1775</v>
      </c>
      <c r="D1418" s="12">
        <v>111007.9</v>
      </c>
      <c r="E1418" s="12">
        <v>100377.89</v>
      </c>
      <c r="F1418" s="12">
        <f t="shared" si="66"/>
        <v>-10630.009999999995</v>
      </c>
      <c r="G1418" s="27">
        <f t="shared" si="67"/>
        <v>-9.5759040572788015E-2</v>
      </c>
      <c r="H1418" s="10" t="str">
        <f t="shared" si="68"/>
        <v>Under Budget</v>
      </c>
    </row>
    <row r="1419" spans="1:8" x14ac:dyDescent="0.25">
      <c r="A1419" s="14">
        <v>45962</v>
      </c>
      <c r="B1419" s="13" t="s">
        <v>1877</v>
      </c>
      <c r="C1419" s="13" t="s">
        <v>1775</v>
      </c>
      <c r="D1419" s="15">
        <v>63857.15</v>
      </c>
      <c r="E1419" s="15">
        <v>69564.98</v>
      </c>
      <c r="F1419" s="15">
        <f t="shared" si="66"/>
        <v>5707.8299999999945</v>
      </c>
      <c r="G1419" s="28">
        <f t="shared" si="67"/>
        <v>8.9384352417857582E-2</v>
      </c>
      <c r="H1419" s="13" t="str">
        <f t="shared" si="68"/>
        <v>Slightly Over</v>
      </c>
    </row>
    <row r="1420" spans="1:8" x14ac:dyDescent="0.25">
      <c r="A1420" s="11">
        <v>45962</v>
      </c>
      <c r="B1420" s="10" t="s">
        <v>1799</v>
      </c>
      <c r="C1420" s="10" t="s">
        <v>1792</v>
      </c>
      <c r="D1420" s="12">
        <v>5474.7</v>
      </c>
      <c r="E1420" s="12">
        <v>5523.2</v>
      </c>
      <c r="F1420" s="12">
        <f t="shared" si="66"/>
        <v>48.5</v>
      </c>
      <c r="G1420" s="27">
        <f t="shared" si="67"/>
        <v>8.8589329095658219E-3</v>
      </c>
      <c r="H1420" s="10" t="str">
        <f t="shared" si="68"/>
        <v>Within Budget</v>
      </c>
    </row>
    <row r="1421" spans="1:8" x14ac:dyDescent="0.25">
      <c r="A1421" s="14">
        <v>45962</v>
      </c>
      <c r="B1421" s="13" t="s">
        <v>1786</v>
      </c>
      <c r="C1421" s="13" t="s">
        <v>1786</v>
      </c>
      <c r="D1421" s="15">
        <v>12059.36</v>
      </c>
      <c r="E1421" s="15">
        <v>11743.63</v>
      </c>
      <c r="F1421" s="15">
        <f t="shared" si="66"/>
        <v>-315.73000000000138</v>
      </c>
      <c r="G1421" s="28">
        <f t="shared" si="67"/>
        <v>-2.6181323055286629E-2</v>
      </c>
      <c r="H1421" s="13" t="str">
        <f t="shared" si="68"/>
        <v>Under Budget</v>
      </c>
    </row>
    <row r="1422" spans="1:8" x14ac:dyDescent="0.25">
      <c r="A1422" s="11">
        <v>45962</v>
      </c>
      <c r="B1422" s="10" t="s">
        <v>1862</v>
      </c>
      <c r="C1422" s="10" t="s">
        <v>1775</v>
      </c>
      <c r="D1422" s="12">
        <v>43097.36</v>
      </c>
      <c r="E1422" s="12">
        <v>45334.27</v>
      </c>
      <c r="F1422" s="12">
        <f t="shared" si="66"/>
        <v>2236.9099999999962</v>
      </c>
      <c r="G1422" s="27">
        <f t="shared" si="67"/>
        <v>5.1903643285806746E-2</v>
      </c>
      <c r="H1422" s="10" t="str">
        <f t="shared" si="68"/>
        <v>Slightly Over</v>
      </c>
    </row>
    <row r="1423" spans="1:8" x14ac:dyDescent="0.25">
      <c r="A1423" s="14">
        <v>45962</v>
      </c>
      <c r="B1423" s="13" t="s">
        <v>1818</v>
      </c>
      <c r="C1423" s="13" t="s">
        <v>1792</v>
      </c>
      <c r="D1423" s="15">
        <v>5304.84</v>
      </c>
      <c r="E1423" s="15">
        <v>5515.4</v>
      </c>
      <c r="F1423" s="15">
        <f t="shared" si="66"/>
        <v>210.55999999999949</v>
      </c>
      <c r="G1423" s="28">
        <f t="shared" si="67"/>
        <v>3.9692054802783774E-2</v>
      </c>
      <c r="H1423" s="13" t="str">
        <f t="shared" si="68"/>
        <v>Within Budget</v>
      </c>
    </row>
    <row r="1424" spans="1:8" x14ac:dyDescent="0.25">
      <c r="A1424" s="11">
        <v>45962</v>
      </c>
      <c r="B1424" s="10" t="s">
        <v>1818</v>
      </c>
      <c r="C1424" s="10" t="s">
        <v>1789</v>
      </c>
      <c r="D1424" s="12">
        <v>2991.82</v>
      </c>
      <c r="E1424" s="12">
        <v>3153.25</v>
      </c>
      <c r="F1424" s="12">
        <f t="shared" si="66"/>
        <v>161.42999999999984</v>
      </c>
      <c r="G1424" s="27">
        <f t="shared" si="67"/>
        <v>5.3957123088955831E-2</v>
      </c>
      <c r="H1424" s="10" t="str">
        <f t="shared" si="68"/>
        <v>Slightly Over</v>
      </c>
    </row>
    <row r="1425" spans="1:8" x14ac:dyDescent="0.25">
      <c r="A1425" s="14">
        <v>45962</v>
      </c>
      <c r="B1425" s="13" t="s">
        <v>1877</v>
      </c>
      <c r="C1425" s="13" t="s">
        <v>1797</v>
      </c>
      <c r="D1425" s="15">
        <v>3070.91</v>
      </c>
      <c r="E1425" s="15">
        <v>3146.61</v>
      </c>
      <c r="F1425" s="15">
        <f t="shared" si="66"/>
        <v>75.700000000000273</v>
      </c>
      <c r="G1425" s="28">
        <f t="shared" si="67"/>
        <v>2.4650673578841542E-2</v>
      </c>
      <c r="H1425" s="13" t="str">
        <f t="shared" si="68"/>
        <v>Within Budget</v>
      </c>
    </row>
    <row r="1426" spans="1:8" x14ac:dyDescent="0.25">
      <c r="A1426" s="11">
        <v>45962</v>
      </c>
      <c r="B1426" s="10" t="s">
        <v>1862</v>
      </c>
      <c r="C1426" s="10" t="s">
        <v>1797</v>
      </c>
      <c r="D1426" s="12">
        <v>2167.21</v>
      </c>
      <c r="E1426" s="12">
        <v>1974.37</v>
      </c>
      <c r="F1426" s="12">
        <f t="shared" si="66"/>
        <v>-192.84000000000015</v>
      </c>
      <c r="G1426" s="27">
        <f t="shared" si="67"/>
        <v>-8.8980763285514616E-2</v>
      </c>
      <c r="H1426" s="10" t="str">
        <f t="shared" si="68"/>
        <v>Under Budget</v>
      </c>
    </row>
    <row r="1427" spans="1:8" x14ac:dyDescent="0.25">
      <c r="A1427" s="14">
        <v>45962</v>
      </c>
      <c r="B1427" s="13" t="s">
        <v>1799</v>
      </c>
      <c r="C1427" s="13" t="s">
        <v>1780</v>
      </c>
      <c r="D1427" s="15">
        <v>3716.64</v>
      </c>
      <c r="E1427" s="15">
        <v>3735.51</v>
      </c>
      <c r="F1427" s="15">
        <f t="shared" si="66"/>
        <v>18.870000000000346</v>
      </c>
      <c r="G1427" s="28">
        <f t="shared" si="67"/>
        <v>5.0771664729433964E-3</v>
      </c>
      <c r="H1427" s="13" t="str">
        <f t="shared" si="68"/>
        <v>Within Budget</v>
      </c>
    </row>
    <row r="1428" spans="1:8" x14ac:dyDescent="0.25">
      <c r="A1428" s="11">
        <v>45962</v>
      </c>
      <c r="B1428" s="10" t="s">
        <v>1792</v>
      </c>
      <c r="C1428" s="10" t="s">
        <v>1783</v>
      </c>
      <c r="D1428" s="12">
        <v>13310.58</v>
      </c>
      <c r="E1428" s="12">
        <v>13418.97</v>
      </c>
      <c r="F1428" s="12">
        <f t="shared" si="66"/>
        <v>108.38999999999942</v>
      </c>
      <c r="G1428" s="27">
        <f t="shared" si="67"/>
        <v>8.1431462791252841E-3</v>
      </c>
      <c r="H1428" s="10" t="str">
        <f t="shared" si="68"/>
        <v>Within Budget</v>
      </c>
    </row>
    <row r="1429" spans="1:8" x14ac:dyDescent="0.25">
      <c r="A1429" s="14">
        <v>45962</v>
      </c>
      <c r="B1429" s="13" t="s">
        <v>1818</v>
      </c>
      <c r="C1429" s="13" t="s">
        <v>1783</v>
      </c>
      <c r="D1429" s="15">
        <v>5565.19</v>
      </c>
      <c r="E1429" s="15">
        <v>5649.66</v>
      </c>
      <c r="F1429" s="15">
        <f t="shared" si="66"/>
        <v>84.470000000000255</v>
      </c>
      <c r="G1429" s="28">
        <f t="shared" si="67"/>
        <v>1.5178277830586244E-2</v>
      </c>
      <c r="H1429" s="13" t="str">
        <f t="shared" si="68"/>
        <v>Within Budget</v>
      </c>
    </row>
    <row r="1430" spans="1:8" x14ac:dyDescent="0.25">
      <c r="A1430" s="11">
        <v>45962</v>
      </c>
      <c r="B1430" s="10" t="s">
        <v>1774</v>
      </c>
      <c r="C1430" s="10" t="s">
        <v>1792</v>
      </c>
      <c r="D1430" s="12">
        <v>17219.939999999999</v>
      </c>
      <c r="E1430" s="12">
        <v>15484.09</v>
      </c>
      <c r="F1430" s="12">
        <f t="shared" si="66"/>
        <v>-1735.8499999999985</v>
      </c>
      <c r="G1430" s="27">
        <f t="shared" si="67"/>
        <v>-0.10080464856439678</v>
      </c>
      <c r="H1430" s="10" t="str">
        <f t="shared" si="68"/>
        <v>Under Budget</v>
      </c>
    </row>
    <row r="1431" spans="1:8" x14ac:dyDescent="0.25">
      <c r="A1431" s="14">
        <v>45962</v>
      </c>
      <c r="B1431" s="13" t="s">
        <v>1774</v>
      </c>
      <c r="C1431" s="13" t="s">
        <v>1789</v>
      </c>
      <c r="D1431" s="15">
        <v>9405.75</v>
      </c>
      <c r="E1431" s="15">
        <v>10159.530000000001</v>
      </c>
      <c r="F1431" s="15">
        <f t="shared" si="66"/>
        <v>753.78000000000065</v>
      </c>
      <c r="G1431" s="28">
        <f t="shared" si="67"/>
        <v>8.014033968583055E-2</v>
      </c>
      <c r="H1431" s="13" t="str">
        <f t="shared" si="68"/>
        <v>Slightly Over</v>
      </c>
    </row>
    <row r="1432" spans="1:8" x14ac:dyDescent="0.25">
      <c r="A1432" s="11">
        <v>45962</v>
      </c>
      <c r="B1432" s="10" t="s">
        <v>1799</v>
      </c>
      <c r="C1432" s="10" t="s">
        <v>1778</v>
      </c>
      <c r="D1432" s="12">
        <v>8465.6200000000008</v>
      </c>
      <c r="E1432" s="12">
        <v>7753.73</v>
      </c>
      <c r="F1432" s="12">
        <f t="shared" si="66"/>
        <v>-711.89000000000124</v>
      </c>
      <c r="G1432" s="27">
        <f t="shared" si="67"/>
        <v>-8.4091891674797734E-2</v>
      </c>
      <c r="H1432" s="10" t="str">
        <f t="shared" si="68"/>
        <v>Under Budget</v>
      </c>
    </row>
    <row r="1433" spans="1:8" x14ac:dyDescent="0.25">
      <c r="A1433" s="14">
        <v>45962</v>
      </c>
      <c r="B1433" s="13" t="s">
        <v>1786</v>
      </c>
      <c r="C1433" s="13" t="s">
        <v>1778</v>
      </c>
      <c r="D1433" s="15">
        <v>13070.93</v>
      </c>
      <c r="E1433" s="15">
        <v>13447.8</v>
      </c>
      <c r="F1433" s="15">
        <f t="shared" si="66"/>
        <v>376.86999999999898</v>
      </c>
      <c r="G1433" s="28">
        <f t="shared" si="67"/>
        <v>2.8832684437909085E-2</v>
      </c>
      <c r="H1433" s="13" t="str">
        <f t="shared" si="68"/>
        <v>Within Budget</v>
      </c>
    </row>
    <row r="1434" spans="1:8" x14ac:dyDescent="0.25">
      <c r="A1434" s="11">
        <v>45962</v>
      </c>
      <c r="B1434" s="10" t="s">
        <v>1877</v>
      </c>
      <c r="C1434" s="10" t="s">
        <v>1786</v>
      </c>
      <c r="D1434" s="12">
        <v>10815.72</v>
      </c>
      <c r="E1434" s="12">
        <v>9740.1</v>
      </c>
      <c r="F1434" s="12">
        <f t="shared" si="66"/>
        <v>-1075.619999999999</v>
      </c>
      <c r="G1434" s="27">
        <f t="shared" si="67"/>
        <v>-9.9449689895818219E-2</v>
      </c>
      <c r="H1434" s="10" t="str">
        <f t="shared" si="68"/>
        <v>Under Budget</v>
      </c>
    </row>
    <row r="1435" spans="1:8" x14ac:dyDescent="0.25">
      <c r="A1435" s="14">
        <v>45962</v>
      </c>
      <c r="B1435" s="13" t="s">
        <v>1818</v>
      </c>
      <c r="C1435" s="13" t="s">
        <v>1780</v>
      </c>
      <c r="D1435" s="15">
        <v>3315.88</v>
      </c>
      <c r="E1435" s="15">
        <v>3420.73</v>
      </c>
      <c r="F1435" s="15">
        <f t="shared" si="66"/>
        <v>104.84999999999991</v>
      </c>
      <c r="G1435" s="28">
        <f t="shared" si="67"/>
        <v>3.162056527980503E-2</v>
      </c>
      <c r="H1435" s="13" t="str">
        <f t="shared" si="68"/>
        <v>Within Budget</v>
      </c>
    </row>
    <row r="1436" spans="1:8" x14ac:dyDescent="0.25">
      <c r="A1436" s="11">
        <v>45962</v>
      </c>
      <c r="B1436" s="10" t="s">
        <v>1774</v>
      </c>
      <c r="C1436" s="10" t="s">
        <v>1797</v>
      </c>
      <c r="D1436" s="12">
        <v>5264.82</v>
      </c>
      <c r="E1436" s="12">
        <v>5733.65</v>
      </c>
      <c r="F1436" s="12">
        <f t="shared" si="66"/>
        <v>468.82999999999993</v>
      </c>
      <c r="G1436" s="27">
        <f t="shared" si="67"/>
        <v>8.9049578143222355E-2</v>
      </c>
      <c r="H1436" s="10" t="str">
        <f t="shared" si="68"/>
        <v>Slightly Over</v>
      </c>
    </row>
    <row r="1437" spans="1:8" x14ac:dyDescent="0.25">
      <c r="A1437" s="14">
        <v>45962</v>
      </c>
      <c r="B1437" s="13" t="s">
        <v>1877</v>
      </c>
      <c r="C1437" s="13" t="s">
        <v>1778</v>
      </c>
      <c r="D1437" s="15">
        <v>12872.86</v>
      </c>
      <c r="E1437" s="15">
        <v>12690.01</v>
      </c>
      <c r="F1437" s="15">
        <f t="shared" si="66"/>
        <v>-182.85000000000036</v>
      </c>
      <c r="G1437" s="28">
        <f t="shared" si="67"/>
        <v>-1.4204302695749068E-2</v>
      </c>
      <c r="H1437" s="13" t="str">
        <f t="shared" si="68"/>
        <v>Under Budget</v>
      </c>
    </row>
    <row r="1438" spans="1:8" x14ac:dyDescent="0.25">
      <c r="A1438" s="11">
        <v>45962</v>
      </c>
      <c r="B1438" s="10" t="s">
        <v>1862</v>
      </c>
      <c r="C1438" s="10" t="s">
        <v>1786</v>
      </c>
      <c r="D1438" s="12">
        <v>6870.98</v>
      </c>
      <c r="E1438" s="12">
        <v>7231.62</v>
      </c>
      <c r="F1438" s="12">
        <f t="shared" si="66"/>
        <v>360.64000000000033</v>
      </c>
      <c r="G1438" s="27">
        <f t="shared" si="67"/>
        <v>5.2487418097564006E-2</v>
      </c>
      <c r="H1438" s="10" t="str">
        <f t="shared" si="68"/>
        <v>Slightly Over</v>
      </c>
    </row>
    <row r="1439" spans="1:8" x14ac:dyDescent="0.25">
      <c r="A1439" s="14">
        <v>45962</v>
      </c>
      <c r="B1439" s="13" t="s">
        <v>1799</v>
      </c>
      <c r="C1439" s="13" t="s">
        <v>1783</v>
      </c>
      <c r="D1439" s="15">
        <v>7917.04</v>
      </c>
      <c r="E1439" s="15">
        <v>7429.25</v>
      </c>
      <c r="F1439" s="15">
        <f t="shared" si="66"/>
        <v>-487.78999999999996</v>
      </c>
      <c r="G1439" s="28">
        <f t="shared" si="67"/>
        <v>-6.1612673423400661E-2</v>
      </c>
      <c r="H1439" s="13" t="str">
        <f t="shared" si="68"/>
        <v>Under Budget</v>
      </c>
    </row>
    <row r="1440" spans="1:8" x14ac:dyDescent="0.25">
      <c r="A1440" s="11">
        <v>45962</v>
      </c>
      <c r="B1440" s="10" t="s">
        <v>1792</v>
      </c>
      <c r="C1440" s="10" t="s">
        <v>1789</v>
      </c>
      <c r="D1440" s="12">
        <v>7101.44</v>
      </c>
      <c r="E1440" s="12">
        <v>6798.19</v>
      </c>
      <c r="F1440" s="12">
        <f t="shared" si="66"/>
        <v>-303.25</v>
      </c>
      <c r="G1440" s="27">
        <f t="shared" si="67"/>
        <v>-4.2702606795241529E-2</v>
      </c>
      <c r="H1440" s="10" t="str">
        <f t="shared" si="68"/>
        <v>Under Budget</v>
      </c>
    </row>
    <row r="1441" spans="1:8" x14ac:dyDescent="0.25">
      <c r="A1441" s="14">
        <v>45962</v>
      </c>
      <c r="B1441" s="13" t="s">
        <v>1792</v>
      </c>
      <c r="C1441" s="13" t="s">
        <v>1780</v>
      </c>
      <c r="D1441" s="15">
        <v>7710.98</v>
      </c>
      <c r="E1441" s="15">
        <v>7336.64</v>
      </c>
      <c r="F1441" s="15">
        <f t="shared" si="66"/>
        <v>-374.33999999999924</v>
      </c>
      <c r="G1441" s="28">
        <f t="shared" si="67"/>
        <v>-4.8546358569209004E-2</v>
      </c>
      <c r="H1441" s="13" t="str">
        <f t="shared" si="68"/>
        <v>Under Budget</v>
      </c>
    </row>
    <row r="1442" spans="1:8" x14ac:dyDescent="0.25">
      <c r="A1442" s="11">
        <v>45962</v>
      </c>
      <c r="B1442" s="10" t="s">
        <v>1774</v>
      </c>
      <c r="C1442" s="10" t="s">
        <v>1783</v>
      </c>
      <c r="D1442" s="12">
        <v>14802.39</v>
      </c>
      <c r="E1442" s="12">
        <v>15704.33</v>
      </c>
      <c r="F1442" s="12">
        <f t="shared" si="66"/>
        <v>901.94000000000051</v>
      </c>
      <c r="G1442" s="27">
        <f t="shared" si="67"/>
        <v>6.0932052188869539E-2</v>
      </c>
      <c r="H1442" s="10" t="str">
        <f t="shared" si="68"/>
        <v>Slightly Over</v>
      </c>
    </row>
    <row r="1443" spans="1:8" x14ac:dyDescent="0.25">
      <c r="A1443" s="14">
        <v>45962</v>
      </c>
      <c r="B1443" s="13" t="s">
        <v>1877</v>
      </c>
      <c r="C1443" s="13" t="s">
        <v>1783</v>
      </c>
      <c r="D1443" s="15">
        <v>10316.85</v>
      </c>
      <c r="E1443" s="15">
        <v>9770.68</v>
      </c>
      <c r="F1443" s="15">
        <f t="shared" si="66"/>
        <v>-546.17000000000007</v>
      </c>
      <c r="G1443" s="28">
        <f t="shared" si="67"/>
        <v>-5.2939608504533851E-2</v>
      </c>
      <c r="H1443" s="13" t="str">
        <f t="shared" si="68"/>
        <v>Under Budget</v>
      </c>
    </row>
    <row r="1444" spans="1:8" x14ac:dyDescent="0.25">
      <c r="A1444" s="11">
        <v>45962</v>
      </c>
      <c r="B1444" s="10" t="s">
        <v>1799</v>
      </c>
      <c r="C1444" s="10" t="s">
        <v>1775</v>
      </c>
      <c r="D1444" s="12">
        <v>42701.65</v>
      </c>
      <c r="E1444" s="12">
        <v>44090.83</v>
      </c>
      <c r="F1444" s="12">
        <f t="shared" si="66"/>
        <v>1389.1800000000003</v>
      </c>
      <c r="G1444" s="27">
        <f t="shared" si="67"/>
        <v>3.2532232361044605E-2</v>
      </c>
      <c r="H1444" s="10" t="str">
        <f t="shared" si="68"/>
        <v>Within Budget</v>
      </c>
    </row>
    <row r="1445" spans="1:8" x14ac:dyDescent="0.25">
      <c r="A1445" s="14">
        <v>45962</v>
      </c>
      <c r="B1445" s="13" t="s">
        <v>1792</v>
      </c>
      <c r="C1445" s="13" t="s">
        <v>1795</v>
      </c>
      <c r="D1445" s="15">
        <v>5616.73</v>
      </c>
      <c r="E1445" s="15">
        <v>5016.24</v>
      </c>
      <c r="F1445" s="15">
        <f t="shared" si="66"/>
        <v>-600.48999999999978</v>
      </c>
      <c r="G1445" s="28">
        <f t="shared" si="67"/>
        <v>-0.10691096064792145</v>
      </c>
      <c r="H1445" s="13" t="str">
        <f t="shared" si="68"/>
        <v>Under Budget</v>
      </c>
    </row>
    <row r="1446" spans="1:8" x14ac:dyDescent="0.25">
      <c r="A1446" s="11">
        <v>45962</v>
      </c>
      <c r="B1446" s="10" t="s">
        <v>1799</v>
      </c>
      <c r="C1446" s="10" t="s">
        <v>1797</v>
      </c>
      <c r="D1446" s="12">
        <v>2714.84</v>
      </c>
      <c r="E1446" s="12">
        <v>2558.7800000000002</v>
      </c>
      <c r="F1446" s="12">
        <f t="shared" si="66"/>
        <v>-156.05999999999995</v>
      </c>
      <c r="G1446" s="27">
        <f t="shared" si="67"/>
        <v>-5.74840506254512E-2</v>
      </c>
      <c r="H1446" s="10" t="str">
        <f t="shared" si="68"/>
        <v>Under Budget</v>
      </c>
    </row>
    <row r="1447" spans="1:8" x14ac:dyDescent="0.25">
      <c r="A1447" s="14">
        <v>45962</v>
      </c>
      <c r="B1447" s="13" t="s">
        <v>1774</v>
      </c>
      <c r="C1447" s="13" t="s">
        <v>1786</v>
      </c>
      <c r="D1447" s="15">
        <v>17420.91</v>
      </c>
      <c r="E1447" s="15">
        <v>16915.3</v>
      </c>
      <c r="F1447" s="15">
        <f t="shared" si="66"/>
        <v>-505.61000000000058</v>
      </c>
      <c r="G1447" s="28">
        <f t="shared" si="67"/>
        <v>-2.9023168135304103E-2</v>
      </c>
      <c r="H1447" s="13" t="str">
        <f t="shared" si="68"/>
        <v>Under Budget</v>
      </c>
    </row>
    <row r="1448" spans="1:8" x14ac:dyDescent="0.25">
      <c r="A1448" s="11">
        <v>45962</v>
      </c>
      <c r="B1448" s="10" t="s">
        <v>1862</v>
      </c>
      <c r="C1448" s="10" t="s">
        <v>1780</v>
      </c>
      <c r="D1448" s="12">
        <v>4613.2299999999996</v>
      </c>
      <c r="E1448" s="12">
        <v>4229.3500000000004</v>
      </c>
      <c r="F1448" s="12">
        <f t="shared" si="66"/>
        <v>-383.8799999999992</v>
      </c>
      <c r="G1448" s="27">
        <f t="shared" si="67"/>
        <v>-8.3212846530521828E-2</v>
      </c>
      <c r="H1448" s="10" t="str">
        <f t="shared" si="68"/>
        <v>Under Budget</v>
      </c>
    </row>
    <row r="1449" spans="1:8" x14ac:dyDescent="0.25">
      <c r="A1449" s="14">
        <v>45962</v>
      </c>
      <c r="B1449" s="13" t="s">
        <v>1792</v>
      </c>
      <c r="C1449" s="13" t="s">
        <v>1786</v>
      </c>
      <c r="D1449" s="15">
        <v>14373.49</v>
      </c>
      <c r="E1449" s="15">
        <v>13959.61</v>
      </c>
      <c r="F1449" s="15">
        <f t="shared" si="66"/>
        <v>-413.8799999999992</v>
      </c>
      <c r="G1449" s="28">
        <f t="shared" si="67"/>
        <v>-2.8794676866926487E-2</v>
      </c>
      <c r="H1449" s="13" t="str">
        <f t="shared" si="68"/>
        <v>Under Budget</v>
      </c>
    </row>
    <row r="1450" spans="1:8" x14ac:dyDescent="0.25">
      <c r="A1450" s="11">
        <v>45962</v>
      </c>
      <c r="B1450" s="10" t="s">
        <v>1792</v>
      </c>
      <c r="C1450" s="10" t="s">
        <v>1797</v>
      </c>
      <c r="D1450" s="12">
        <v>4715.1099999999997</v>
      </c>
      <c r="E1450" s="12">
        <v>4615.3900000000003</v>
      </c>
      <c r="F1450" s="12">
        <f t="shared" si="66"/>
        <v>-99.719999999999345</v>
      </c>
      <c r="G1450" s="27">
        <f t="shared" si="67"/>
        <v>-2.1149029396981055E-2</v>
      </c>
      <c r="H1450" s="10" t="str">
        <f t="shared" si="68"/>
        <v>Under Budget</v>
      </c>
    </row>
    <row r="1451" spans="1:8" x14ac:dyDescent="0.25">
      <c r="A1451" s="14">
        <v>45992</v>
      </c>
      <c r="B1451" s="13" t="s">
        <v>1818</v>
      </c>
      <c r="C1451" s="13" t="s">
        <v>1797</v>
      </c>
      <c r="D1451" s="15">
        <v>1724.44</v>
      </c>
      <c r="E1451" s="15">
        <v>1810.99</v>
      </c>
      <c r="F1451" s="15">
        <f t="shared" si="66"/>
        <v>86.549999999999955</v>
      </c>
      <c r="G1451" s="28">
        <f t="shared" si="67"/>
        <v>5.0190206675790376E-2</v>
      </c>
      <c r="H1451" s="13" t="str">
        <f t="shared" si="68"/>
        <v>Slightly Over</v>
      </c>
    </row>
    <row r="1452" spans="1:8" x14ac:dyDescent="0.25">
      <c r="A1452" s="11">
        <v>45992</v>
      </c>
      <c r="B1452" s="10" t="s">
        <v>1818</v>
      </c>
      <c r="C1452" s="10" t="s">
        <v>1775</v>
      </c>
      <c r="D1452" s="12">
        <v>39115.31</v>
      </c>
      <c r="E1452" s="12">
        <v>37281.629999999997</v>
      </c>
      <c r="F1452" s="12">
        <f t="shared" si="66"/>
        <v>-1833.6800000000003</v>
      </c>
      <c r="G1452" s="27">
        <f t="shared" si="67"/>
        <v>-4.6878830820975222E-2</v>
      </c>
      <c r="H1452" s="10" t="str">
        <f t="shared" si="68"/>
        <v>Under Budget</v>
      </c>
    </row>
    <row r="1453" spans="1:8" x14ac:dyDescent="0.25">
      <c r="A1453" s="14">
        <v>45992</v>
      </c>
      <c r="B1453" s="13" t="s">
        <v>1774</v>
      </c>
      <c r="C1453" s="13" t="s">
        <v>1795</v>
      </c>
      <c r="D1453" s="15">
        <v>5967.6</v>
      </c>
      <c r="E1453" s="15">
        <v>6074.38</v>
      </c>
      <c r="F1453" s="15">
        <f t="shared" si="66"/>
        <v>106.77999999999975</v>
      </c>
      <c r="G1453" s="28">
        <f t="shared" si="67"/>
        <v>1.7893290435015707E-2</v>
      </c>
      <c r="H1453" s="13" t="str">
        <f t="shared" si="68"/>
        <v>Within Budget</v>
      </c>
    </row>
    <row r="1454" spans="1:8" x14ac:dyDescent="0.25">
      <c r="A1454" s="11">
        <v>45992</v>
      </c>
      <c r="B1454" s="10" t="s">
        <v>1786</v>
      </c>
      <c r="C1454" s="10" t="s">
        <v>1775</v>
      </c>
      <c r="D1454" s="12">
        <v>54080.39</v>
      </c>
      <c r="E1454" s="12">
        <v>59463.1</v>
      </c>
      <c r="F1454" s="12">
        <f t="shared" si="66"/>
        <v>5382.7099999999991</v>
      </c>
      <c r="G1454" s="27">
        <f t="shared" si="67"/>
        <v>9.9531641691193412E-2</v>
      </c>
      <c r="H1454" s="10" t="str">
        <f t="shared" si="68"/>
        <v>Slightly Over</v>
      </c>
    </row>
    <row r="1455" spans="1:8" x14ac:dyDescent="0.25">
      <c r="A1455" s="14">
        <v>45992</v>
      </c>
      <c r="B1455" s="13" t="s">
        <v>1877</v>
      </c>
      <c r="C1455" s="13" t="s">
        <v>1778</v>
      </c>
      <c r="D1455" s="15">
        <v>12011.09</v>
      </c>
      <c r="E1455" s="15">
        <v>11126.18</v>
      </c>
      <c r="F1455" s="15">
        <f t="shared" si="66"/>
        <v>-884.90999999999985</v>
      </c>
      <c r="G1455" s="28">
        <f t="shared" si="67"/>
        <v>-7.3674412563722341E-2</v>
      </c>
      <c r="H1455" s="13" t="str">
        <f t="shared" si="68"/>
        <v>Under Budget</v>
      </c>
    </row>
    <row r="1456" spans="1:8" x14ac:dyDescent="0.25">
      <c r="A1456" s="11">
        <v>45992</v>
      </c>
      <c r="B1456" s="10" t="s">
        <v>1818</v>
      </c>
      <c r="C1456" s="10" t="s">
        <v>1778</v>
      </c>
      <c r="D1456" s="12">
        <v>5666.48</v>
      </c>
      <c r="E1456" s="12">
        <v>6217.25</v>
      </c>
      <c r="F1456" s="12">
        <f t="shared" si="66"/>
        <v>550.77000000000044</v>
      </c>
      <c r="G1456" s="27">
        <f t="shared" si="67"/>
        <v>9.7197907695783001E-2</v>
      </c>
      <c r="H1456" s="10" t="str">
        <f t="shared" si="68"/>
        <v>Slightly Over</v>
      </c>
    </row>
    <row r="1457" spans="1:8" x14ac:dyDescent="0.25">
      <c r="A1457" s="14">
        <v>45992</v>
      </c>
      <c r="B1457" s="13" t="s">
        <v>1799</v>
      </c>
      <c r="C1457" s="13" t="s">
        <v>1789</v>
      </c>
      <c r="D1457" s="15">
        <v>4637.49</v>
      </c>
      <c r="E1457" s="15">
        <v>4425.4799999999996</v>
      </c>
      <c r="F1457" s="15">
        <f t="shared" si="66"/>
        <v>-212.01000000000022</v>
      </c>
      <c r="G1457" s="28">
        <f t="shared" si="67"/>
        <v>-4.571654062865909E-2</v>
      </c>
      <c r="H1457" s="13" t="str">
        <f t="shared" si="68"/>
        <v>Under Budget</v>
      </c>
    </row>
    <row r="1458" spans="1:8" x14ac:dyDescent="0.25">
      <c r="A1458" s="11">
        <v>45992</v>
      </c>
      <c r="B1458" s="10" t="s">
        <v>1774</v>
      </c>
      <c r="C1458" s="10" t="s">
        <v>1789</v>
      </c>
      <c r="D1458" s="12">
        <v>9351.5</v>
      </c>
      <c r="E1458" s="12">
        <v>10007.18</v>
      </c>
      <c r="F1458" s="12">
        <f t="shared" si="66"/>
        <v>655.68000000000029</v>
      </c>
      <c r="G1458" s="27">
        <f t="shared" si="67"/>
        <v>7.011495482008237E-2</v>
      </c>
      <c r="H1458" s="10" t="str">
        <f t="shared" si="68"/>
        <v>Slightly Over</v>
      </c>
    </row>
    <row r="1459" spans="1:8" x14ac:dyDescent="0.25">
      <c r="A1459" s="14">
        <v>45992</v>
      </c>
      <c r="B1459" s="13" t="s">
        <v>1774</v>
      </c>
      <c r="C1459" s="13" t="s">
        <v>1792</v>
      </c>
      <c r="D1459" s="15">
        <v>17688.87</v>
      </c>
      <c r="E1459" s="15">
        <v>17774.810000000001</v>
      </c>
      <c r="F1459" s="15">
        <f t="shared" si="66"/>
        <v>85.940000000002328</v>
      </c>
      <c r="G1459" s="28">
        <f t="shared" si="67"/>
        <v>4.8584222734410019E-3</v>
      </c>
      <c r="H1459" s="13" t="str">
        <f t="shared" si="68"/>
        <v>Within Budget</v>
      </c>
    </row>
    <row r="1460" spans="1:8" x14ac:dyDescent="0.25">
      <c r="A1460" s="11">
        <v>45992</v>
      </c>
      <c r="B1460" s="10" t="s">
        <v>1786</v>
      </c>
      <c r="C1460" s="10" t="s">
        <v>1780</v>
      </c>
      <c r="D1460" s="12">
        <v>6291.33</v>
      </c>
      <c r="E1460" s="12">
        <v>5777.16</v>
      </c>
      <c r="F1460" s="12">
        <f t="shared" si="66"/>
        <v>-514.17000000000007</v>
      </c>
      <c r="G1460" s="27">
        <f t="shared" si="67"/>
        <v>-8.1726757299331002E-2</v>
      </c>
      <c r="H1460" s="10" t="str">
        <f t="shared" si="68"/>
        <v>Under Budget</v>
      </c>
    </row>
    <row r="1461" spans="1:8" x14ac:dyDescent="0.25">
      <c r="A1461" s="14">
        <v>45992</v>
      </c>
      <c r="B1461" s="13" t="s">
        <v>1862</v>
      </c>
      <c r="C1461" s="13" t="s">
        <v>1786</v>
      </c>
      <c r="D1461" s="15">
        <v>4988.34</v>
      </c>
      <c r="E1461" s="15">
        <v>5417.56</v>
      </c>
      <c r="F1461" s="15">
        <f t="shared" si="66"/>
        <v>429.22000000000025</v>
      </c>
      <c r="G1461" s="28">
        <f t="shared" si="67"/>
        <v>8.6044656138114128E-2</v>
      </c>
      <c r="H1461" s="13" t="str">
        <f t="shared" si="68"/>
        <v>Slightly Over</v>
      </c>
    </row>
    <row r="1462" spans="1:8" x14ac:dyDescent="0.25">
      <c r="A1462" s="11">
        <v>45992</v>
      </c>
      <c r="B1462" s="10" t="s">
        <v>1862</v>
      </c>
      <c r="C1462" s="10" t="s">
        <v>1775</v>
      </c>
      <c r="D1462" s="12">
        <v>42366.91</v>
      </c>
      <c r="E1462" s="12">
        <v>40473.82</v>
      </c>
      <c r="F1462" s="12">
        <f t="shared" si="66"/>
        <v>-1893.0900000000038</v>
      </c>
      <c r="G1462" s="27">
        <f t="shared" si="67"/>
        <v>-4.4683220938227582E-2</v>
      </c>
      <c r="H1462" s="10" t="str">
        <f t="shared" si="68"/>
        <v>Under Budget</v>
      </c>
    </row>
    <row r="1463" spans="1:8" x14ac:dyDescent="0.25">
      <c r="A1463" s="14">
        <v>45992</v>
      </c>
      <c r="B1463" s="13" t="s">
        <v>1786</v>
      </c>
      <c r="C1463" s="13" t="s">
        <v>1783</v>
      </c>
      <c r="D1463" s="15">
        <v>9945.4</v>
      </c>
      <c r="E1463" s="15">
        <v>9611.16</v>
      </c>
      <c r="F1463" s="15">
        <f t="shared" si="66"/>
        <v>-334.23999999999978</v>
      </c>
      <c r="G1463" s="28">
        <f t="shared" si="67"/>
        <v>-3.3607496933255557E-2</v>
      </c>
      <c r="H1463" s="13" t="str">
        <f t="shared" si="68"/>
        <v>Under Budget</v>
      </c>
    </row>
    <row r="1464" spans="1:8" x14ac:dyDescent="0.25">
      <c r="A1464" s="11">
        <v>45992</v>
      </c>
      <c r="B1464" s="10" t="s">
        <v>1877</v>
      </c>
      <c r="C1464" s="10" t="s">
        <v>1797</v>
      </c>
      <c r="D1464" s="12">
        <v>4367.6899999999996</v>
      </c>
      <c r="E1464" s="12">
        <v>4003.91</v>
      </c>
      <c r="F1464" s="12">
        <f t="shared" si="66"/>
        <v>-363.77999999999975</v>
      </c>
      <c r="G1464" s="27">
        <f t="shared" si="67"/>
        <v>-8.328887810261254E-2</v>
      </c>
      <c r="H1464" s="10" t="str">
        <f t="shared" si="68"/>
        <v>Under Budget</v>
      </c>
    </row>
    <row r="1465" spans="1:8" x14ac:dyDescent="0.25">
      <c r="A1465" s="14">
        <v>45992</v>
      </c>
      <c r="B1465" s="13" t="s">
        <v>1877</v>
      </c>
      <c r="C1465" s="13" t="s">
        <v>1775</v>
      </c>
      <c r="D1465" s="15">
        <v>63858.42</v>
      </c>
      <c r="E1465" s="15">
        <v>68079.22</v>
      </c>
      <c r="F1465" s="15">
        <f t="shared" si="66"/>
        <v>4220.8000000000029</v>
      </c>
      <c r="G1465" s="28">
        <f t="shared" si="67"/>
        <v>6.609621722554368E-2</v>
      </c>
      <c r="H1465" s="13" t="str">
        <f t="shared" si="68"/>
        <v>Slightly Over</v>
      </c>
    </row>
    <row r="1466" spans="1:8" x14ac:dyDescent="0.25">
      <c r="A1466" s="11">
        <v>45992</v>
      </c>
      <c r="B1466" s="10" t="s">
        <v>1862</v>
      </c>
      <c r="C1466" s="10" t="s">
        <v>1778</v>
      </c>
      <c r="D1466" s="12">
        <v>10193.959999999999</v>
      </c>
      <c r="E1466" s="12">
        <v>9474.35</v>
      </c>
      <c r="F1466" s="12">
        <f t="shared" si="66"/>
        <v>-719.60999999999876</v>
      </c>
      <c r="G1466" s="27">
        <f t="shared" si="67"/>
        <v>-7.0591801419664077E-2</v>
      </c>
      <c r="H1466" s="10" t="str">
        <f t="shared" si="68"/>
        <v>Under Budget</v>
      </c>
    </row>
    <row r="1467" spans="1:8" x14ac:dyDescent="0.25">
      <c r="A1467" s="14">
        <v>45992</v>
      </c>
      <c r="B1467" s="13" t="s">
        <v>1818</v>
      </c>
      <c r="C1467" s="13" t="s">
        <v>1786</v>
      </c>
      <c r="D1467" s="15">
        <v>6053.24</v>
      </c>
      <c r="E1467" s="15">
        <v>6059.14</v>
      </c>
      <c r="F1467" s="15">
        <f t="shared" si="66"/>
        <v>5.9000000000005457</v>
      </c>
      <c r="G1467" s="28">
        <f t="shared" si="67"/>
        <v>9.7468463170145999E-4</v>
      </c>
      <c r="H1467" s="13" t="str">
        <f t="shared" si="68"/>
        <v>Within Budget</v>
      </c>
    </row>
    <row r="1468" spans="1:8" x14ac:dyDescent="0.25">
      <c r="A1468" s="11">
        <v>45992</v>
      </c>
      <c r="B1468" s="10" t="s">
        <v>1799</v>
      </c>
      <c r="C1468" s="10" t="s">
        <v>1780</v>
      </c>
      <c r="D1468" s="12">
        <v>4568.13</v>
      </c>
      <c r="E1468" s="12">
        <v>4594.3100000000004</v>
      </c>
      <c r="F1468" s="12">
        <f t="shared" si="66"/>
        <v>26.180000000000291</v>
      </c>
      <c r="G1468" s="27">
        <f t="shared" si="67"/>
        <v>5.7310102821067459E-3</v>
      </c>
      <c r="H1468" s="10" t="str">
        <f t="shared" si="68"/>
        <v>Within Budget</v>
      </c>
    </row>
    <row r="1469" spans="1:8" x14ac:dyDescent="0.25">
      <c r="A1469" s="14">
        <v>45992</v>
      </c>
      <c r="B1469" s="13" t="s">
        <v>1786</v>
      </c>
      <c r="C1469" s="13" t="s">
        <v>1797</v>
      </c>
      <c r="D1469" s="15">
        <v>3794.74</v>
      </c>
      <c r="E1469" s="15">
        <v>3873.79</v>
      </c>
      <c r="F1469" s="15">
        <f t="shared" si="66"/>
        <v>79.050000000000182</v>
      </c>
      <c r="G1469" s="28">
        <f t="shared" si="67"/>
        <v>2.083146671445216E-2</v>
      </c>
      <c r="H1469" s="13" t="str">
        <f t="shared" si="68"/>
        <v>Within Budget</v>
      </c>
    </row>
    <row r="1470" spans="1:8" x14ac:dyDescent="0.25">
      <c r="A1470" s="11">
        <v>45992</v>
      </c>
      <c r="B1470" s="10" t="s">
        <v>1792</v>
      </c>
      <c r="C1470" s="10" t="s">
        <v>1783</v>
      </c>
      <c r="D1470" s="12">
        <v>13439.95</v>
      </c>
      <c r="E1470" s="12">
        <v>13647.03</v>
      </c>
      <c r="F1470" s="12">
        <f t="shared" si="66"/>
        <v>207.07999999999993</v>
      </c>
      <c r="G1470" s="27">
        <f t="shared" si="67"/>
        <v>1.5407795415905558E-2</v>
      </c>
      <c r="H1470" s="10" t="str">
        <f t="shared" si="68"/>
        <v>Within Budget</v>
      </c>
    </row>
    <row r="1471" spans="1:8" x14ac:dyDescent="0.25">
      <c r="A1471" s="14">
        <v>45992</v>
      </c>
      <c r="B1471" s="13" t="s">
        <v>1862</v>
      </c>
      <c r="C1471" s="13" t="s">
        <v>1780</v>
      </c>
      <c r="D1471" s="15">
        <v>4748.8</v>
      </c>
      <c r="E1471" s="15">
        <v>4681.43</v>
      </c>
      <c r="F1471" s="15">
        <f t="shared" si="66"/>
        <v>-67.369999999999891</v>
      </c>
      <c r="G1471" s="28">
        <f t="shared" si="67"/>
        <v>-1.4186741913746607E-2</v>
      </c>
      <c r="H1471" s="13" t="str">
        <f t="shared" si="68"/>
        <v>Under Budget</v>
      </c>
    </row>
    <row r="1472" spans="1:8" x14ac:dyDescent="0.25">
      <c r="A1472" s="11">
        <v>45992</v>
      </c>
      <c r="B1472" s="10" t="s">
        <v>1799</v>
      </c>
      <c r="C1472" s="10" t="s">
        <v>1797</v>
      </c>
      <c r="D1472" s="12">
        <v>2726.23</v>
      </c>
      <c r="E1472" s="12">
        <v>2952.08</v>
      </c>
      <c r="F1472" s="12">
        <f t="shared" si="66"/>
        <v>225.84999999999991</v>
      </c>
      <c r="G1472" s="27">
        <f t="shared" si="67"/>
        <v>8.2843340437160434E-2</v>
      </c>
      <c r="H1472" s="10" t="str">
        <f t="shared" si="68"/>
        <v>Slightly Over</v>
      </c>
    </row>
    <row r="1473" spans="1:8" x14ac:dyDescent="0.25">
      <c r="A1473" s="14">
        <v>45992</v>
      </c>
      <c r="B1473" s="13" t="s">
        <v>1786</v>
      </c>
      <c r="C1473" s="13" t="s">
        <v>1789</v>
      </c>
      <c r="D1473" s="15">
        <v>7367.84</v>
      </c>
      <c r="E1473" s="15">
        <v>7415.94</v>
      </c>
      <c r="F1473" s="15">
        <f t="shared" si="66"/>
        <v>48.099999999999454</v>
      </c>
      <c r="G1473" s="28">
        <f t="shared" si="67"/>
        <v>6.528371951616682E-3</v>
      </c>
      <c r="H1473" s="13" t="str">
        <f t="shared" si="68"/>
        <v>Within Budget</v>
      </c>
    </row>
    <row r="1474" spans="1:8" x14ac:dyDescent="0.25">
      <c r="A1474" s="11">
        <v>45992</v>
      </c>
      <c r="B1474" s="10" t="s">
        <v>1818</v>
      </c>
      <c r="C1474" s="10" t="s">
        <v>1780</v>
      </c>
      <c r="D1474" s="12">
        <v>3534.39</v>
      </c>
      <c r="E1474" s="12">
        <v>3387.26</v>
      </c>
      <c r="F1474" s="12">
        <f t="shared" ref="F1474:F1537" si="69">E1474-D1474</f>
        <v>-147.12999999999965</v>
      </c>
      <c r="G1474" s="27">
        <f t="shared" ref="G1474:G1537" si="70">IFERROR(F1474/D1474,0)</f>
        <v>-4.1628116874481778E-2</v>
      </c>
      <c r="H1474" s="10" t="str">
        <f t="shared" ref="H1474:H1537" si="71">IF(G1474&lt;=0,"Under Budget",IF(G1474&lt;=5%,"Within Budget",IF(G1474&lt;=15%,"Slightly Over","Significantly Over")))</f>
        <v>Under Budget</v>
      </c>
    </row>
    <row r="1475" spans="1:8" x14ac:dyDescent="0.25">
      <c r="A1475" s="14">
        <v>45992</v>
      </c>
      <c r="B1475" s="13" t="s">
        <v>1799</v>
      </c>
      <c r="C1475" s="13" t="s">
        <v>1778</v>
      </c>
      <c r="D1475" s="15">
        <v>9742.85</v>
      </c>
      <c r="E1475" s="15">
        <v>9650.19</v>
      </c>
      <c r="F1475" s="15">
        <f t="shared" si="69"/>
        <v>-92.659999999999854</v>
      </c>
      <c r="G1475" s="28">
        <f t="shared" si="70"/>
        <v>-9.5105641573050848E-3</v>
      </c>
      <c r="H1475" s="13" t="str">
        <f t="shared" si="71"/>
        <v>Under Budget</v>
      </c>
    </row>
    <row r="1476" spans="1:8" x14ac:dyDescent="0.25">
      <c r="A1476" s="11">
        <v>45992</v>
      </c>
      <c r="B1476" s="10" t="s">
        <v>1786</v>
      </c>
      <c r="C1476" s="10" t="s">
        <v>1778</v>
      </c>
      <c r="D1476" s="12">
        <v>12517.96</v>
      </c>
      <c r="E1476" s="12">
        <v>13367</v>
      </c>
      <c r="F1476" s="12">
        <f t="shared" si="69"/>
        <v>849.04000000000087</v>
      </c>
      <c r="G1476" s="27">
        <f t="shared" si="70"/>
        <v>6.7825747965323493E-2</v>
      </c>
      <c r="H1476" s="10" t="str">
        <f t="shared" si="71"/>
        <v>Slightly Over</v>
      </c>
    </row>
    <row r="1477" spans="1:8" x14ac:dyDescent="0.25">
      <c r="A1477" s="14">
        <v>45992</v>
      </c>
      <c r="B1477" s="13" t="s">
        <v>1792</v>
      </c>
      <c r="C1477" s="13" t="s">
        <v>1780</v>
      </c>
      <c r="D1477" s="15">
        <v>9624.2900000000009</v>
      </c>
      <c r="E1477" s="15">
        <v>9821.99</v>
      </c>
      <c r="F1477" s="15">
        <f t="shared" si="69"/>
        <v>197.69999999999891</v>
      </c>
      <c r="G1477" s="28">
        <f t="shared" si="70"/>
        <v>2.0541775029638436E-2</v>
      </c>
      <c r="H1477" s="13" t="str">
        <f t="shared" si="71"/>
        <v>Within Budget</v>
      </c>
    </row>
    <row r="1478" spans="1:8" x14ac:dyDescent="0.25">
      <c r="A1478" s="11">
        <v>45992</v>
      </c>
      <c r="B1478" s="10" t="s">
        <v>1774</v>
      </c>
      <c r="C1478" s="10" t="s">
        <v>1797</v>
      </c>
      <c r="D1478" s="12">
        <v>6963.29</v>
      </c>
      <c r="E1478" s="12">
        <v>6981.08</v>
      </c>
      <c r="F1478" s="12">
        <f t="shared" si="69"/>
        <v>17.789999999999964</v>
      </c>
      <c r="G1478" s="27">
        <f t="shared" si="70"/>
        <v>2.5548268131874393E-3</v>
      </c>
      <c r="H1478" s="10" t="str">
        <f t="shared" si="71"/>
        <v>Within Budget</v>
      </c>
    </row>
    <row r="1479" spans="1:8" x14ac:dyDescent="0.25">
      <c r="A1479" s="14">
        <v>45992</v>
      </c>
      <c r="B1479" s="13" t="s">
        <v>1877</v>
      </c>
      <c r="C1479" s="13" t="s">
        <v>1789</v>
      </c>
      <c r="D1479" s="15">
        <v>6803.23</v>
      </c>
      <c r="E1479" s="15">
        <v>6496.89</v>
      </c>
      <c r="F1479" s="15">
        <f t="shared" si="69"/>
        <v>-306.33999999999924</v>
      </c>
      <c r="G1479" s="28">
        <f t="shared" si="70"/>
        <v>-4.5028611409580338E-2</v>
      </c>
      <c r="H1479" s="13" t="str">
        <f t="shared" si="71"/>
        <v>Under Budget</v>
      </c>
    </row>
    <row r="1480" spans="1:8" x14ac:dyDescent="0.25">
      <c r="A1480" s="11">
        <v>45992</v>
      </c>
      <c r="B1480" s="10" t="s">
        <v>1786</v>
      </c>
      <c r="C1480" s="10" t="s">
        <v>1795</v>
      </c>
      <c r="D1480" s="12">
        <v>5044.13</v>
      </c>
      <c r="E1480" s="12">
        <v>4593.22</v>
      </c>
      <c r="F1480" s="12">
        <f t="shared" si="69"/>
        <v>-450.90999999999985</v>
      </c>
      <c r="G1480" s="27">
        <f t="shared" si="70"/>
        <v>-8.9393017229928623E-2</v>
      </c>
      <c r="H1480" s="10" t="str">
        <f t="shared" si="71"/>
        <v>Under Budget</v>
      </c>
    </row>
    <row r="1481" spans="1:8" x14ac:dyDescent="0.25">
      <c r="A1481" s="14">
        <v>45992</v>
      </c>
      <c r="B1481" s="13" t="s">
        <v>1774</v>
      </c>
      <c r="C1481" s="13" t="s">
        <v>1775</v>
      </c>
      <c r="D1481" s="15">
        <v>115953.87</v>
      </c>
      <c r="E1481" s="15">
        <v>113559.73</v>
      </c>
      <c r="F1481" s="15">
        <f t="shared" si="69"/>
        <v>-2394.1399999999994</v>
      </c>
      <c r="G1481" s="28">
        <f t="shared" si="70"/>
        <v>-2.0647348812075004E-2</v>
      </c>
      <c r="H1481" s="13" t="str">
        <f t="shared" si="71"/>
        <v>Under Budget</v>
      </c>
    </row>
    <row r="1482" spans="1:8" x14ac:dyDescent="0.25">
      <c r="A1482" s="11">
        <v>45992</v>
      </c>
      <c r="B1482" s="10" t="s">
        <v>1862</v>
      </c>
      <c r="C1482" s="10" t="s">
        <v>1783</v>
      </c>
      <c r="D1482" s="12">
        <v>7099.89</v>
      </c>
      <c r="E1482" s="12">
        <v>6769.53</v>
      </c>
      <c r="F1482" s="12">
        <f t="shared" si="69"/>
        <v>-330.36000000000058</v>
      </c>
      <c r="G1482" s="27">
        <f t="shared" si="70"/>
        <v>-4.6530298356735181E-2</v>
      </c>
      <c r="H1482" s="10" t="str">
        <f t="shared" si="71"/>
        <v>Under Budget</v>
      </c>
    </row>
    <row r="1483" spans="1:8" x14ac:dyDescent="0.25">
      <c r="A1483" s="14">
        <v>45992</v>
      </c>
      <c r="B1483" s="13" t="s">
        <v>1818</v>
      </c>
      <c r="C1483" s="13" t="s">
        <v>1789</v>
      </c>
      <c r="D1483" s="15">
        <v>2746.17</v>
      </c>
      <c r="E1483" s="15">
        <v>2994.79</v>
      </c>
      <c r="F1483" s="15">
        <f t="shared" si="69"/>
        <v>248.61999999999989</v>
      </c>
      <c r="G1483" s="28">
        <f t="shared" si="70"/>
        <v>9.0533361008240526E-2</v>
      </c>
      <c r="H1483" s="13" t="str">
        <f t="shared" si="71"/>
        <v>Slightly Over</v>
      </c>
    </row>
    <row r="1484" spans="1:8" x14ac:dyDescent="0.25">
      <c r="A1484" s="11">
        <v>45992</v>
      </c>
      <c r="B1484" s="10" t="s">
        <v>1792</v>
      </c>
      <c r="C1484" s="10" t="s">
        <v>1778</v>
      </c>
      <c r="D1484" s="12">
        <v>20513.98</v>
      </c>
      <c r="E1484" s="12">
        <v>18481.349999999999</v>
      </c>
      <c r="F1484" s="12">
        <f t="shared" si="69"/>
        <v>-2032.630000000001</v>
      </c>
      <c r="G1484" s="27">
        <f t="shared" si="70"/>
        <v>-9.9085111714060412E-2</v>
      </c>
      <c r="H1484" s="10" t="str">
        <f t="shared" si="71"/>
        <v>Under Budget</v>
      </c>
    </row>
    <row r="1485" spans="1:8" x14ac:dyDescent="0.25">
      <c r="A1485" s="14">
        <v>45992</v>
      </c>
      <c r="B1485" s="13" t="s">
        <v>1877</v>
      </c>
      <c r="C1485" s="13" t="s">
        <v>1780</v>
      </c>
      <c r="D1485" s="15">
        <v>6953.82</v>
      </c>
      <c r="E1485" s="15">
        <v>7173.72</v>
      </c>
      <c r="F1485" s="15">
        <f t="shared" si="69"/>
        <v>219.90000000000055</v>
      </c>
      <c r="G1485" s="28">
        <f t="shared" si="70"/>
        <v>3.1622906546330008E-2</v>
      </c>
      <c r="H1485" s="13" t="str">
        <f t="shared" si="71"/>
        <v>Within Budget</v>
      </c>
    </row>
    <row r="1486" spans="1:8" x14ac:dyDescent="0.25">
      <c r="A1486" s="11">
        <v>45992</v>
      </c>
      <c r="B1486" s="10" t="s">
        <v>1818</v>
      </c>
      <c r="C1486" s="10" t="s">
        <v>1783</v>
      </c>
      <c r="D1486" s="12">
        <v>5617.52</v>
      </c>
      <c r="E1486" s="12">
        <v>5744.21</v>
      </c>
      <c r="F1486" s="12">
        <f t="shared" si="69"/>
        <v>126.6899999999996</v>
      </c>
      <c r="G1486" s="27">
        <f t="shared" si="70"/>
        <v>2.2552656688360626E-2</v>
      </c>
      <c r="H1486" s="10" t="str">
        <f t="shared" si="71"/>
        <v>Within Budget</v>
      </c>
    </row>
    <row r="1487" spans="1:8" x14ac:dyDescent="0.25">
      <c r="A1487" s="14">
        <v>45992</v>
      </c>
      <c r="B1487" s="13" t="s">
        <v>1799</v>
      </c>
      <c r="C1487" s="13" t="s">
        <v>1786</v>
      </c>
      <c r="D1487" s="15">
        <v>6356.3</v>
      </c>
      <c r="E1487" s="15">
        <v>6697.71</v>
      </c>
      <c r="F1487" s="15">
        <f t="shared" si="69"/>
        <v>341.40999999999985</v>
      </c>
      <c r="G1487" s="28">
        <f t="shared" si="70"/>
        <v>5.3712065195160683E-2</v>
      </c>
      <c r="H1487" s="13" t="str">
        <f t="shared" si="71"/>
        <v>Slightly Over</v>
      </c>
    </row>
    <row r="1488" spans="1:8" x14ac:dyDescent="0.25">
      <c r="A1488" s="11">
        <v>45992</v>
      </c>
      <c r="B1488" s="10" t="s">
        <v>1799</v>
      </c>
      <c r="C1488" s="10" t="s">
        <v>1795</v>
      </c>
      <c r="D1488" s="12">
        <v>2377.5500000000002</v>
      </c>
      <c r="E1488" s="12">
        <v>2588.16</v>
      </c>
      <c r="F1488" s="12">
        <f t="shared" si="69"/>
        <v>210.60999999999967</v>
      </c>
      <c r="G1488" s="27">
        <f t="shared" si="70"/>
        <v>8.8582784799478315E-2</v>
      </c>
      <c r="H1488" s="10" t="str">
        <f t="shared" si="71"/>
        <v>Slightly Over</v>
      </c>
    </row>
    <row r="1489" spans="1:8" x14ac:dyDescent="0.25">
      <c r="A1489" s="14">
        <v>45992</v>
      </c>
      <c r="B1489" s="13" t="s">
        <v>1786</v>
      </c>
      <c r="C1489" s="13" t="s">
        <v>1792</v>
      </c>
      <c r="D1489" s="15">
        <v>10659.89</v>
      </c>
      <c r="E1489" s="15">
        <v>9927.16</v>
      </c>
      <c r="F1489" s="15">
        <f t="shared" si="69"/>
        <v>-732.72999999999956</v>
      </c>
      <c r="G1489" s="28">
        <f t="shared" si="70"/>
        <v>-6.8737107043318424E-2</v>
      </c>
      <c r="H1489" s="13" t="str">
        <f t="shared" si="71"/>
        <v>Under Budget</v>
      </c>
    </row>
    <row r="1490" spans="1:8" x14ac:dyDescent="0.25">
      <c r="A1490" s="11">
        <v>45992</v>
      </c>
      <c r="B1490" s="10" t="s">
        <v>1792</v>
      </c>
      <c r="C1490" s="10" t="s">
        <v>1789</v>
      </c>
      <c r="D1490" s="12">
        <v>8813.5300000000007</v>
      </c>
      <c r="E1490" s="12">
        <v>9249.09</v>
      </c>
      <c r="F1490" s="12">
        <f t="shared" si="69"/>
        <v>435.55999999999949</v>
      </c>
      <c r="G1490" s="27">
        <f t="shared" si="70"/>
        <v>4.9419472107089836E-2</v>
      </c>
      <c r="H1490" s="10" t="str">
        <f t="shared" si="71"/>
        <v>Within Budget</v>
      </c>
    </row>
    <row r="1491" spans="1:8" x14ac:dyDescent="0.25">
      <c r="A1491" s="14">
        <v>45992</v>
      </c>
      <c r="B1491" s="13" t="s">
        <v>1792</v>
      </c>
      <c r="C1491" s="13" t="s">
        <v>1797</v>
      </c>
      <c r="D1491" s="15">
        <v>4372.3</v>
      </c>
      <c r="E1491" s="15">
        <v>4544.1099999999997</v>
      </c>
      <c r="F1491" s="15">
        <f t="shared" si="69"/>
        <v>171.80999999999949</v>
      </c>
      <c r="G1491" s="28">
        <f t="shared" si="70"/>
        <v>3.929510783797989E-2</v>
      </c>
      <c r="H1491" s="13" t="str">
        <f t="shared" si="71"/>
        <v>Within Budget</v>
      </c>
    </row>
    <row r="1492" spans="1:8" x14ac:dyDescent="0.25">
      <c r="A1492" s="11">
        <v>45992</v>
      </c>
      <c r="B1492" s="10" t="s">
        <v>1786</v>
      </c>
      <c r="C1492" s="10" t="s">
        <v>1786</v>
      </c>
      <c r="D1492" s="12">
        <v>8941.51</v>
      </c>
      <c r="E1492" s="12">
        <v>9512.2900000000009</v>
      </c>
      <c r="F1492" s="12">
        <f t="shared" si="69"/>
        <v>570.78000000000065</v>
      </c>
      <c r="G1492" s="27">
        <f t="shared" si="70"/>
        <v>6.383485563400372E-2</v>
      </c>
      <c r="H1492" s="10" t="str">
        <f t="shared" si="71"/>
        <v>Slightly Over</v>
      </c>
    </row>
    <row r="1493" spans="1:8" x14ac:dyDescent="0.25">
      <c r="A1493" s="14">
        <v>45992</v>
      </c>
      <c r="B1493" s="13" t="s">
        <v>1862</v>
      </c>
      <c r="C1493" s="13" t="s">
        <v>1789</v>
      </c>
      <c r="D1493" s="15">
        <v>3706.22</v>
      </c>
      <c r="E1493" s="15">
        <v>3325.53</v>
      </c>
      <c r="F1493" s="15">
        <f t="shared" si="69"/>
        <v>-380.6899999999996</v>
      </c>
      <c r="G1493" s="28">
        <f t="shared" si="70"/>
        <v>-0.10271651440011646</v>
      </c>
      <c r="H1493" s="13" t="str">
        <f t="shared" si="71"/>
        <v>Under Budget</v>
      </c>
    </row>
    <row r="1494" spans="1:8" x14ac:dyDescent="0.25">
      <c r="A1494" s="11">
        <v>45992</v>
      </c>
      <c r="B1494" s="10" t="s">
        <v>1818</v>
      </c>
      <c r="C1494" s="10" t="s">
        <v>1795</v>
      </c>
      <c r="D1494" s="12">
        <v>2081.34</v>
      </c>
      <c r="E1494" s="12">
        <v>1941.86</v>
      </c>
      <c r="F1494" s="12">
        <f t="shared" si="69"/>
        <v>-139.48000000000025</v>
      </c>
      <c r="G1494" s="27">
        <f t="shared" si="70"/>
        <v>-6.7014519492250305E-2</v>
      </c>
      <c r="H1494" s="10" t="str">
        <f t="shared" si="71"/>
        <v>Under Budget</v>
      </c>
    </row>
    <row r="1495" spans="1:8" x14ac:dyDescent="0.25">
      <c r="A1495" s="14">
        <v>45992</v>
      </c>
      <c r="B1495" s="13" t="s">
        <v>1877</v>
      </c>
      <c r="C1495" s="13" t="s">
        <v>1792</v>
      </c>
      <c r="D1495" s="15">
        <v>11193.03</v>
      </c>
      <c r="E1495" s="15">
        <v>10133.31</v>
      </c>
      <c r="F1495" s="15">
        <f t="shared" si="69"/>
        <v>-1059.7200000000012</v>
      </c>
      <c r="G1495" s="28">
        <f t="shared" si="70"/>
        <v>-9.4676776529679735E-2</v>
      </c>
      <c r="H1495" s="13" t="str">
        <f t="shared" si="71"/>
        <v>Under Budget</v>
      </c>
    </row>
    <row r="1496" spans="1:8" x14ac:dyDescent="0.25">
      <c r="A1496" s="11">
        <v>45992</v>
      </c>
      <c r="B1496" s="10" t="s">
        <v>1862</v>
      </c>
      <c r="C1496" s="10" t="s">
        <v>1795</v>
      </c>
      <c r="D1496" s="12">
        <v>2323.9899999999998</v>
      </c>
      <c r="E1496" s="12">
        <v>2132.92</v>
      </c>
      <c r="F1496" s="12">
        <f t="shared" si="69"/>
        <v>-191.06999999999971</v>
      </c>
      <c r="G1496" s="27">
        <f t="shared" si="70"/>
        <v>-8.221636065559651E-2</v>
      </c>
      <c r="H1496" s="10" t="str">
        <f t="shared" si="71"/>
        <v>Under Budget</v>
      </c>
    </row>
    <row r="1497" spans="1:8" x14ac:dyDescent="0.25">
      <c r="A1497" s="14">
        <v>45992</v>
      </c>
      <c r="B1497" s="13" t="s">
        <v>1877</v>
      </c>
      <c r="C1497" s="13" t="s">
        <v>1786</v>
      </c>
      <c r="D1497" s="15">
        <v>9811.76</v>
      </c>
      <c r="E1497" s="15">
        <v>8924.77</v>
      </c>
      <c r="F1497" s="15">
        <f t="shared" si="69"/>
        <v>-886.98999999999978</v>
      </c>
      <c r="G1497" s="28">
        <f t="shared" si="70"/>
        <v>-9.0400702830073273E-2</v>
      </c>
      <c r="H1497" s="13" t="str">
        <f t="shared" si="71"/>
        <v>Under Budget</v>
      </c>
    </row>
    <row r="1498" spans="1:8" x14ac:dyDescent="0.25">
      <c r="A1498" s="11">
        <v>45992</v>
      </c>
      <c r="B1498" s="10" t="s">
        <v>1792</v>
      </c>
      <c r="C1498" s="10" t="s">
        <v>1792</v>
      </c>
      <c r="D1498" s="12">
        <v>13898.81</v>
      </c>
      <c r="E1498" s="12">
        <v>13824.33</v>
      </c>
      <c r="F1498" s="12">
        <f t="shared" si="69"/>
        <v>-74.479999999999563</v>
      </c>
      <c r="G1498" s="27">
        <f t="shared" si="70"/>
        <v>-5.3587321504502588E-3</v>
      </c>
      <c r="H1498" s="10" t="str">
        <f t="shared" si="71"/>
        <v>Under Budget</v>
      </c>
    </row>
    <row r="1499" spans="1:8" x14ac:dyDescent="0.25">
      <c r="A1499" s="14">
        <v>45992</v>
      </c>
      <c r="B1499" s="13" t="s">
        <v>1877</v>
      </c>
      <c r="C1499" s="13" t="s">
        <v>1783</v>
      </c>
      <c r="D1499" s="15">
        <v>10226.459999999999</v>
      </c>
      <c r="E1499" s="15">
        <v>10908</v>
      </c>
      <c r="F1499" s="15">
        <f t="shared" si="69"/>
        <v>681.54000000000087</v>
      </c>
      <c r="G1499" s="28">
        <f t="shared" si="70"/>
        <v>6.6644762703809618E-2</v>
      </c>
      <c r="H1499" s="13" t="str">
        <f t="shared" si="71"/>
        <v>Slightly Over</v>
      </c>
    </row>
    <row r="1500" spans="1:8" x14ac:dyDescent="0.25">
      <c r="A1500" s="11">
        <v>45992</v>
      </c>
      <c r="B1500" s="10" t="s">
        <v>1792</v>
      </c>
      <c r="C1500" s="10" t="s">
        <v>1786</v>
      </c>
      <c r="D1500" s="12">
        <v>11770.62</v>
      </c>
      <c r="E1500" s="12">
        <v>12110.77</v>
      </c>
      <c r="F1500" s="12">
        <f t="shared" si="69"/>
        <v>340.14999999999964</v>
      </c>
      <c r="G1500" s="27">
        <f t="shared" si="70"/>
        <v>2.8898222863366553E-2</v>
      </c>
      <c r="H1500" s="10" t="str">
        <f t="shared" si="71"/>
        <v>Within Budget</v>
      </c>
    </row>
    <row r="1501" spans="1:8" x14ac:dyDescent="0.25">
      <c r="A1501" s="14">
        <v>45992</v>
      </c>
      <c r="B1501" s="13" t="s">
        <v>1877</v>
      </c>
      <c r="C1501" s="13" t="s">
        <v>1795</v>
      </c>
      <c r="D1501" s="15">
        <v>3714.93</v>
      </c>
      <c r="E1501" s="15">
        <v>3852.31</v>
      </c>
      <c r="F1501" s="15">
        <f t="shared" si="69"/>
        <v>137.38000000000011</v>
      </c>
      <c r="G1501" s="28">
        <f t="shared" si="70"/>
        <v>3.6980508381046238E-2</v>
      </c>
      <c r="H1501" s="13" t="str">
        <f t="shared" si="71"/>
        <v>Within Budget</v>
      </c>
    </row>
    <row r="1502" spans="1:8" x14ac:dyDescent="0.25">
      <c r="A1502" s="11">
        <v>45992</v>
      </c>
      <c r="B1502" s="10" t="s">
        <v>1799</v>
      </c>
      <c r="C1502" s="10" t="s">
        <v>1775</v>
      </c>
      <c r="D1502" s="12">
        <v>52013.16</v>
      </c>
      <c r="E1502" s="12">
        <v>49172.49</v>
      </c>
      <c r="F1502" s="12">
        <f t="shared" si="69"/>
        <v>-2840.6700000000055</v>
      </c>
      <c r="G1502" s="27">
        <f t="shared" si="70"/>
        <v>-5.4614447574421653E-2</v>
      </c>
      <c r="H1502" s="10" t="str">
        <f t="shared" si="71"/>
        <v>Under Budget</v>
      </c>
    </row>
    <row r="1503" spans="1:8" x14ac:dyDescent="0.25">
      <c r="A1503" s="14">
        <v>45992</v>
      </c>
      <c r="B1503" s="13" t="s">
        <v>1774</v>
      </c>
      <c r="C1503" s="13" t="s">
        <v>1783</v>
      </c>
      <c r="D1503" s="15">
        <v>12017.79</v>
      </c>
      <c r="E1503" s="15">
        <v>13269.82</v>
      </c>
      <c r="F1503" s="15">
        <f t="shared" si="69"/>
        <v>1252.0299999999988</v>
      </c>
      <c r="G1503" s="28">
        <f t="shared" si="70"/>
        <v>0.1041813844309144</v>
      </c>
      <c r="H1503" s="13" t="str">
        <f t="shared" si="71"/>
        <v>Slightly Over</v>
      </c>
    </row>
    <row r="1504" spans="1:8" x14ac:dyDescent="0.25">
      <c r="A1504" s="11">
        <v>45992</v>
      </c>
      <c r="B1504" s="10" t="s">
        <v>1774</v>
      </c>
      <c r="C1504" s="10" t="s">
        <v>1780</v>
      </c>
      <c r="D1504" s="12">
        <v>10681.46</v>
      </c>
      <c r="E1504" s="12">
        <v>11470.03</v>
      </c>
      <c r="F1504" s="12">
        <f t="shared" si="69"/>
        <v>788.57000000000153</v>
      </c>
      <c r="G1504" s="27">
        <f t="shared" si="70"/>
        <v>7.3826049996910684E-2</v>
      </c>
      <c r="H1504" s="10" t="str">
        <f t="shared" si="71"/>
        <v>Slightly Over</v>
      </c>
    </row>
    <row r="1505" spans="1:8" x14ac:dyDescent="0.25">
      <c r="A1505" s="14">
        <v>45992</v>
      </c>
      <c r="B1505" s="13" t="s">
        <v>1862</v>
      </c>
      <c r="C1505" s="13" t="s">
        <v>1797</v>
      </c>
      <c r="D1505" s="15">
        <v>2956.11</v>
      </c>
      <c r="E1505" s="15">
        <v>2814.71</v>
      </c>
      <c r="F1505" s="15">
        <f t="shared" si="69"/>
        <v>-141.40000000000009</v>
      </c>
      <c r="G1505" s="28">
        <f t="shared" si="70"/>
        <v>-4.7833132055302437E-2</v>
      </c>
      <c r="H1505" s="13" t="str">
        <f t="shared" si="71"/>
        <v>Under Budget</v>
      </c>
    </row>
    <row r="1506" spans="1:8" x14ac:dyDescent="0.25">
      <c r="A1506" s="11">
        <v>45992</v>
      </c>
      <c r="B1506" s="10" t="s">
        <v>1799</v>
      </c>
      <c r="C1506" s="10" t="s">
        <v>1783</v>
      </c>
      <c r="D1506" s="12">
        <v>7451.42</v>
      </c>
      <c r="E1506" s="12">
        <v>8036.85</v>
      </c>
      <c r="F1506" s="12">
        <f t="shared" si="69"/>
        <v>585.43000000000029</v>
      </c>
      <c r="G1506" s="27">
        <f t="shared" si="70"/>
        <v>7.8566233013304884E-2</v>
      </c>
      <c r="H1506" s="10" t="str">
        <f t="shared" si="71"/>
        <v>Slightly Over</v>
      </c>
    </row>
    <row r="1507" spans="1:8" x14ac:dyDescent="0.25">
      <c r="A1507" s="14">
        <v>45992</v>
      </c>
      <c r="B1507" s="13" t="s">
        <v>1862</v>
      </c>
      <c r="C1507" s="13" t="s">
        <v>1792</v>
      </c>
      <c r="D1507" s="15">
        <v>6084.51</v>
      </c>
      <c r="E1507" s="15">
        <v>6681.69</v>
      </c>
      <c r="F1507" s="15">
        <f t="shared" si="69"/>
        <v>597.17999999999938</v>
      </c>
      <c r="G1507" s="28">
        <f t="shared" si="70"/>
        <v>9.8147591178254182E-2</v>
      </c>
      <c r="H1507" s="13" t="str">
        <f t="shared" si="71"/>
        <v>Slightly Over</v>
      </c>
    </row>
    <row r="1508" spans="1:8" x14ac:dyDescent="0.25">
      <c r="A1508" s="11">
        <v>45992</v>
      </c>
      <c r="B1508" s="10" t="s">
        <v>1799</v>
      </c>
      <c r="C1508" s="10" t="s">
        <v>1792</v>
      </c>
      <c r="D1508" s="12">
        <v>6717.33</v>
      </c>
      <c r="E1508" s="12">
        <v>7269.62</v>
      </c>
      <c r="F1508" s="12">
        <f t="shared" si="69"/>
        <v>552.29</v>
      </c>
      <c r="G1508" s="27">
        <f t="shared" si="70"/>
        <v>8.2218679147816165E-2</v>
      </c>
      <c r="H1508" s="10" t="str">
        <f t="shared" si="71"/>
        <v>Slightly Over</v>
      </c>
    </row>
    <row r="1509" spans="1:8" x14ac:dyDescent="0.25">
      <c r="A1509" s="14">
        <v>45992</v>
      </c>
      <c r="B1509" s="13" t="s">
        <v>1774</v>
      </c>
      <c r="C1509" s="13" t="s">
        <v>1778</v>
      </c>
      <c r="D1509" s="15">
        <v>19514.28</v>
      </c>
      <c r="E1509" s="15">
        <v>18550.61</v>
      </c>
      <c r="F1509" s="15">
        <f t="shared" si="69"/>
        <v>-963.66999999999825</v>
      </c>
      <c r="G1509" s="28">
        <f t="shared" si="70"/>
        <v>-4.9382810946650264E-2</v>
      </c>
      <c r="H1509" s="13" t="str">
        <f t="shared" si="71"/>
        <v>Under Budget</v>
      </c>
    </row>
    <row r="1510" spans="1:8" x14ac:dyDescent="0.25">
      <c r="A1510" s="11">
        <v>45992</v>
      </c>
      <c r="B1510" s="10" t="s">
        <v>1774</v>
      </c>
      <c r="C1510" s="10" t="s">
        <v>1786</v>
      </c>
      <c r="D1510" s="12">
        <v>12638.41</v>
      </c>
      <c r="E1510" s="12">
        <v>13580.17</v>
      </c>
      <c r="F1510" s="12">
        <f t="shared" si="69"/>
        <v>941.76000000000022</v>
      </c>
      <c r="G1510" s="27">
        <f t="shared" si="70"/>
        <v>7.4515702529036498E-2</v>
      </c>
      <c r="H1510" s="10" t="str">
        <f t="shared" si="71"/>
        <v>Slightly Over</v>
      </c>
    </row>
    <row r="1511" spans="1:8" x14ac:dyDescent="0.25">
      <c r="A1511" s="14">
        <v>45992</v>
      </c>
      <c r="B1511" s="13" t="s">
        <v>1818</v>
      </c>
      <c r="C1511" s="13" t="s">
        <v>1792</v>
      </c>
      <c r="D1511" s="15">
        <v>5606.56</v>
      </c>
      <c r="E1511" s="15">
        <v>6014.42</v>
      </c>
      <c r="F1511" s="15">
        <f t="shared" si="69"/>
        <v>407.85999999999967</v>
      </c>
      <c r="G1511" s="28">
        <f t="shared" si="70"/>
        <v>7.2746925030678283E-2</v>
      </c>
      <c r="H1511" s="13" t="str">
        <f t="shared" si="71"/>
        <v>Slightly Over</v>
      </c>
    </row>
    <row r="1512" spans="1:8" x14ac:dyDescent="0.25">
      <c r="A1512" s="11">
        <v>45992</v>
      </c>
      <c r="B1512" s="10" t="s">
        <v>1792</v>
      </c>
      <c r="C1512" s="10" t="s">
        <v>1775</v>
      </c>
      <c r="D1512" s="12">
        <v>89280.5</v>
      </c>
      <c r="E1512" s="12">
        <v>93913.63</v>
      </c>
      <c r="F1512" s="12">
        <f t="shared" si="69"/>
        <v>4633.1300000000047</v>
      </c>
      <c r="G1512" s="27">
        <f t="shared" si="70"/>
        <v>5.1894086614658351E-2</v>
      </c>
      <c r="H1512" s="10" t="str">
        <f t="shared" si="71"/>
        <v>Slightly Over</v>
      </c>
    </row>
    <row r="1513" spans="1:8" x14ac:dyDescent="0.25">
      <c r="A1513" s="14">
        <v>45992</v>
      </c>
      <c r="B1513" s="13" t="s">
        <v>1792</v>
      </c>
      <c r="C1513" s="13" t="s">
        <v>1795</v>
      </c>
      <c r="D1513" s="15">
        <v>5838.96</v>
      </c>
      <c r="E1513" s="15">
        <v>5481.56</v>
      </c>
      <c r="F1513" s="15">
        <f t="shared" si="69"/>
        <v>-357.39999999999964</v>
      </c>
      <c r="G1513" s="28">
        <f t="shared" si="70"/>
        <v>-6.1209530464329198E-2</v>
      </c>
      <c r="H1513" s="13" t="str">
        <f t="shared" si="71"/>
        <v>Under Budget</v>
      </c>
    </row>
  </sheetData>
  <conditionalFormatting sqref="G2:G15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 tint="0.79998168889431442"/>
  </sheetPr>
  <dimension ref="A1:M3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1" customWidth="1"/>
    <col min="3" max="4" width="12" customWidth="1"/>
    <col min="5" max="5" width="16" customWidth="1"/>
    <col min="6" max="6" width="11" customWidth="1"/>
    <col min="7" max="7" width="14" customWidth="1"/>
    <col min="8" max="8" width="19" customWidth="1"/>
    <col min="9" max="9" width="22" customWidth="1"/>
    <col min="10" max="10" width="12" customWidth="1"/>
    <col min="11" max="11" width="19" customWidth="1"/>
    <col min="12" max="12" width="26" customWidth="1"/>
    <col min="13" max="13" width="12" customWidth="1"/>
  </cols>
  <sheetData>
    <row r="1" spans="1:13" ht="30" customHeight="1" x14ac:dyDescent="0.25">
      <c r="A1" s="23" t="s">
        <v>1770</v>
      </c>
      <c r="B1" s="23" t="s">
        <v>1771</v>
      </c>
      <c r="C1" s="23" t="s">
        <v>4</v>
      </c>
      <c r="D1" s="23" t="s">
        <v>6</v>
      </c>
      <c r="E1" s="23" t="s">
        <v>54</v>
      </c>
      <c r="F1" s="23" t="s">
        <v>1772</v>
      </c>
      <c r="G1" s="23" t="s">
        <v>3467</v>
      </c>
      <c r="H1" s="23" t="s">
        <v>3468</v>
      </c>
      <c r="I1" s="23" t="s">
        <v>3469</v>
      </c>
      <c r="J1" s="23" t="s">
        <v>3470</v>
      </c>
      <c r="K1" s="23" t="s">
        <v>3471</v>
      </c>
      <c r="L1" s="23" t="s">
        <v>3472</v>
      </c>
      <c r="M1" s="23" t="s">
        <v>3473</v>
      </c>
    </row>
    <row r="2" spans="1:13" x14ac:dyDescent="0.25">
      <c r="A2" s="10" t="s">
        <v>1773</v>
      </c>
      <c r="B2" s="11">
        <v>45292</v>
      </c>
      <c r="C2" s="10" t="s">
        <v>1774</v>
      </c>
      <c r="D2" s="10" t="s">
        <v>1775</v>
      </c>
      <c r="E2" s="12">
        <v>95356.73</v>
      </c>
      <c r="F2" s="10" t="s">
        <v>1776</v>
      </c>
      <c r="G2" s="10">
        <v>110154.51</v>
      </c>
      <c r="H2" s="10">
        <v>11029.19000099999</v>
      </c>
      <c r="I2" s="10">
        <v>-0.90497149918489461</v>
      </c>
      <c r="J2" s="10">
        <v>-1</v>
      </c>
      <c r="K2" s="10" t="s">
        <v>3474</v>
      </c>
      <c r="L2" s="10">
        <v>-14797.78000000001</v>
      </c>
      <c r="M2" s="10" t="s">
        <v>3475</v>
      </c>
    </row>
    <row r="3" spans="1:13" x14ac:dyDescent="0.25">
      <c r="A3" s="13" t="s">
        <v>1892</v>
      </c>
      <c r="B3" s="14">
        <v>45332</v>
      </c>
      <c r="C3" s="13" t="s">
        <v>1774</v>
      </c>
      <c r="D3" s="13" t="s">
        <v>1775</v>
      </c>
      <c r="E3" s="15">
        <v>94170.07</v>
      </c>
      <c r="F3" s="13" t="s">
        <v>1808</v>
      </c>
      <c r="G3" s="13">
        <v>110154.51</v>
      </c>
      <c r="H3" s="13">
        <v>11029.19000099999</v>
      </c>
      <c r="I3" s="13">
        <v>-0.97754275509103294</v>
      </c>
      <c r="J3" s="13">
        <v>-1</v>
      </c>
      <c r="K3" s="13" t="s">
        <v>3474</v>
      </c>
      <c r="L3" s="13">
        <v>-15984.44</v>
      </c>
      <c r="M3" s="13" t="s">
        <v>3475</v>
      </c>
    </row>
    <row r="4" spans="1:13" x14ac:dyDescent="0.25">
      <c r="A4" s="10" t="s">
        <v>1937</v>
      </c>
      <c r="B4" s="11">
        <v>45338</v>
      </c>
      <c r="C4" s="10" t="s">
        <v>1792</v>
      </c>
      <c r="D4" s="10" t="s">
        <v>1775</v>
      </c>
      <c r="E4" s="12">
        <v>99065</v>
      </c>
      <c r="F4" s="10" t="s">
        <v>1924</v>
      </c>
      <c r="G4" s="10">
        <v>86979.19</v>
      </c>
      <c r="H4" s="10">
        <v>8914.8150009999954</v>
      </c>
      <c r="I4" s="10">
        <v>0.91441929463321259</v>
      </c>
      <c r="J4" s="10">
        <v>-1</v>
      </c>
      <c r="K4" s="10" t="s">
        <v>3474</v>
      </c>
      <c r="L4" s="10">
        <v>12085.81</v>
      </c>
      <c r="M4" s="10" t="s">
        <v>3475</v>
      </c>
    </row>
    <row r="5" spans="1:13" x14ac:dyDescent="0.25">
      <c r="A5" s="13" t="s">
        <v>1971</v>
      </c>
      <c r="B5" s="14">
        <v>45362</v>
      </c>
      <c r="C5" s="13" t="s">
        <v>1774</v>
      </c>
      <c r="D5" s="13" t="s">
        <v>1775</v>
      </c>
      <c r="E5" s="15">
        <v>121526.2</v>
      </c>
      <c r="F5" s="13" t="s">
        <v>1970</v>
      </c>
      <c r="G5" s="13">
        <v>110154.51</v>
      </c>
      <c r="H5" s="13">
        <v>11029.19000099999</v>
      </c>
      <c r="I5" s="13">
        <v>0.69544589442239668</v>
      </c>
      <c r="J5" s="13">
        <v>-1</v>
      </c>
      <c r="K5" s="13" t="s">
        <v>3474</v>
      </c>
      <c r="L5" s="13">
        <v>11371.68999999999</v>
      </c>
      <c r="M5" s="13" t="s">
        <v>3475</v>
      </c>
    </row>
    <row r="6" spans="1:13" x14ac:dyDescent="0.25">
      <c r="A6" s="10" t="s">
        <v>2014</v>
      </c>
      <c r="B6" s="11">
        <v>45359</v>
      </c>
      <c r="C6" s="10" t="s">
        <v>1792</v>
      </c>
      <c r="D6" s="10" t="s">
        <v>1775</v>
      </c>
      <c r="E6" s="12">
        <v>99503.55</v>
      </c>
      <c r="F6" s="10" t="s">
        <v>1886</v>
      </c>
      <c r="G6" s="10">
        <v>86979.19</v>
      </c>
      <c r="H6" s="10">
        <v>8914.8150009999954</v>
      </c>
      <c r="I6" s="10">
        <v>0.94760023837313545</v>
      </c>
      <c r="J6" s="10">
        <v>-1</v>
      </c>
      <c r="K6" s="10" t="s">
        <v>3474</v>
      </c>
      <c r="L6" s="10">
        <v>12524.36</v>
      </c>
      <c r="M6" s="10" t="s">
        <v>3475</v>
      </c>
    </row>
    <row r="7" spans="1:13" x14ac:dyDescent="0.25">
      <c r="A7" s="13" t="s">
        <v>2044</v>
      </c>
      <c r="B7" s="14">
        <v>45397</v>
      </c>
      <c r="C7" s="13" t="s">
        <v>1774</v>
      </c>
      <c r="D7" s="13" t="s">
        <v>1775</v>
      </c>
      <c r="E7" s="15">
        <v>125268.93</v>
      </c>
      <c r="F7" s="13" t="s">
        <v>1875</v>
      </c>
      <c r="G7" s="13">
        <v>110154.51</v>
      </c>
      <c r="H7" s="13">
        <v>11029.19000099999</v>
      </c>
      <c r="I7" s="13">
        <v>0.92433590219006689</v>
      </c>
      <c r="J7" s="13">
        <v>-1</v>
      </c>
      <c r="K7" s="13" t="s">
        <v>3474</v>
      </c>
      <c r="L7" s="13">
        <v>15114.41999999998</v>
      </c>
      <c r="M7" s="13" t="s">
        <v>3475</v>
      </c>
    </row>
    <row r="8" spans="1:13" x14ac:dyDescent="0.25">
      <c r="A8" s="10" t="s">
        <v>2073</v>
      </c>
      <c r="B8" s="11">
        <v>45391</v>
      </c>
      <c r="C8" s="10" t="s">
        <v>1786</v>
      </c>
      <c r="D8" s="10" t="s">
        <v>1775</v>
      </c>
      <c r="E8" s="12">
        <v>93521.11</v>
      </c>
      <c r="F8" s="10" t="s">
        <v>2074</v>
      </c>
      <c r="G8" s="10">
        <v>73087.899999999994</v>
      </c>
      <c r="H8" s="10">
        <v>5096.9900009999983</v>
      </c>
      <c r="I8" s="10">
        <v>2.7039880679177362</v>
      </c>
      <c r="J8" s="10">
        <v>-1</v>
      </c>
      <c r="K8" s="10" t="s">
        <v>3474</v>
      </c>
      <c r="L8" s="10">
        <v>20433.21000000001</v>
      </c>
      <c r="M8" s="10" t="s">
        <v>3475</v>
      </c>
    </row>
    <row r="9" spans="1:13" x14ac:dyDescent="0.25">
      <c r="A9" s="13" t="s">
        <v>2112</v>
      </c>
      <c r="B9" s="14">
        <v>45428</v>
      </c>
      <c r="C9" s="13" t="s">
        <v>1774</v>
      </c>
      <c r="D9" s="13" t="s">
        <v>1775</v>
      </c>
      <c r="E9" s="15">
        <v>132803.43</v>
      </c>
      <c r="F9" s="13" t="s">
        <v>2113</v>
      </c>
      <c r="G9" s="13">
        <v>110154.51</v>
      </c>
      <c r="H9" s="13">
        <v>11029.19000099999</v>
      </c>
      <c r="I9" s="13">
        <v>1.3851150028800741</v>
      </c>
      <c r="J9" s="13">
        <v>-1</v>
      </c>
      <c r="K9" s="13" t="s">
        <v>3474</v>
      </c>
      <c r="L9" s="13">
        <v>22648.91999999998</v>
      </c>
      <c r="M9" s="13" t="s">
        <v>3475</v>
      </c>
    </row>
    <row r="10" spans="1:13" x14ac:dyDescent="0.25">
      <c r="A10" s="10" t="s">
        <v>2150</v>
      </c>
      <c r="B10" s="11">
        <v>45421</v>
      </c>
      <c r="C10" s="10" t="s">
        <v>1792</v>
      </c>
      <c r="D10" s="10" t="s">
        <v>1775</v>
      </c>
      <c r="E10" s="12">
        <v>108214.3</v>
      </c>
      <c r="F10" s="10" t="s">
        <v>1820</v>
      </c>
      <c r="G10" s="10">
        <v>86979.19</v>
      </c>
      <c r="H10" s="10">
        <v>8914.8150009999954</v>
      </c>
      <c r="I10" s="10">
        <v>1.606660563723795</v>
      </c>
      <c r="J10" s="10">
        <v>-1</v>
      </c>
      <c r="K10" s="10" t="s">
        <v>3474</v>
      </c>
      <c r="L10" s="10">
        <v>21235.11</v>
      </c>
      <c r="M10" s="10" t="s">
        <v>3475</v>
      </c>
    </row>
    <row r="11" spans="1:13" x14ac:dyDescent="0.25">
      <c r="A11" s="13" t="s">
        <v>2179</v>
      </c>
      <c r="B11" s="14">
        <v>45470</v>
      </c>
      <c r="C11" s="13" t="s">
        <v>1774</v>
      </c>
      <c r="D11" s="13" t="s">
        <v>1775</v>
      </c>
      <c r="E11" s="15">
        <v>121631.34</v>
      </c>
      <c r="F11" s="13" t="s">
        <v>1997</v>
      </c>
      <c r="G11" s="13">
        <v>110154.51</v>
      </c>
      <c r="H11" s="13">
        <v>11029.19000099999</v>
      </c>
      <c r="I11" s="13">
        <v>0.70187582535962512</v>
      </c>
      <c r="J11" s="13">
        <v>-1</v>
      </c>
      <c r="K11" s="13" t="s">
        <v>3474</v>
      </c>
      <c r="L11" s="13">
        <v>11476.829999999991</v>
      </c>
      <c r="M11" s="13" t="s">
        <v>3475</v>
      </c>
    </row>
    <row r="12" spans="1:13" x14ac:dyDescent="0.25">
      <c r="A12" s="10" t="s">
        <v>2244</v>
      </c>
      <c r="B12" s="11">
        <v>45491</v>
      </c>
      <c r="C12" s="10" t="s">
        <v>1774</v>
      </c>
      <c r="D12" s="10" t="s">
        <v>1775</v>
      </c>
      <c r="E12" s="12">
        <v>106828.19</v>
      </c>
      <c r="F12" s="10" t="s">
        <v>2078</v>
      </c>
      <c r="G12" s="10">
        <v>110154.51</v>
      </c>
      <c r="H12" s="10">
        <v>11029.19000099999</v>
      </c>
      <c r="I12" s="10">
        <v>-0.20342408098841189</v>
      </c>
      <c r="J12" s="10">
        <v>-1</v>
      </c>
      <c r="K12" s="10" t="s">
        <v>3474</v>
      </c>
      <c r="L12" s="10">
        <v>-3326.320000000007</v>
      </c>
      <c r="M12" s="10" t="s">
        <v>3475</v>
      </c>
    </row>
    <row r="13" spans="1:13" x14ac:dyDescent="0.25">
      <c r="A13" s="13" t="s">
        <v>2307</v>
      </c>
      <c r="B13" s="14">
        <v>45520</v>
      </c>
      <c r="C13" s="13" t="s">
        <v>1774</v>
      </c>
      <c r="D13" s="13" t="s">
        <v>1775</v>
      </c>
      <c r="E13" s="15">
        <v>99805.33</v>
      </c>
      <c r="F13" s="13" t="s">
        <v>2128</v>
      </c>
      <c r="G13" s="13">
        <v>110154.51</v>
      </c>
      <c r="H13" s="13">
        <v>11029.19000099999</v>
      </c>
      <c r="I13" s="13">
        <v>-0.63291337889428867</v>
      </c>
      <c r="J13" s="13">
        <v>-1</v>
      </c>
      <c r="K13" s="13" t="s">
        <v>3474</v>
      </c>
      <c r="L13" s="13">
        <v>-10349.180000000009</v>
      </c>
      <c r="M13" s="13" t="s">
        <v>3475</v>
      </c>
    </row>
    <row r="14" spans="1:13" x14ac:dyDescent="0.25">
      <c r="A14" s="10" t="s">
        <v>2370</v>
      </c>
      <c r="B14" s="11">
        <v>45550</v>
      </c>
      <c r="C14" s="10" t="s">
        <v>1774</v>
      </c>
      <c r="D14" s="10" t="s">
        <v>1775</v>
      </c>
      <c r="E14" s="12">
        <v>111364.16</v>
      </c>
      <c r="F14" s="10" t="s">
        <v>1784</v>
      </c>
      <c r="G14" s="10">
        <v>110154.51</v>
      </c>
      <c r="H14" s="10">
        <v>11029.19000099999</v>
      </c>
      <c r="I14" s="10">
        <v>7.3977229962129562E-2</v>
      </c>
      <c r="J14" s="10">
        <v>-1</v>
      </c>
      <c r="K14" s="10" t="s">
        <v>3474</v>
      </c>
      <c r="L14" s="10">
        <v>1209.649999999994</v>
      </c>
      <c r="M14" s="10" t="s">
        <v>3475</v>
      </c>
    </row>
    <row r="15" spans="1:13" x14ac:dyDescent="0.25">
      <c r="A15" s="13" t="s">
        <v>2434</v>
      </c>
      <c r="B15" s="14">
        <v>45581</v>
      </c>
      <c r="C15" s="13" t="s">
        <v>1774</v>
      </c>
      <c r="D15" s="13" t="s">
        <v>1775</v>
      </c>
      <c r="E15" s="15">
        <v>108203.88</v>
      </c>
      <c r="F15" s="13" t="s">
        <v>1826</v>
      </c>
      <c r="G15" s="13">
        <v>110154.51</v>
      </c>
      <c r="H15" s="13">
        <v>11029.19000099999</v>
      </c>
      <c r="I15" s="13">
        <v>-0.1192925260042407</v>
      </c>
      <c r="J15" s="13">
        <v>-1</v>
      </c>
      <c r="K15" s="13" t="s">
        <v>3474</v>
      </c>
      <c r="L15" s="13">
        <v>-1950.6300000000051</v>
      </c>
      <c r="M15" s="13" t="s">
        <v>3475</v>
      </c>
    </row>
    <row r="16" spans="1:13" x14ac:dyDescent="0.25">
      <c r="A16" s="10" t="s">
        <v>2497</v>
      </c>
      <c r="B16" s="11">
        <v>45611</v>
      </c>
      <c r="C16" s="10" t="s">
        <v>1774</v>
      </c>
      <c r="D16" s="10" t="s">
        <v>1775</v>
      </c>
      <c r="E16" s="12">
        <v>112151.99</v>
      </c>
      <c r="F16" s="10" t="s">
        <v>1990</v>
      </c>
      <c r="G16" s="10">
        <v>110154.51</v>
      </c>
      <c r="H16" s="10">
        <v>11029.19000099999</v>
      </c>
      <c r="I16" s="10">
        <v>0.122157679746005</v>
      </c>
      <c r="J16" s="10">
        <v>-1</v>
      </c>
      <c r="K16" s="10" t="s">
        <v>3474</v>
      </c>
      <c r="L16" s="10">
        <v>1997.4799999999959</v>
      </c>
      <c r="M16" s="10" t="s">
        <v>3475</v>
      </c>
    </row>
    <row r="17" spans="1:13" x14ac:dyDescent="0.25">
      <c r="A17" s="13" t="s">
        <v>2560</v>
      </c>
      <c r="B17" s="14">
        <v>45627</v>
      </c>
      <c r="C17" s="13" t="s">
        <v>1774</v>
      </c>
      <c r="D17" s="13" t="s">
        <v>1775</v>
      </c>
      <c r="E17" s="15">
        <v>109648.77</v>
      </c>
      <c r="F17" s="13" t="s">
        <v>1800</v>
      </c>
      <c r="G17" s="13">
        <v>110154.51</v>
      </c>
      <c r="H17" s="13">
        <v>11029.19000099999</v>
      </c>
      <c r="I17" s="13">
        <v>-3.0928982995947561E-2</v>
      </c>
      <c r="J17" s="13">
        <v>-1</v>
      </c>
      <c r="K17" s="13" t="s">
        <v>3474</v>
      </c>
      <c r="L17" s="13">
        <v>-505.74000000000518</v>
      </c>
      <c r="M17" s="13" t="s">
        <v>3475</v>
      </c>
    </row>
    <row r="18" spans="1:13" x14ac:dyDescent="0.25">
      <c r="A18" s="10" t="s">
        <v>2623</v>
      </c>
      <c r="B18" s="11">
        <v>45682</v>
      </c>
      <c r="C18" s="10" t="s">
        <v>1774</v>
      </c>
      <c r="D18" s="10" t="s">
        <v>1775</v>
      </c>
      <c r="E18" s="12">
        <v>110660.25</v>
      </c>
      <c r="F18" s="10" t="s">
        <v>1784</v>
      </c>
      <c r="G18" s="10">
        <v>110154.51</v>
      </c>
      <c r="H18" s="10">
        <v>11029.19000099999</v>
      </c>
      <c r="I18" s="10">
        <v>3.092898299594668E-2</v>
      </c>
      <c r="J18" s="10">
        <v>-1</v>
      </c>
      <c r="K18" s="10" t="s">
        <v>3474</v>
      </c>
      <c r="L18" s="10">
        <v>505.73999999999069</v>
      </c>
      <c r="M18" s="10" t="s">
        <v>3475</v>
      </c>
    </row>
    <row r="19" spans="1:13" x14ac:dyDescent="0.25">
      <c r="A19" s="13" t="s">
        <v>2686</v>
      </c>
      <c r="B19" s="14">
        <v>45705</v>
      </c>
      <c r="C19" s="13" t="s">
        <v>1774</v>
      </c>
      <c r="D19" s="13" t="s">
        <v>1775</v>
      </c>
      <c r="E19" s="15">
        <v>120841.2</v>
      </c>
      <c r="F19" s="13" t="s">
        <v>1901</v>
      </c>
      <c r="G19" s="13">
        <v>110154.51</v>
      </c>
      <c r="H19" s="13">
        <v>11029.19000099999</v>
      </c>
      <c r="I19" s="13">
        <v>0.65355410545529147</v>
      </c>
      <c r="J19" s="13">
        <v>-1</v>
      </c>
      <c r="K19" s="13" t="s">
        <v>3474</v>
      </c>
      <c r="L19" s="13">
        <v>10686.68999999999</v>
      </c>
      <c r="M19" s="13" t="s">
        <v>3475</v>
      </c>
    </row>
    <row r="20" spans="1:13" x14ac:dyDescent="0.25">
      <c r="A20" s="10" t="s">
        <v>2722</v>
      </c>
      <c r="B20" s="11">
        <v>45709</v>
      </c>
      <c r="C20" s="10" t="s">
        <v>1792</v>
      </c>
      <c r="D20" s="10" t="s">
        <v>1775</v>
      </c>
      <c r="E20" s="12">
        <v>104752.19</v>
      </c>
      <c r="F20" s="10" t="s">
        <v>1830</v>
      </c>
      <c r="G20" s="10">
        <v>86979.19</v>
      </c>
      <c r="H20" s="10">
        <v>8914.8150009999954</v>
      </c>
      <c r="I20" s="10">
        <v>1.344715341670611</v>
      </c>
      <c r="J20" s="10">
        <v>-1</v>
      </c>
      <c r="K20" s="10" t="s">
        <v>3474</v>
      </c>
      <c r="L20" s="10">
        <v>17773</v>
      </c>
      <c r="M20" s="10" t="s">
        <v>3475</v>
      </c>
    </row>
    <row r="21" spans="1:13" x14ac:dyDescent="0.25">
      <c r="A21" s="13" t="s">
        <v>2749</v>
      </c>
      <c r="B21" s="14">
        <v>45739</v>
      </c>
      <c r="C21" s="13" t="s">
        <v>1774</v>
      </c>
      <c r="D21" s="13" t="s">
        <v>1775</v>
      </c>
      <c r="E21" s="15">
        <v>98005.68</v>
      </c>
      <c r="F21" s="13" t="s">
        <v>1833</v>
      </c>
      <c r="G21" s="13">
        <v>110154.51</v>
      </c>
      <c r="H21" s="13">
        <v>11029.19000099999</v>
      </c>
      <c r="I21" s="13">
        <v>-0.74297258767480168</v>
      </c>
      <c r="J21" s="13">
        <v>-1</v>
      </c>
      <c r="K21" s="13" t="s">
        <v>3474</v>
      </c>
      <c r="L21" s="13">
        <v>-12148.83000000002</v>
      </c>
      <c r="M21" s="13" t="s">
        <v>3475</v>
      </c>
    </row>
    <row r="22" spans="1:13" x14ac:dyDescent="0.25">
      <c r="A22" s="10" t="s">
        <v>2812</v>
      </c>
      <c r="B22" s="11">
        <v>45761</v>
      </c>
      <c r="C22" s="10" t="s">
        <v>1774</v>
      </c>
      <c r="D22" s="10" t="s">
        <v>1775</v>
      </c>
      <c r="E22" s="12">
        <v>134057.79999999999</v>
      </c>
      <c r="F22" s="10" t="s">
        <v>1865</v>
      </c>
      <c r="G22" s="10">
        <v>110154.51</v>
      </c>
      <c r="H22" s="10">
        <v>11029.19000099999</v>
      </c>
      <c r="I22" s="10">
        <v>1.4618271245248451</v>
      </c>
      <c r="J22" s="10">
        <v>-1</v>
      </c>
      <c r="K22" s="10" t="s">
        <v>3474</v>
      </c>
      <c r="L22" s="10">
        <v>23903.289999999979</v>
      </c>
      <c r="M22" s="10" t="s">
        <v>3475</v>
      </c>
    </row>
    <row r="23" spans="1:13" x14ac:dyDescent="0.25">
      <c r="A23" s="13" t="s">
        <v>2839</v>
      </c>
      <c r="B23" s="14">
        <v>45752</v>
      </c>
      <c r="C23" s="13" t="s">
        <v>1786</v>
      </c>
      <c r="D23" s="13" t="s">
        <v>1775</v>
      </c>
      <c r="E23" s="15">
        <v>90289.35</v>
      </c>
      <c r="F23" s="13" t="s">
        <v>1901</v>
      </c>
      <c r="G23" s="13">
        <v>73087.899999999994</v>
      </c>
      <c r="H23" s="13">
        <v>5096.9900009999983</v>
      </c>
      <c r="I23" s="13">
        <v>2.2763195577632471</v>
      </c>
      <c r="J23" s="13">
        <v>-1</v>
      </c>
      <c r="K23" s="13" t="s">
        <v>3474</v>
      </c>
      <c r="L23" s="13">
        <v>17201.450000000012</v>
      </c>
      <c r="M23" s="13" t="s">
        <v>3475</v>
      </c>
    </row>
    <row r="24" spans="1:13" x14ac:dyDescent="0.25">
      <c r="A24" s="10" t="s">
        <v>2845</v>
      </c>
      <c r="B24" s="11">
        <v>45753</v>
      </c>
      <c r="C24" s="10" t="s">
        <v>1786</v>
      </c>
      <c r="D24" s="10" t="s">
        <v>1792</v>
      </c>
      <c r="E24" s="12">
        <v>14830.85</v>
      </c>
      <c r="F24" s="10" t="s">
        <v>2042</v>
      </c>
      <c r="G24" s="10">
        <v>10897.075000000001</v>
      </c>
      <c r="H24" s="10">
        <v>757.11500099999887</v>
      </c>
      <c r="I24" s="10">
        <v>3.5045286832191609</v>
      </c>
      <c r="J24" s="10">
        <v>1</v>
      </c>
      <c r="K24" s="10" t="s">
        <v>3474</v>
      </c>
      <c r="L24" s="10">
        <v>3933.7750000000001</v>
      </c>
      <c r="M24" s="10" t="s">
        <v>3384</v>
      </c>
    </row>
    <row r="25" spans="1:13" x14ac:dyDescent="0.25">
      <c r="A25" s="13" t="s">
        <v>2848</v>
      </c>
      <c r="B25" s="14">
        <v>45750</v>
      </c>
      <c r="C25" s="13" t="s">
        <v>1792</v>
      </c>
      <c r="D25" s="13" t="s">
        <v>1775</v>
      </c>
      <c r="E25" s="15">
        <v>101996.19</v>
      </c>
      <c r="F25" s="13" t="s">
        <v>1844</v>
      </c>
      <c r="G25" s="13">
        <v>86979.19</v>
      </c>
      <c r="H25" s="13">
        <v>8914.8150009999954</v>
      </c>
      <c r="I25" s="13">
        <v>1.136194805934146</v>
      </c>
      <c r="J25" s="13">
        <v>-1</v>
      </c>
      <c r="K25" s="13" t="s">
        <v>3474</v>
      </c>
      <c r="L25" s="13">
        <v>15017</v>
      </c>
      <c r="M25" s="13" t="s">
        <v>3475</v>
      </c>
    </row>
    <row r="26" spans="1:13" x14ac:dyDescent="0.25">
      <c r="A26" s="10" t="s">
        <v>2875</v>
      </c>
      <c r="B26" s="11">
        <v>45779</v>
      </c>
      <c r="C26" s="10" t="s">
        <v>1774</v>
      </c>
      <c r="D26" s="10" t="s">
        <v>1775</v>
      </c>
      <c r="E26" s="12">
        <v>97984.78</v>
      </c>
      <c r="F26" s="10" t="s">
        <v>1830</v>
      </c>
      <c r="G26" s="10">
        <v>110154.51</v>
      </c>
      <c r="H26" s="10">
        <v>11029.19000099999</v>
      </c>
      <c r="I26" s="10">
        <v>-0.74425074590752038</v>
      </c>
      <c r="J26" s="10">
        <v>-1</v>
      </c>
      <c r="K26" s="10" t="s">
        <v>3474</v>
      </c>
      <c r="L26" s="10">
        <v>-12169.73000000001</v>
      </c>
      <c r="M26" s="10" t="s">
        <v>3475</v>
      </c>
    </row>
    <row r="27" spans="1:13" x14ac:dyDescent="0.25">
      <c r="A27" s="13" t="s">
        <v>2889</v>
      </c>
      <c r="B27" s="14">
        <v>45787</v>
      </c>
      <c r="C27" s="13" t="s">
        <v>1799</v>
      </c>
      <c r="D27" s="13" t="s">
        <v>1789</v>
      </c>
      <c r="E27" s="15">
        <v>5756</v>
      </c>
      <c r="F27" s="13" t="s">
        <v>2192</v>
      </c>
      <c r="G27" s="13">
        <v>4316.33</v>
      </c>
      <c r="H27" s="13">
        <v>193.250001</v>
      </c>
      <c r="I27" s="13">
        <v>5.0248766363525146</v>
      </c>
      <c r="J27" s="13">
        <v>1</v>
      </c>
      <c r="K27" s="13" t="s">
        <v>3474</v>
      </c>
      <c r="L27" s="13">
        <v>1439.67</v>
      </c>
      <c r="M27" s="13" t="s">
        <v>3392</v>
      </c>
    </row>
    <row r="28" spans="1:13" x14ac:dyDescent="0.25">
      <c r="A28" s="10" t="s">
        <v>2938</v>
      </c>
      <c r="B28" s="11">
        <v>45809</v>
      </c>
      <c r="C28" s="10" t="s">
        <v>1774</v>
      </c>
      <c r="D28" s="10" t="s">
        <v>1775</v>
      </c>
      <c r="E28" s="12">
        <v>114041.96</v>
      </c>
      <c r="F28" s="10" t="s">
        <v>1935</v>
      </c>
      <c r="G28" s="10">
        <v>110154.51</v>
      </c>
      <c r="H28" s="10">
        <v>11029.19000099999</v>
      </c>
      <c r="I28" s="10">
        <v>0.2377404890805454</v>
      </c>
      <c r="J28" s="10">
        <v>-1</v>
      </c>
      <c r="K28" s="10" t="s">
        <v>3474</v>
      </c>
      <c r="L28" s="10">
        <v>3887.4499999999971</v>
      </c>
      <c r="M28" s="10" t="s">
        <v>3475</v>
      </c>
    </row>
    <row r="29" spans="1:13" x14ac:dyDescent="0.25">
      <c r="A29" s="13" t="s">
        <v>3001</v>
      </c>
      <c r="B29" s="14">
        <v>45846</v>
      </c>
      <c r="C29" s="13" t="s">
        <v>1774</v>
      </c>
      <c r="D29" s="13" t="s">
        <v>1775</v>
      </c>
      <c r="E29" s="15">
        <v>87906.07</v>
      </c>
      <c r="F29" s="13" t="s">
        <v>1886</v>
      </c>
      <c r="G29" s="13">
        <v>110154.51</v>
      </c>
      <c r="H29" s="13">
        <v>11029.19000099999</v>
      </c>
      <c r="I29" s="13">
        <v>-1.360623289528913</v>
      </c>
      <c r="J29" s="13">
        <v>-1</v>
      </c>
      <c r="K29" s="13" t="s">
        <v>3474</v>
      </c>
      <c r="L29" s="13">
        <v>-22248.44</v>
      </c>
      <c r="M29" s="13" t="s">
        <v>3475</v>
      </c>
    </row>
    <row r="30" spans="1:13" x14ac:dyDescent="0.25">
      <c r="A30" s="10" t="s">
        <v>3032</v>
      </c>
      <c r="B30" s="11">
        <v>45850</v>
      </c>
      <c r="C30" s="10" t="s">
        <v>1786</v>
      </c>
      <c r="D30" s="10" t="s">
        <v>1786</v>
      </c>
      <c r="E30" s="12">
        <v>25048.04</v>
      </c>
      <c r="F30" s="10" t="s">
        <v>1863</v>
      </c>
      <c r="G30" s="10">
        <v>11506.17</v>
      </c>
      <c r="H30" s="10">
        <v>1476.0000010000001</v>
      </c>
      <c r="I30" s="10">
        <v>6.1883409951298507</v>
      </c>
      <c r="J30" s="10">
        <v>1</v>
      </c>
      <c r="K30" s="10" t="s">
        <v>3474</v>
      </c>
      <c r="L30" s="10">
        <v>13541.87</v>
      </c>
      <c r="M30" s="10" t="s">
        <v>3392</v>
      </c>
    </row>
    <row r="31" spans="1:13" x14ac:dyDescent="0.25">
      <c r="A31" s="13" t="s">
        <v>3064</v>
      </c>
      <c r="B31" s="14">
        <v>45871</v>
      </c>
      <c r="C31" s="13" t="s">
        <v>1774</v>
      </c>
      <c r="D31" s="13" t="s">
        <v>1775</v>
      </c>
      <c r="E31" s="15">
        <v>113745.24</v>
      </c>
      <c r="F31" s="13" t="s">
        <v>2072</v>
      </c>
      <c r="G31" s="13">
        <v>110154.51</v>
      </c>
      <c r="H31" s="13">
        <v>11029.19000099999</v>
      </c>
      <c r="I31" s="13">
        <v>0.2195943115297139</v>
      </c>
      <c r="J31" s="13">
        <v>-1</v>
      </c>
      <c r="K31" s="13" t="s">
        <v>3474</v>
      </c>
      <c r="L31" s="13">
        <v>3590.7299999999959</v>
      </c>
      <c r="M31" s="13" t="s">
        <v>3475</v>
      </c>
    </row>
    <row r="32" spans="1:13" x14ac:dyDescent="0.25">
      <c r="A32" s="10" t="s">
        <v>3127</v>
      </c>
      <c r="B32" s="11">
        <v>45926</v>
      </c>
      <c r="C32" s="10" t="s">
        <v>1774</v>
      </c>
      <c r="D32" s="10" t="s">
        <v>1775</v>
      </c>
      <c r="E32" s="12">
        <v>89542.41</v>
      </c>
      <c r="F32" s="10" t="s">
        <v>2078</v>
      </c>
      <c r="G32" s="10">
        <v>110154.51</v>
      </c>
      <c r="H32" s="10">
        <v>11029.19000099999</v>
      </c>
      <c r="I32" s="10">
        <v>-1.2605514501735371</v>
      </c>
      <c r="J32" s="10">
        <v>-1</v>
      </c>
      <c r="K32" s="10" t="s">
        <v>3474</v>
      </c>
      <c r="L32" s="10">
        <v>-20612.100000000009</v>
      </c>
      <c r="M32" s="10" t="s">
        <v>3475</v>
      </c>
    </row>
    <row r="33" spans="1:13" x14ac:dyDescent="0.25">
      <c r="A33" s="13" t="s">
        <v>3190</v>
      </c>
      <c r="B33" s="14">
        <v>45935</v>
      </c>
      <c r="C33" s="13" t="s">
        <v>1774</v>
      </c>
      <c r="D33" s="13" t="s">
        <v>1775</v>
      </c>
      <c r="E33" s="15">
        <v>82620</v>
      </c>
      <c r="F33" s="13" t="s">
        <v>1828</v>
      </c>
      <c r="G33" s="13">
        <v>110154.51</v>
      </c>
      <c r="H33" s="13">
        <v>11029.19000099999</v>
      </c>
      <c r="I33" s="13">
        <v>-1.683897638295843</v>
      </c>
      <c r="J33" s="13">
        <v>-1</v>
      </c>
      <c r="K33" s="13" t="s">
        <v>3474</v>
      </c>
      <c r="L33" s="13">
        <v>-27534.510000000009</v>
      </c>
      <c r="M33" s="13" t="s">
        <v>3475</v>
      </c>
    </row>
    <row r="34" spans="1:13" x14ac:dyDescent="0.25">
      <c r="A34" s="10" t="s">
        <v>3221</v>
      </c>
      <c r="B34" s="11">
        <v>45956</v>
      </c>
      <c r="C34" s="10" t="s">
        <v>1786</v>
      </c>
      <c r="D34" s="10" t="s">
        <v>1786</v>
      </c>
      <c r="E34" s="12">
        <v>23137.75</v>
      </c>
      <c r="F34" s="10" t="s">
        <v>1793</v>
      </c>
      <c r="G34" s="10">
        <v>11506.17</v>
      </c>
      <c r="H34" s="10">
        <v>1476.0000010000001</v>
      </c>
      <c r="I34" s="10">
        <v>5.3153798812226416</v>
      </c>
      <c r="J34" s="10">
        <v>1</v>
      </c>
      <c r="K34" s="10" t="s">
        <v>3474</v>
      </c>
      <c r="L34" s="10">
        <v>11631.58</v>
      </c>
      <c r="M34" s="10" t="s">
        <v>3392</v>
      </c>
    </row>
    <row r="35" spans="1:13" x14ac:dyDescent="0.25">
      <c r="A35" s="13" t="s">
        <v>3253</v>
      </c>
      <c r="B35" s="14">
        <v>45973</v>
      </c>
      <c r="C35" s="13" t="s">
        <v>1774</v>
      </c>
      <c r="D35" s="13" t="s">
        <v>1775</v>
      </c>
      <c r="E35" s="15">
        <v>100377.89</v>
      </c>
      <c r="F35" s="13" t="s">
        <v>1826</v>
      </c>
      <c r="G35" s="13">
        <v>110154.51</v>
      </c>
      <c r="H35" s="13">
        <v>11029.19000099999</v>
      </c>
      <c r="I35" s="13">
        <v>-0.59789795890741892</v>
      </c>
      <c r="J35" s="13">
        <v>-1</v>
      </c>
      <c r="K35" s="13" t="s">
        <v>3474</v>
      </c>
      <c r="L35" s="13">
        <v>-9776.6200000000099</v>
      </c>
      <c r="M35" s="13" t="s">
        <v>3475</v>
      </c>
    </row>
    <row r="36" spans="1:13" x14ac:dyDescent="0.25">
      <c r="A36" s="10" t="s">
        <v>3316</v>
      </c>
      <c r="B36" s="11">
        <v>46002</v>
      </c>
      <c r="C36" s="10" t="s">
        <v>1774</v>
      </c>
      <c r="D36" s="10" t="s">
        <v>1775</v>
      </c>
      <c r="E36" s="12">
        <v>113559.73</v>
      </c>
      <c r="F36" s="10" t="s">
        <v>1844</v>
      </c>
      <c r="G36" s="10">
        <v>110154.51</v>
      </c>
      <c r="H36" s="10">
        <v>11029.19000099999</v>
      </c>
      <c r="I36" s="10">
        <v>0.20824928120666561</v>
      </c>
      <c r="J36" s="10">
        <v>-1</v>
      </c>
      <c r="K36" s="10" t="s">
        <v>3474</v>
      </c>
      <c r="L36" s="10">
        <v>3405.2199999999871</v>
      </c>
      <c r="M36" s="10" t="s">
        <v>3475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 tint="0.79998168889431442"/>
  </sheetPr>
  <dimension ref="A1:H2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2" width="13" customWidth="1"/>
    <col min="3" max="8" width="19" customWidth="1"/>
  </cols>
  <sheetData>
    <row r="1" spans="1:8" ht="30" customHeight="1" x14ac:dyDescent="0.25">
      <c r="A1" s="16" t="s">
        <v>3</v>
      </c>
      <c r="B1" s="16" t="s">
        <v>3476</v>
      </c>
      <c r="C1" s="16" t="s">
        <v>3477</v>
      </c>
      <c r="D1" s="16" t="s">
        <v>3478</v>
      </c>
      <c r="E1" s="16" t="s">
        <v>3479</v>
      </c>
      <c r="F1" s="16" t="s">
        <v>3480</v>
      </c>
      <c r="G1" s="16" t="s">
        <v>3481</v>
      </c>
      <c r="H1" s="16" t="s">
        <v>3482</v>
      </c>
    </row>
    <row r="2" spans="1:8" x14ac:dyDescent="0.25">
      <c r="A2" s="11">
        <v>45292</v>
      </c>
      <c r="B2" s="10">
        <v>0</v>
      </c>
      <c r="C2" s="10">
        <v>0</v>
      </c>
      <c r="D2" s="12">
        <v>0</v>
      </c>
      <c r="E2" s="12">
        <v>892257.08</v>
      </c>
      <c r="F2" s="12">
        <f t="shared" ref="F2:F25" si="0">D2-E2</f>
        <v>-892257.08</v>
      </c>
      <c r="G2" s="12">
        <v>2500000</v>
      </c>
      <c r="H2" s="12">
        <f t="shared" ref="H2:H25" si="1">G2+F2</f>
        <v>1607742.92</v>
      </c>
    </row>
    <row r="3" spans="1:8" x14ac:dyDescent="0.25">
      <c r="A3" s="14">
        <v>45323</v>
      </c>
      <c r="B3" s="13">
        <v>1498657.43</v>
      </c>
      <c r="C3" s="13">
        <v>23540.173472798611</v>
      </c>
      <c r="D3" s="15">
        <v>1522197.6034727991</v>
      </c>
      <c r="E3" s="15">
        <v>952090.14</v>
      </c>
      <c r="F3" s="15">
        <f t="shared" si="0"/>
        <v>570107.46347279905</v>
      </c>
      <c r="G3" s="15">
        <f t="shared" ref="G3:G25" si="2">H2</f>
        <v>1607742.92</v>
      </c>
      <c r="H3" s="15">
        <f t="shared" si="1"/>
        <v>2177850.3834727989</v>
      </c>
    </row>
    <row r="4" spans="1:8" x14ac:dyDescent="0.25">
      <c r="A4" s="11">
        <v>45352</v>
      </c>
      <c r="B4" s="10">
        <v>2156419.88</v>
      </c>
      <c r="C4" s="10">
        <v>71414.733170549342</v>
      </c>
      <c r="D4" s="12">
        <v>2227834.6131705488</v>
      </c>
      <c r="E4" s="12">
        <v>1005827.95</v>
      </c>
      <c r="F4" s="12">
        <f t="shared" si="0"/>
        <v>1222006.6631705489</v>
      </c>
      <c r="G4" s="12">
        <f t="shared" si="2"/>
        <v>2177850.3834727989</v>
      </c>
      <c r="H4" s="12">
        <f t="shared" si="1"/>
        <v>3399857.0466433475</v>
      </c>
    </row>
    <row r="5" spans="1:8" x14ac:dyDescent="0.25">
      <c r="A5" s="14">
        <v>45383</v>
      </c>
      <c r="B5" s="13">
        <v>1818535.05</v>
      </c>
      <c r="C5" s="13">
        <v>59150.34114067629</v>
      </c>
      <c r="D5" s="15">
        <v>1877685.3911406761</v>
      </c>
      <c r="E5" s="15">
        <v>1021078.5</v>
      </c>
      <c r="F5" s="15">
        <f t="shared" si="0"/>
        <v>856606.8911406761</v>
      </c>
      <c r="G5" s="15">
        <f t="shared" si="2"/>
        <v>3399857.0466433475</v>
      </c>
      <c r="H5" s="15">
        <f t="shared" si="1"/>
        <v>4256463.9377840236</v>
      </c>
    </row>
    <row r="6" spans="1:8" x14ac:dyDescent="0.25">
      <c r="A6" s="11">
        <v>45413</v>
      </c>
      <c r="B6" s="10">
        <v>2217910.11</v>
      </c>
      <c r="C6" s="10">
        <v>41466.890262167697</v>
      </c>
      <c r="D6" s="12">
        <v>2259377.0002621678</v>
      </c>
      <c r="E6" s="12">
        <v>999020.26</v>
      </c>
      <c r="F6" s="12">
        <f t="shared" si="0"/>
        <v>1260356.7402621678</v>
      </c>
      <c r="G6" s="12">
        <f t="shared" si="2"/>
        <v>4256463.9377840236</v>
      </c>
      <c r="H6" s="12">
        <f t="shared" si="1"/>
        <v>5516820.6780461911</v>
      </c>
    </row>
    <row r="7" spans="1:8" x14ac:dyDescent="0.25">
      <c r="A7" s="14">
        <v>45444</v>
      </c>
      <c r="B7" s="13">
        <v>1754014.89</v>
      </c>
      <c r="C7" s="13">
        <v>35618.520418276043</v>
      </c>
      <c r="D7" s="15">
        <v>1789633.410418276</v>
      </c>
      <c r="E7" s="15">
        <v>972648.57000000007</v>
      </c>
      <c r="F7" s="15">
        <f t="shared" si="0"/>
        <v>816984.84041827591</v>
      </c>
      <c r="G7" s="15">
        <f t="shared" si="2"/>
        <v>5516820.6780461911</v>
      </c>
      <c r="H7" s="15">
        <f t="shared" si="1"/>
        <v>6333805.5184644666</v>
      </c>
    </row>
    <row r="8" spans="1:8" x14ac:dyDescent="0.25">
      <c r="A8" s="11">
        <v>45474</v>
      </c>
      <c r="B8" s="10">
        <v>3112048.1</v>
      </c>
      <c r="C8" s="10">
        <v>58416.726139035942</v>
      </c>
      <c r="D8" s="12">
        <v>3170464.8261390361</v>
      </c>
      <c r="E8" s="12">
        <v>924314.79</v>
      </c>
      <c r="F8" s="12">
        <f t="shared" si="0"/>
        <v>2246150.0361390361</v>
      </c>
      <c r="G8" s="12">
        <f t="shared" si="2"/>
        <v>6333805.5184644666</v>
      </c>
      <c r="H8" s="12">
        <f t="shared" si="1"/>
        <v>8579955.5546035022</v>
      </c>
    </row>
    <row r="9" spans="1:8" x14ac:dyDescent="0.25">
      <c r="A9" s="14">
        <v>45505</v>
      </c>
      <c r="B9" s="13">
        <v>1617432.31</v>
      </c>
      <c r="C9" s="13">
        <v>47537.452879553122</v>
      </c>
      <c r="D9" s="15">
        <v>1664969.762879553</v>
      </c>
      <c r="E9" s="15">
        <v>843246.09</v>
      </c>
      <c r="F9" s="15">
        <f t="shared" si="0"/>
        <v>821723.67287955305</v>
      </c>
      <c r="G9" s="15">
        <f t="shared" si="2"/>
        <v>8579955.5546035022</v>
      </c>
      <c r="H9" s="15">
        <f t="shared" si="1"/>
        <v>9401679.2274830546</v>
      </c>
    </row>
    <row r="10" spans="1:8" x14ac:dyDescent="0.25">
      <c r="A10" s="11">
        <v>45536</v>
      </c>
      <c r="B10" s="10">
        <v>2296144.77</v>
      </c>
      <c r="C10" s="10">
        <v>45923.303387692817</v>
      </c>
      <c r="D10" s="12">
        <v>2342068.0733876931</v>
      </c>
      <c r="E10" s="12">
        <v>853380.45000000007</v>
      </c>
      <c r="F10" s="12">
        <f t="shared" si="0"/>
        <v>1488687.623387693</v>
      </c>
      <c r="G10" s="12">
        <f t="shared" si="2"/>
        <v>9401679.2274830546</v>
      </c>
      <c r="H10" s="12">
        <f t="shared" si="1"/>
        <v>10890366.850870747</v>
      </c>
    </row>
    <row r="11" spans="1:8" x14ac:dyDescent="0.25">
      <c r="A11" s="14">
        <v>45566</v>
      </c>
      <c r="B11" s="13">
        <v>1893766.35</v>
      </c>
      <c r="C11" s="13">
        <v>63685.459394781443</v>
      </c>
      <c r="D11" s="15">
        <v>1957451.809394781</v>
      </c>
      <c r="E11" s="15">
        <v>844573.46</v>
      </c>
      <c r="F11" s="15">
        <f t="shared" si="0"/>
        <v>1112878.349394781</v>
      </c>
      <c r="G11" s="15">
        <f t="shared" si="2"/>
        <v>10890366.850870747</v>
      </c>
      <c r="H11" s="15">
        <f t="shared" si="1"/>
        <v>12003245.200265529</v>
      </c>
    </row>
    <row r="12" spans="1:8" x14ac:dyDescent="0.25">
      <c r="A12" s="11">
        <v>45597</v>
      </c>
      <c r="B12" s="10">
        <v>2599084.34</v>
      </c>
      <c r="C12" s="10">
        <v>82008.441612337861</v>
      </c>
      <c r="D12" s="12">
        <v>2681092.781612338</v>
      </c>
      <c r="E12" s="12">
        <v>853375.48</v>
      </c>
      <c r="F12" s="12">
        <f t="shared" si="0"/>
        <v>1827717.3016123381</v>
      </c>
      <c r="G12" s="12">
        <f t="shared" si="2"/>
        <v>12003245.200265529</v>
      </c>
      <c r="H12" s="12">
        <f t="shared" si="1"/>
        <v>13830962.501877867</v>
      </c>
    </row>
    <row r="13" spans="1:8" x14ac:dyDescent="0.25">
      <c r="A13" s="14">
        <v>45627</v>
      </c>
      <c r="B13" s="13">
        <v>2048794.4</v>
      </c>
      <c r="C13" s="13">
        <v>54842.174702368648</v>
      </c>
      <c r="D13" s="15">
        <v>2103636.574702369</v>
      </c>
      <c r="E13" s="15">
        <v>877812.08</v>
      </c>
      <c r="F13" s="15">
        <f t="shared" si="0"/>
        <v>1225824.494702369</v>
      </c>
      <c r="G13" s="15">
        <f t="shared" si="2"/>
        <v>13830962.501877867</v>
      </c>
      <c r="H13" s="15">
        <f t="shared" si="1"/>
        <v>15056786.996580236</v>
      </c>
    </row>
    <row r="14" spans="1:8" x14ac:dyDescent="0.25">
      <c r="A14" s="11">
        <v>45658</v>
      </c>
      <c r="B14" s="10">
        <v>2105588.4700000002</v>
      </c>
      <c r="C14" s="10">
        <v>31960.231507989269</v>
      </c>
      <c r="D14" s="12">
        <v>2137548.7015079889</v>
      </c>
      <c r="E14" s="12">
        <v>918898.23</v>
      </c>
      <c r="F14" s="12">
        <f t="shared" si="0"/>
        <v>1218650.4715079889</v>
      </c>
      <c r="G14" s="12">
        <f t="shared" si="2"/>
        <v>15056786.996580236</v>
      </c>
      <c r="H14" s="12">
        <f t="shared" si="1"/>
        <v>16275437.468088225</v>
      </c>
    </row>
    <row r="15" spans="1:8" x14ac:dyDescent="0.25">
      <c r="A15" s="14">
        <v>45689</v>
      </c>
      <c r="B15" s="13">
        <v>1952752.6399999999</v>
      </c>
      <c r="C15" s="13">
        <v>63803.044925347589</v>
      </c>
      <c r="D15" s="15">
        <v>2016555.684925348</v>
      </c>
      <c r="E15" s="15">
        <v>988952.42</v>
      </c>
      <c r="F15" s="15">
        <f t="shared" si="0"/>
        <v>1027603.264925348</v>
      </c>
      <c r="G15" s="15">
        <f t="shared" si="2"/>
        <v>16275437.468088225</v>
      </c>
      <c r="H15" s="15">
        <f t="shared" si="1"/>
        <v>17303040.733013574</v>
      </c>
    </row>
    <row r="16" spans="1:8" x14ac:dyDescent="0.25">
      <c r="A16" s="11">
        <v>45717</v>
      </c>
      <c r="B16" s="10">
        <v>2675481.7400000002</v>
      </c>
      <c r="C16" s="10">
        <v>79074.486027403676</v>
      </c>
      <c r="D16" s="12">
        <v>2754556.226027404</v>
      </c>
      <c r="E16" s="12">
        <v>959598.11</v>
      </c>
      <c r="F16" s="12">
        <f t="shared" si="0"/>
        <v>1794958.1160274041</v>
      </c>
      <c r="G16" s="12">
        <f t="shared" si="2"/>
        <v>17303040.733013574</v>
      </c>
      <c r="H16" s="12">
        <f t="shared" si="1"/>
        <v>19097998.849040978</v>
      </c>
    </row>
    <row r="17" spans="1:8" x14ac:dyDescent="0.25">
      <c r="A17" s="14">
        <v>45748</v>
      </c>
      <c r="B17" s="13">
        <v>2270941.16</v>
      </c>
      <c r="C17" s="13">
        <v>69849.944141468266</v>
      </c>
      <c r="D17" s="15">
        <v>2340791.1041414682</v>
      </c>
      <c r="E17" s="15">
        <v>1044688.37</v>
      </c>
      <c r="F17" s="15">
        <f t="shared" si="0"/>
        <v>1296102.7341414681</v>
      </c>
      <c r="G17" s="15">
        <f t="shared" si="2"/>
        <v>19097998.849040978</v>
      </c>
      <c r="H17" s="15">
        <f t="shared" si="1"/>
        <v>20394101.583182447</v>
      </c>
    </row>
    <row r="18" spans="1:8" x14ac:dyDescent="0.25">
      <c r="A18" s="11">
        <v>45778</v>
      </c>
      <c r="B18" s="10">
        <v>2877488.6</v>
      </c>
      <c r="C18" s="10">
        <v>47295.853146971451</v>
      </c>
      <c r="D18" s="12">
        <v>2924784.4531469722</v>
      </c>
      <c r="E18" s="12">
        <v>934225.84</v>
      </c>
      <c r="F18" s="12">
        <f t="shared" si="0"/>
        <v>1990558.6131469724</v>
      </c>
      <c r="G18" s="12">
        <f t="shared" si="2"/>
        <v>20394101.583182447</v>
      </c>
      <c r="H18" s="12">
        <f t="shared" si="1"/>
        <v>22384660.196329419</v>
      </c>
    </row>
    <row r="19" spans="1:8" x14ac:dyDescent="0.25">
      <c r="A19" s="14">
        <v>45809</v>
      </c>
      <c r="B19" s="13">
        <v>2842242.96</v>
      </c>
      <c r="C19" s="13">
        <v>82911.647510801078</v>
      </c>
      <c r="D19" s="15">
        <v>2925154.6075108009</v>
      </c>
      <c r="E19" s="15">
        <v>965450.63</v>
      </c>
      <c r="F19" s="15">
        <f t="shared" si="0"/>
        <v>1959703.9775108011</v>
      </c>
      <c r="G19" s="15">
        <f t="shared" si="2"/>
        <v>22384660.196329419</v>
      </c>
      <c r="H19" s="15">
        <f t="shared" si="1"/>
        <v>24344364.173840221</v>
      </c>
    </row>
    <row r="20" spans="1:8" x14ac:dyDescent="0.25">
      <c r="A20" s="11">
        <v>45839</v>
      </c>
      <c r="B20" s="10">
        <v>2390342.27</v>
      </c>
      <c r="C20" s="10">
        <v>74320.018626016827</v>
      </c>
      <c r="D20" s="12">
        <v>2464662.288626017</v>
      </c>
      <c r="E20" s="12">
        <v>878279.5</v>
      </c>
      <c r="F20" s="12">
        <f t="shared" si="0"/>
        <v>1586382.788626017</v>
      </c>
      <c r="G20" s="12">
        <f t="shared" si="2"/>
        <v>24344364.173840221</v>
      </c>
      <c r="H20" s="12">
        <f t="shared" si="1"/>
        <v>25930746.96246624</v>
      </c>
    </row>
    <row r="21" spans="1:8" x14ac:dyDescent="0.25">
      <c r="A21" s="14">
        <v>45870</v>
      </c>
      <c r="B21" s="13">
        <v>1583687.07</v>
      </c>
      <c r="C21" s="13">
        <v>54055.526935015463</v>
      </c>
      <c r="D21" s="15">
        <v>1637742.5969350161</v>
      </c>
      <c r="E21" s="15">
        <v>873788.38</v>
      </c>
      <c r="F21" s="15">
        <f t="shared" si="0"/>
        <v>763954.2169350161</v>
      </c>
      <c r="G21" s="15">
        <f t="shared" si="2"/>
        <v>25930746.96246624</v>
      </c>
      <c r="H21" s="15">
        <f t="shared" si="1"/>
        <v>26694701.179401256</v>
      </c>
    </row>
    <row r="22" spans="1:8" x14ac:dyDescent="0.25">
      <c r="A22" s="11">
        <v>45901</v>
      </c>
      <c r="B22" s="10">
        <v>1564026.38</v>
      </c>
      <c r="C22" s="10">
        <v>41617.81834485603</v>
      </c>
      <c r="D22" s="12">
        <v>1605644.198344856</v>
      </c>
      <c r="E22" s="12">
        <v>839260.45000000007</v>
      </c>
      <c r="F22" s="12">
        <f t="shared" si="0"/>
        <v>766383.74834485597</v>
      </c>
      <c r="G22" s="12">
        <f t="shared" si="2"/>
        <v>26694701.179401256</v>
      </c>
      <c r="H22" s="12">
        <f t="shared" si="1"/>
        <v>27461084.927746113</v>
      </c>
    </row>
    <row r="23" spans="1:8" x14ac:dyDescent="0.25">
      <c r="A23" s="14">
        <v>45931</v>
      </c>
      <c r="B23" s="13">
        <v>1830590.96</v>
      </c>
      <c r="C23" s="13">
        <v>46059.200831430477</v>
      </c>
      <c r="D23" s="15">
        <v>1876650.16083143</v>
      </c>
      <c r="E23" s="15">
        <v>845217.46</v>
      </c>
      <c r="F23" s="15">
        <f t="shared" si="0"/>
        <v>1031432.70083143</v>
      </c>
      <c r="G23" s="15">
        <f t="shared" si="2"/>
        <v>27461084.927746113</v>
      </c>
      <c r="H23" s="15">
        <f t="shared" si="1"/>
        <v>28492517.628577545</v>
      </c>
    </row>
    <row r="24" spans="1:8" x14ac:dyDescent="0.25">
      <c r="A24" s="11">
        <v>45962</v>
      </c>
      <c r="B24" s="10">
        <v>2298243.2400000002</v>
      </c>
      <c r="C24" s="10">
        <v>54026.954537872582</v>
      </c>
      <c r="D24" s="12">
        <v>2352270.1945378729</v>
      </c>
      <c r="E24" s="12">
        <v>865606.54</v>
      </c>
      <c r="F24" s="12">
        <f t="shared" si="0"/>
        <v>1486663.6545378729</v>
      </c>
      <c r="G24" s="12">
        <f t="shared" si="2"/>
        <v>28492517.628577545</v>
      </c>
      <c r="H24" s="12">
        <f t="shared" si="1"/>
        <v>29979181.283115417</v>
      </c>
    </row>
    <row r="25" spans="1:8" x14ac:dyDescent="0.25">
      <c r="A25" s="14">
        <v>45992</v>
      </c>
      <c r="B25" s="13">
        <v>2263449.69</v>
      </c>
      <c r="C25" s="13">
        <v>65698.333031604838</v>
      </c>
      <c r="D25" s="15">
        <v>2329148.0230316049</v>
      </c>
      <c r="E25" s="15">
        <v>895190.78</v>
      </c>
      <c r="F25" s="15">
        <f t="shared" si="0"/>
        <v>1433957.2430316049</v>
      </c>
      <c r="G25" s="15">
        <f t="shared" si="2"/>
        <v>29979181.283115417</v>
      </c>
      <c r="H25" s="15">
        <f t="shared" si="1"/>
        <v>31413138.526147023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 tint="0.79998168889431442"/>
  </sheetPr>
  <dimension ref="A1:I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2" width="22" customWidth="1"/>
    <col min="3" max="3" width="19" customWidth="1"/>
    <col min="4" max="4" width="20" customWidth="1"/>
    <col min="5" max="5" width="19" customWidth="1"/>
    <col min="6" max="6" width="22" customWidth="1"/>
    <col min="7" max="7" width="21" customWidth="1"/>
    <col min="8" max="8" width="26" customWidth="1"/>
    <col min="9" max="9" width="25" customWidth="1"/>
  </cols>
  <sheetData>
    <row r="1" spans="1:9" ht="30" customHeight="1" x14ac:dyDescent="0.25">
      <c r="A1" s="18" t="s">
        <v>3</v>
      </c>
      <c r="B1" s="18" t="s">
        <v>3483</v>
      </c>
      <c r="C1" s="18" t="s">
        <v>3484</v>
      </c>
      <c r="D1" s="18" t="s">
        <v>3485</v>
      </c>
      <c r="E1" s="18" t="s">
        <v>3486</v>
      </c>
      <c r="F1" s="18" t="s">
        <v>3487</v>
      </c>
      <c r="G1" s="18" t="s">
        <v>3488</v>
      </c>
      <c r="H1" s="18" t="s">
        <v>3489</v>
      </c>
      <c r="I1" s="18" t="s">
        <v>3490</v>
      </c>
    </row>
    <row r="2" spans="1:9" x14ac:dyDescent="0.25">
      <c r="A2" s="11">
        <v>46023</v>
      </c>
      <c r="B2" s="12">
        <v>2130761.2966666669</v>
      </c>
      <c r="C2" s="12">
        <v>868671.59333333338</v>
      </c>
      <c r="D2" s="12">
        <v>1262089.7033333341</v>
      </c>
      <c r="E2" s="12">
        <v>32675228.22948036</v>
      </c>
      <c r="F2" s="12">
        <v>855608.34950000013</v>
      </c>
      <c r="G2" s="12">
        <v>32268746.87564702</v>
      </c>
      <c r="H2" s="12">
        <v>1561214.6386000011</v>
      </c>
      <c r="I2" s="12">
        <v>32974353.164747018</v>
      </c>
    </row>
    <row r="3" spans="1:9" x14ac:dyDescent="0.25">
      <c r="A3" s="14">
        <v>46054</v>
      </c>
      <c r="B3" s="15">
        <v>2130761.2966666669</v>
      </c>
      <c r="C3" s="15">
        <v>868671.59333333338</v>
      </c>
      <c r="D3" s="15">
        <v>1262089.7033333341</v>
      </c>
      <c r="E3" s="15">
        <v>33937317.932813689</v>
      </c>
      <c r="F3" s="15">
        <v>855608.34950000013</v>
      </c>
      <c r="G3" s="15">
        <v>33124355.22514702</v>
      </c>
      <c r="H3" s="15">
        <v>1561214.6386000011</v>
      </c>
      <c r="I3" s="15">
        <v>34535567.803347021</v>
      </c>
    </row>
    <row r="4" spans="1:9" x14ac:dyDescent="0.25">
      <c r="A4" s="11">
        <v>46082</v>
      </c>
      <c r="B4" s="12">
        <v>2130761.2966666669</v>
      </c>
      <c r="C4" s="12">
        <v>868671.59333333338</v>
      </c>
      <c r="D4" s="12">
        <v>1262089.7033333341</v>
      </c>
      <c r="E4" s="12">
        <v>35199407.636147022</v>
      </c>
      <c r="F4" s="12">
        <v>855608.34950000013</v>
      </c>
      <c r="G4" s="12">
        <v>33979963.574647017</v>
      </c>
      <c r="H4" s="12">
        <v>1561214.6386000011</v>
      </c>
      <c r="I4" s="12">
        <v>36096782.441947028</v>
      </c>
    </row>
    <row r="5" spans="1:9" x14ac:dyDescent="0.25">
      <c r="A5" s="14">
        <v>46113</v>
      </c>
      <c r="B5" s="15">
        <v>2130761.2966666669</v>
      </c>
      <c r="C5" s="15">
        <v>868671.59333333338</v>
      </c>
      <c r="D5" s="15">
        <v>1262089.7033333341</v>
      </c>
      <c r="E5" s="15">
        <v>36461497.339480363</v>
      </c>
      <c r="F5" s="15">
        <v>855608.34950000013</v>
      </c>
      <c r="G5" s="15">
        <v>34835571.924147017</v>
      </c>
      <c r="H5" s="15">
        <v>1561214.6386000011</v>
      </c>
      <c r="I5" s="15">
        <v>37657997.080547027</v>
      </c>
    </row>
    <row r="6" spans="1:9" x14ac:dyDescent="0.25">
      <c r="A6" s="11">
        <v>46143</v>
      </c>
      <c r="B6" s="12">
        <v>2130761.2966666669</v>
      </c>
      <c r="C6" s="12">
        <v>868671.59333333338</v>
      </c>
      <c r="D6" s="12">
        <v>1262089.7033333341</v>
      </c>
      <c r="E6" s="12">
        <v>37723587.042813689</v>
      </c>
      <c r="F6" s="12">
        <v>855608.34950000013</v>
      </c>
      <c r="G6" s="12">
        <v>35691180.273647033</v>
      </c>
      <c r="H6" s="12">
        <v>1561214.6386000011</v>
      </c>
      <c r="I6" s="12">
        <v>39219211.719147027</v>
      </c>
    </row>
    <row r="7" spans="1:9" x14ac:dyDescent="0.25">
      <c r="A7" s="14">
        <v>46174</v>
      </c>
      <c r="B7" s="15">
        <v>2130761.2966666669</v>
      </c>
      <c r="C7" s="15">
        <v>868671.59333333338</v>
      </c>
      <c r="D7" s="15">
        <v>1262089.7033333341</v>
      </c>
      <c r="E7" s="15">
        <v>38985676.746147022</v>
      </c>
      <c r="F7" s="15">
        <v>855608.34950000013</v>
      </c>
      <c r="G7" s="15">
        <v>36546788.623147033</v>
      </c>
      <c r="H7" s="15">
        <v>1561214.6386000011</v>
      </c>
      <c r="I7" s="15">
        <v>40780426.357747033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 tint="0.79998168889431442"/>
  </sheetPr>
  <dimension ref="A1:B12"/>
  <sheetViews>
    <sheetView showGridLines="0" workbookViewId="0">
      <pane ySplit="1" topLeftCell="A2" activePane="bottomLeft" state="frozen"/>
      <selection pane="bottomLeft" activeCell="B7" sqref="B7"/>
    </sheetView>
  </sheetViews>
  <sheetFormatPr defaultRowHeight="15" x14ac:dyDescent="0.25"/>
  <cols>
    <col min="1" max="1" width="32" customWidth="1"/>
    <col min="2" max="2" width="24" customWidth="1"/>
  </cols>
  <sheetData>
    <row r="1" spans="1:2" ht="30" customHeight="1" x14ac:dyDescent="0.25">
      <c r="A1" s="9" t="s">
        <v>3491</v>
      </c>
      <c r="B1" s="9" t="s">
        <v>3492</v>
      </c>
    </row>
    <row r="2" spans="1:2" x14ac:dyDescent="0.25">
      <c r="A2" s="24" t="s">
        <v>15</v>
      </c>
      <c r="B2" s="29">
        <f>IFERROR(SUM(Clean_AR_Data!$H:$H)/(SUM(Clean_AR_Data!$F:$F)/365),0)</f>
        <v>91.664225820291279</v>
      </c>
    </row>
    <row r="3" spans="1:2" x14ac:dyDescent="0.25">
      <c r="A3" s="24" t="s">
        <v>3493</v>
      </c>
      <c r="B3" s="29">
        <v>42</v>
      </c>
    </row>
    <row r="4" spans="1:2" x14ac:dyDescent="0.25">
      <c r="A4" s="24" t="s">
        <v>3494</v>
      </c>
      <c r="B4" s="29">
        <v>18</v>
      </c>
    </row>
    <row r="5" spans="1:2" x14ac:dyDescent="0.25">
      <c r="A5" s="24" t="s">
        <v>3495</v>
      </c>
      <c r="B5" s="30">
        <f>B2+B3-B4</f>
        <v>115.66422582029128</v>
      </c>
    </row>
    <row r="6" spans="1:2" x14ac:dyDescent="0.25">
      <c r="A6" s="24" t="s">
        <v>3496</v>
      </c>
      <c r="B6" s="31">
        <v>74.886513473892734</v>
      </c>
    </row>
    <row r="7" spans="1:2" x14ac:dyDescent="0.25">
      <c r="A7" s="24" t="s">
        <v>3497</v>
      </c>
      <c r="B7" s="30">
        <v>17303752.149999999</v>
      </c>
    </row>
    <row r="8" spans="1:2" x14ac:dyDescent="0.25">
      <c r="A8" s="24" t="s">
        <v>3498</v>
      </c>
      <c r="B8" s="30">
        <v>31413138.526147019</v>
      </c>
    </row>
    <row r="9" spans="1:2" x14ac:dyDescent="0.25">
      <c r="A9" s="24" t="s">
        <v>3499</v>
      </c>
      <c r="B9" s="30">
        <v>0</v>
      </c>
    </row>
    <row r="10" spans="1:2" x14ac:dyDescent="0.25">
      <c r="A10" s="24" t="s">
        <v>3500</v>
      </c>
      <c r="B10" s="30">
        <v>1</v>
      </c>
    </row>
    <row r="11" spans="1:2" x14ac:dyDescent="0.25">
      <c r="A11" s="24" t="s">
        <v>16</v>
      </c>
      <c r="B11" s="29">
        <f>MIN(100,ROUND((B2&gt;90)*35+(B2&gt;60)*(B2&lt;=90)*25+(B7&gt;0)*(B7/SUM(Clean_AR_Data!$H:$H)&gt;30%)*25+(B6&lt;70%)*20,0))</f>
        <v>60</v>
      </c>
    </row>
    <row r="12" spans="1:2" x14ac:dyDescent="0.25">
      <c r="A12" s="24" t="s">
        <v>17</v>
      </c>
      <c r="B12" s="25" t="str">
        <f>IF(B11&gt;=70,"High",IF(B11&gt;=40,"Medium","Low"))</f>
        <v>Medium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 tint="0.79998168889431442"/>
  </sheetPr>
  <dimension ref="A1:R16"/>
  <sheetViews>
    <sheetView topLeftCell="A2" workbookViewId="0">
      <selection activeCell="F5" sqref="F5"/>
    </sheetView>
  </sheetViews>
  <sheetFormatPr defaultRowHeight="15" x14ac:dyDescent="0.25"/>
  <cols>
    <col min="1" max="1" width="20" customWidth="1"/>
    <col min="2" max="2" width="15" customWidth="1"/>
    <col min="3" max="3" width="14" customWidth="1"/>
    <col min="5" max="5" width="22" customWidth="1"/>
    <col min="6" max="6" width="15" customWidth="1"/>
    <col min="7" max="7" width="13" customWidth="1"/>
    <col min="9" max="9" width="22" customWidth="1"/>
    <col min="10" max="10" width="15" customWidth="1"/>
    <col min="11" max="11" width="13" customWidth="1"/>
    <col min="16" max="16" width="15" customWidth="1"/>
    <col min="17" max="17" width="17.5703125" customWidth="1"/>
    <col min="18" max="18" width="18.28515625" customWidth="1"/>
  </cols>
  <sheetData>
    <row r="1" spans="1:18" ht="23.25" customHeight="1" x14ac:dyDescent="0.35">
      <c r="A1" s="48" t="s">
        <v>3501</v>
      </c>
      <c r="B1" s="45"/>
      <c r="C1" s="45"/>
      <c r="D1" s="45"/>
      <c r="E1" s="45"/>
      <c r="F1" s="45"/>
      <c r="G1" s="45"/>
      <c r="H1" s="45"/>
      <c r="I1" s="45"/>
      <c r="J1" s="45"/>
      <c r="K1" s="45"/>
      <c r="P1" t="s">
        <v>3502</v>
      </c>
      <c r="Q1" t="s">
        <v>3503</v>
      </c>
      <c r="R1" t="s">
        <v>3504</v>
      </c>
    </row>
    <row r="2" spans="1:18" x14ac:dyDescent="0.25">
      <c r="P2" t="s">
        <v>3505</v>
      </c>
      <c r="Q2" t="s">
        <v>6</v>
      </c>
    </row>
    <row r="3" spans="1:18" x14ac:dyDescent="0.25">
      <c r="A3" t="s">
        <v>3506</v>
      </c>
      <c r="E3" t="s">
        <v>3507</v>
      </c>
      <c r="I3" t="s">
        <v>3508</v>
      </c>
      <c r="P3" t="s">
        <v>1862</v>
      </c>
      <c r="Q3" t="s">
        <v>1786</v>
      </c>
      <c r="R3" s="6">
        <v>45292</v>
      </c>
    </row>
    <row r="4" spans="1:18" x14ac:dyDescent="0.25">
      <c r="A4" s="32" t="s">
        <v>3</v>
      </c>
      <c r="B4" s="32" t="s">
        <v>3509</v>
      </c>
      <c r="C4" s="32" t="s">
        <v>3510</v>
      </c>
      <c r="D4" s="33"/>
      <c r="E4" s="33" t="s">
        <v>6</v>
      </c>
      <c r="F4" s="33" t="s">
        <v>3509</v>
      </c>
      <c r="G4" s="33" t="s">
        <v>3511</v>
      </c>
      <c r="H4" s="34"/>
      <c r="I4" s="34" t="s">
        <v>4</v>
      </c>
      <c r="J4" s="34" t="s">
        <v>3509</v>
      </c>
      <c r="K4" s="34" t="s">
        <v>3511</v>
      </c>
      <c r="P4" t="s">
        <v>1818</v>
      </c>
      <c r="Q4" t="s">
        <v>1792</v>
      </c>
      <c r="R4" s="6">
        <v>45323</v>
      </c>
    </row>
    <row r="5" spans="1:18" x14ac:dyDescent="0.25">
      <c r="A5" s="6">
        <f>DATE(YEAR(MIN(Clean_Expenses!$B:$B)),1,1)</f>
        <v>45292</v>
      </c>
      <c r="B5" s="7">
        <f>IF(OR(Dashboard!$D$4="All Months",TEXT(A5,"mmm-yy")=TEXT(Dashboard!$D$4,"mmm-yy")),SUMIFS(Clean_Expenses!$E:$E,Clean_Expenses!$B:$B,"&gt;="&amp;A5,Clean_Expenses!$B:$B,"&lt;"&amp;EDATE(A5,1)),0)</f>
        <v>0</v>
      </c>
      <c r="C5" s="35" t="str">
        <f>""</f>
        <v/>
      </c>
      <c r="E5" t="s">
        <v>1786</v>
      </c>
      <c r="F5" s="7">
        <f>IF(OR(Dashboard!$J$4="All Categories",E5=Dashboard!$J$4),SUMIFS(Clean_Expenses!$E:$E,Clean_Expenses!$D:$D,E5),0)</f>
        <v>1779638.0399999998</v>
      </c>
      <c r="G5" s="35">
        <f t="shared" ref="G5:G13" si="0">IFERROR(F5/SUM($F$5:$F$13),0)</f>
        <v>8.071366824317161E-2</v>
      </c>
      <c r="I5" t="s">
        <v>1862</v>
      </c>
      <c r="J5" s="7">
        <f>IF(OR(Dashboard!$G$4="All Departments",I5=Dashboard!$G$4),SUMIFS(Clean_Expenses!$E:$E,Clean_Expenses!$C:$C,I5),0)</f>
        <v>2027783.8899999992</v>
      </c>
      <c r="K5" s="35">
        <f t="shared" ref="K5:K11" si="1">IFERROR(J5/SUM($J$5:$J$11),0)</f>
        <v>9.1968070184826972E-2</v>
      </c>
      <c r="P5" t="s">
        <v>1799</v>
      </c>
      <c r="Q5" t="s">
        <v>1797</v>
      </c>
      <c r="R5" s="6">
        <v>45352</v>
      </c>
    </row>
    <row r="6" spans="1:18" x14ac:dyDescent="0.25">
      <c r="A6" s="6">
        <f>DATE(YEAR(MIN(Clean_Expenses!$B:$B)),2,1)</f>
        <v>45323</v>
      </c>
      <c r="B6" s="7">
        <f>IF(OR(Dashboard!$D$4="All Months",TEXT(A6,"mmm-yy")=TEXT(Dashboard!$D$4,"mmm-yy")),SUMIFS(Clean_Expenses!$E:$E,Clean_Expenses!$B:$B,"&gt;="&amp;A6,Clean_Expenses!$B:$B,"&lt;"&amp;EDATE(A6,1)),0)</f>
        <v>0</v>
      </c>
      <c r="C6" s="35">
        <f t="shared" ref="C6:C16" si="2">IFERROR(B6/B5-1,0)</f>
        <v>0</v>
      </c>
      <c r="E6" t="s">
        <v>1792</v>
      </c>
      <c r="F6" s="7">
        <f>IF(OR(Dashboard!$J$4="All Categories",E6=Dashboard!$J$4),SUMIFS(Clean_Expenses!$E:$E,Clean_Expenses!$D:$D,E6),0)</f>
        <v>1754240.2800000005</v>
      </c>
      <c r="G6" s="35">
        <f t="shared" si="0"/>
        <v>7.9561778741663966E-2</v>
      </c>
      <c r="I6" t="s">
        <v>1818</v>
      </c>
      <c r="J6" s="7">
        <f>IF(OR(Dashboard!$G$4="All Departments",I6=Dashboard!$G$4),SUMIFS(Clean_Expenses!$E:$E,Clean_Expenses!$C:$C,I6),0)</f>
        <v>1814899.1099999999</v>
      </c>
      <c r="K6" s="35">
        <f t="shared" si="1"/>
        <v>8.2312898110093999E-2</v>
      </c>
      <c r="P6" t="s">
        <v>1774</v>
      </c>
      <c r="Q6" t="s">
        <v>1778</v>
      </c>
      <c r="R6" s="6">
        <v>45383</v>
      </c>
    </row>
    <row r="7" spans="1:18" x14ac:dyDescent="0.25">
      <c r="A7" s="6">
        <f>DATE(YEAR(MIN(Clean_Expenses!$B:$B)),3,1)</f>
        <v>45352</v>
      </c>
      <c r="B7" s="7">
        <f>IF(OR(Dashboard!$D$4="All Months",TEXT(A7,"mmm-yy")=TEXT(Dashboard!$D$4,"mmm-yy")),SUMIFS(Clean_Expenses!$E:$E,Clean_Expenses!$B:$B,"&gt;="&amp;A7,Clean_Expenses!$B:$B,"&lt;"&amp;EDATE(A7,1)),0)</f>
        <v>0</v>
      </c>
      <c r="C7" s="35">
        <f t="shared" si="2"/>
        <v>0</v>
      </c>
      <c r="E7" t="s">
        <v>1797</v>
      </c>
      <c r="F7" s="7">
        <f>IF(OR(Dashboard!$J$4="All Categories",E7=Dashboard!$J$4),SUMIFS(Clean_Expenses!$E:$E,Clean_Expenses!$D:$D,E7),0)</f>
        <v>657455.57999999984</v>
      </c>
      <c r="G7" s="35">
        <f t="shared" si="0"/>
        <v>2.9818227288927791E-2</v>
      </c>
      <c r="I7" t="s">
        <v>1799</v>
      </c>
      <c r="J7" s="7">
        <f>IF(OR(Dashboard!$G$4="All Departments",I7=Dashboard!$G$4),SUMIFS(Clean_Expenses!$E:$E,Clean_Expenses!$C:$C,I7),0)</f>
        <v>2190417.9700000016</v>
      </c>
      <c r="K7" s="35">
        <f t="shared" si="1"/>
        <v>9.93441730119803E-2</v>
      </c>
      <c r="P7" t="s">
        <v>1786</v>
      </c>
      <c r="Q7" t="s">
        <v>1775</v>
      </c>
      <c r="R7" s="6">
        <v>45413</v>
      </c>
    </row>
    <row r="8" spans="1:18" x14ac:dyDescent="0.25">
      <c r="A8" s="6">
        <f>DATE(YEAR(MIN(Clean_Expenses!$B:$B)),4,1)</f>
        <v>45383</v>
      </c>
      <c r="B8" s="7">
        <f>IF(OR(Dashboard!$D$4="All Months",TEXT(A8,"mmm-yy")=TEXT(Dashboard!$D$4,"mmm-yy")),SUMIFS(Clean_Expenses!$E:$E,Clean_Expenses!$B:$B,"&gt;="&amp;A8,Clean_Expenses!$B:$B,"&lt;"&amp;EDATE(A8,1)),0)</f>
        <v>0</v>
      </c>
      <c r="C8" s="35">
        <f t="shared" si="2"/>
        <v>0</v>
      </c>
      <c r="E8" t="s">
        <v>1778</v>
      </c>
      <c r="F8" s="7">
        <f>IF(OR(Dashboard!$J$4="All Categories",E8=Dashboard!$J$4),SUMIFS(Clean_Expenses!$E:$E,Clean_Expenses!$D:$D,E8),0)</f>
        <v>2184651.5600000015</v>
      </c>
      <c r="G8" s="35">
        <f t="shared" si="0"/>
        <v>9.9082643367618434E-2</v>
      </c>
      <c r="I8" t="s">
        <v>1774</v>
      </c>
      <c r="J8" s="7">
        <f>IF(OR(Dashboard!$G$4="All Departments",I8=Dashboard!$G$4),SUMIFS(Clean_Expenses!$E:$E,Clean_Expenses!$C:$C,I8),0)</f>
        <v>5119961.5100000016</v>
      </c>
      <c r="K8" s="35">
        <f t="shared" si="1"/>
        <v>0.2322106324137396</v>
      </c>
      <c r="P8" t="s">
        <v>1792</v>
      </c>
      <c r="Q8" t="s">
        <v>1783</v>
      </c>
      <c r="R8" s="6">
        <v>45444</v>
      </c>
    </row>
    <row r="9" spans="1:18" x14ac:dyDescent="0.25">
      <c r="A9" s="6">
        <f>DATE(YEAR(MIN(Clean_Expenses!$B:$B)),5,1)</f>
        <v>45413</v>
      </c>
      <c r="B9" s="7">
        <f>IF(OR(Dashboard!$D$4="All Months",TEXT(A9,"mmm-yy")=TEXT(Dashboard!$D$4,"mmm-yy")),SUMIFS(Clean_Expenses!$E:$E,Clean_Expenses!$B:$B,"&gt;="&amp;A9,Clean_Expenses!$B:$B,"&lt;"&amp;EDATE(A9,1)),0)</f>
        <v>0</v>
      </c>
      <c r="C9" s="35">
        <f t="shared" si="2"/>
        <v>0</v>
      </c>
      <c r="E9" t="s">
        <v>1775</v>
      </c>
      <c r="F9" s="7">
        <f>IF(OR(Dashboard!$J$4="All Categories",E9=Dashboard!$J$4),SUMIFS(Clean_Expenses!$E:$E,Clean_Expenses!$D:$D,E9),0)</f>
        <v>11074963.109999999</v>
      </c>
      <c r="G9" s="35">
        <f t="shared" si="0"/>
        <v>0.5022936564481979</v>
      </c>
      <c r="I9" t="s">
        <v>1786</v>
      </c>
      <c r="J9" s="7">
        <f>IF(OR(Dashboard!$G$4="All Departments",I9=Dashboard!$G$4),SUMIFS(Clean_Expenses!$E:$E,Clean_Expenses!$C:$C,I9),0)</f>
        <v>3519337.3600000017</v>
      </c>
      <c r="K9" s="35">
        <f t="shared" si="1"/>
        <v>0.15961595657442762</v>
      </c>
      <c r="P9" t="s">
        <v>1877</v>
      </c>
      <c r="Q9" t="s">
        <v>1795</v>
      </c>
      <c r="R9" s="6">
        <v>45474</v>
      </c>
    </row>
    <row r="10" spans="1:18" x14ac:dyDescent="0.25">
      <c r="A10" s="6">
        <f>DATE(YEAR(MIN(Clean_Expenses!$B:$B)),6,1)</f>
        <v>45444</v>
      </c>
      <c r="B10" s="7">
        <f>IF(OR(Dashboard!$D$4="All Months",TEXT(A10,"mmm-yy")=TEXT(Dashboard!$D$4,"mmm-yy")),SUMIFS(Clean_Expenses!$E:$E,Clean_Expenses!$B:$B,"&gt;="&amp;A10,Clean_Expenses!$B:$B,"&lt;"&amp;EDATE(A10,1)),0)</f>
        <v>0</v>
      </c>
      <c r="C10" s="35">
        <f t="shared" si="2"/>
        <v>0</v>
      </c>
      <c r="E10" t="s">
        <v>1783</v>
      </c>
      <c r="F10" s="7">
        <f>IF(OR(Dashboard!$J$4="All Categories",E10=Dashboard!$J$4),SUMIFS(Clean_Expenses!$E:$E,Clean_Expenses!$D:$D,E10),0)</f>
        <v>1760247.0099999998</v>
      </c>
      <c r="G10" s="35">
        <f t="shared" si="0"/>
        <v>7.983420785452236E-2</v>
      </c>
      <c r="I10" t="s">
        <v>1792</v>
      </c>
      <c r="J10" s="7">
        <f>IF(OR(Dashboard!$G$4="All Departments",I10=Dashboard!$G$4),SUMIFS(Clean_Expenses!$E:$E,Clean_Expenses!$C:$C,I10),0)</f>
        <v>4236564.540000001</v>
      </c>
      <c r="K10" s="35">
        <f t="shared" si="1"/>
        <v>0.19214506382002541</v>
      </c>
      <c r="Q10" t="s">
        <v>1789</v>
      </c>
      <c r="R10" s="6">
        <v>45505</v>
      </c>
    </row>
    <row r="11" spans="1:18" x14ac:dyDescent="0.25">
      <c r="A11" s="6">
        <f>DATE(YEAR(MIN(Clean_Expenses!$B:$B)),7,1)</f>
        <v>45474</v>
      </c>
      <c r="B11" s="7">
        <f>IF(OR(Dashboard!$D$4="All Months",TEXT(A11,"mmm-yy")=TEXT(Dashboard!$D$4,"mmm-yy")),SUMIFS(Clean_Expenses!$E:$E,Clean_Expenses!$B:$B,"&gt;="&amp;A11,Clean_Expenses!$B:$B,"&lt;"&amp;EDATE(A11,1)),0)</f>
        <v>924314.79</v>
      </c>
      <c r="C11" s="35">
        <f t="shared" si="2"/>
        <v>0</v>
      </c>
      <c r="E11" t="s">
        <v>1795</v>
      </c>
      <c r="F11" s="7">
        <f>IF(OR(Dashboard!$J$4="All Categories",E11=Dashboard!$J$4),SUMIFS(Clean_Expenses!$E:$E,Clean_Expenses!$D:$D,E11),0)</f>
        <v>659136.7999999997</v>
      </c>
      <c r="G11" s="35">
        <f t="shared" si="0"/>
        <v>2.9894477307343768E-2</v>
      </c>
      <c r="I11" t="s">
        <v>1877</v>
      </c>
      <c r="J11" s="7">
        <f>IF(OR(Dashboard!$G$4="All Departments",I11=Dashboard!$G$4),SUMIFS(Clean_Expenses!$E:$E,Clean_Expenses!$C:$C,I11),0)</f>
        <v>3139817.180000002</v>
      </c>
      <c r="K11" s="35">
        <f t="shared" si="1"/>
        <v>0.1424032058849061</v>
      </c>
      <c r="Q11" t="s">
        <v>1780</v>
      </c>
      <c r="R11" s="6">
        <v>45536</v>
      </c>
    </row>
    <row r="12" spans="1:18" x14ac:dyDescent="0.25">
      <c r="A12" s="6">
        <f>DATE(YEAR(MIN(Clean_Expenses!$B:$B)),8,1)</f>
        <v>45505</v>
      </c>
      <c r="B12" s="7">
        <f>IF(OR(Dashboard!$D$4="All Months",TEXT(A12,"mmm-yy")=TEXT(Dashboard!$D$4,"mmm-yy")),SUMIFS(Clean_Expenses!$E:$E,Clean_Expenses!$B:$B,"&gt;="&amp;A12,Clean_Expenses!$B:$B,"&lt;"&amp;EDATE(A12,1)),0)</f>
        <v>0</v>
      </c>
      <c r="C12" s="35">
        <f t="shared" si="2"/>
        <v>-1</v>
      </c>
      <c r="E12" t="s">
        <v>1789</v>
      </c>
      <c r="F12" s="7">
        <f>IF(OR(Dashboard!$J$4="All Categories",E12=Dashboard!$J$4),SUMIFS(Clean_Expenses!$E:$E,Clean_Expenses!$D:$D,E12),0)</f>
        <v>1071176.3600000001</v>
      </c>
      <c r="G12" s="35">
        <f t="shared" si="0"/>
        <v>4.8582111310099992E-2</v>
      </c>
      <c r="R12" s="6">
        <v>45566</v>
      </c>
    </row>
    <row r="13" spans="1:18" x14ac:dyDescent="0.25">
      <c r="A13" s="6">
        <f>DATE(YEAR(MIN(Clean_Expenses!$B:$B)),9,1)</f>
        <v>45536</v>
      </c>
      <c r="B13" s="7">
        <f>IF(OR(Dashboard!$D$4="All Months",TEXT(A13,"mmm-yy")=TEXT(Dashboard!$D$4,"mmm-yy")),SUMIFS(Clean_Expenses!$E:$E,Clean_Expenses!$B:$B,"&gt;="&amp;A13,Clean_Expenses!$B:$B,"&lt;"&amp;EDATE(A13,1)),0)</f>
        <v>0</v>
      </c>
      <c r="C13" s="35">
        <f t="shared" si="2"/>
        <v>0</v>
      </c>
      <c r="E13" t="s">
        <v>1780</v>
      </c>
      <c r="F13" s="7">
        <f>IF(OR(Dashboard!$J$4="All Categories",E13=Dashboard!$J$4),SUMIFS(Clean_Expenses!$E:$E,Clean_Expenses!$D:$D,E13),0)</f>
        <v>1107272.8199999998</v>
      </c>
      <c r="G13" s="35">
        <f t="shared" si="0"/>
        <v>5.0219229438454284E-2</v>
      </c>
      <c r="R13" s="6">
        <v>45597</v>
      </c>
    </row>
    <row r="14" spans="1:18" x14ac:dyDescent="0.25">
      <c r="A14" s="6">
        <f>DATE(YEAR(MIN(Clean_Expenses!$B:$B)),10,1)</f>
        <v>45566</v>
      </c>
      <c r="B14" s="7">
        <f>IF(OR(Dashboard!$D$4="All Months",TEXT(A14,"mmm-yy")=TEXT(Dashboard!$D$4,"mmm-yy")),SUMIFS(Clean_Expenses!$E:$E,Clean_Expenses!$B:$B,"&gt;="&amp;A14,Clean_Expenses!$B:$B,"&lt;"&amp;EDATE(A14,1)),0)</f>
        <v>0</v>
      </c>
      <c r="C14" s="35">
        <f t="shared" si="2"/>
        <v>0</v>
      </c>
      <c r="R14" s="6">
        <v>45627</v>
      </c>
    </row>
    <row r="15" spans="1:18" x14ac:dyDescent="0.25">
      <c r="A15" s="6">
        <f>DATE(YEAR(MIN(Clean_Expenses!$B:$B)),11,1)</f>
        <v>45597</v>
      </c>
      <c r="B15" s="7">
        <f>IF(OR(Dashboard!$D$4="All Months",TEXT(A15,"mmm-yy")=TEXT(Dashboard!$D$4,"mmm-yy")),SUMIFS(Clean_Expenses!$E:$E,Clean_Expenses!$B:$B,"&gt;="&amp;A15,Clean_Expenses!$B:$B,"&lt;"&amp;EDATE(A15,1)),0)</f>
        <v>0</v>
      </c>
      <c r="C15" s="35">
        <f t="shared" si="2"/>
        <v>0</v>
      </c>
    </row>
    <row r="16" spans="1:18" x14ac:dyDescent="0.25">
      <c r="A16" s="6">
        <f>DATE(YEAR(MIN(Clean_Expenses!$B:$B)),12,1)</f>
        <v>45627</v>
      </c>
      <c r="B16" s="7">
        <f>IF(OR(Dashboard!$D$4="All Months",TEXT(A16,"mmm-yy")=TEXT(Dashboard!$D$4,"mmm-yy")),SUMIFS(Clean_Expenses!$E:$E,Clean_Expenses!$B:$B,"&gt;="&amp;A16,Clean_Expenses!$B:$B,"&lt;"&amp;EDATE(A16,1)),0)</f>
        <v>0</v>
      </c>
      <c r="C16" s="35">
        <f t="shared" si="2"/>
        <v>0</v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6"/>
  <sheetViews>
    <sheetView workbookViewId="0"/>
  </sheetViews>
  <sheetFormatPr defaultRowHeight="15" x14ac:dyDescent="0.25"/>
  <sheetData>
    <row r="1" spans="1:3" x14ac:dyDescent="0.25">
      <c r="A1" t="s">
        <v>3512</v>
      </c>
      <c r="B1" t="s">
        <v>3513</v>
      </c>
      <c r="C1" t="s">
        <v>3514</v>
      </c>
    </row>
    <row r="2" spans="1:3" x14ac:dyDescent="0.25">
      <c r="A2" t="s">
        <v>3515</v>
      </c>
      <c r="B2" t="s">
        <v>5</v>
      </c>
      <c r="C2" t="s">
        <v>7</v>
      </c>
    </row>
    <row r="3" spans="1:3" x14ac:dyDescent="0.25">
      <c r="A3" s="6">
        <v>45292</v>
      </c>
      <c r="B3" t="s">
        <v>1862</v>
      </c>
      <c r="C3" t="s">
        <v>1786</v>
      </c>
    </row>
    <row r="4" spans="1:3" x14ac:dyDescent="0.25">
      <c r="A4" s="6">
        <v>45323</v>
      </c>
      <c r="B4" t="s">
        <v>1818</v>
      </c>
      <c r="C4" t="s">
        <v>1792</v>
      </c>
    </row>
    <row r="5" spans="1:3" x14ac:dyDescent="0.25">
      <c r="A5" s="6">
        <v>45352</v>
      </c>
      <c r="B5" t="s">
        <v>1799</v>
      </c>
      <c r="C5" t="s">
        <v>1797</v>
      </c>
    </row>
    <row r="6" spans="1:3" x14ac:dyDescent="0.25">
      <c r="A6" s="6">
        <v>45383</v>
      </c>
      <c r="B6" t="s">
        <v>1774</v>
      </c>
      <c r="C6" t="s">
        <v>1778</v>
      </c>
    </row>
    <row r="7" spans="1:3" x14ac:dyDescent="0.25">
      <c r="A7" s="6">
        <v>45413</v>
      </c>
      <c r="B7" t="s">
        <v>1786</v>
      </c>
      <c r="C7" t="s">
        <v>1775</v>
      </c>
    </row>
    <row r="8" spans="1:3" x14ac:dyDescent="0.25">
      <c r="A8" s="6">
        <v>45444</v>
      </c>
      <c r="B8" t="s">
        <v>1792</v>
      </c>
      <c r="C8" t="s">
        <v>1783</v>
      </c>
    </row>
    <row r="9" spans="1:3" x14ac:dyDescent="0.25">
      <c r="A9" s="6">
        <v>45474</v>
      </c>
      <c r="B9" t="s">
        <v>1877</v>
      </c>
      <c r="C9" t="s">
        <v>1795</v>
      </c>
    </row>
    <row r="10" spans="1:3" x14ac:dyDescent="0.25">
      <c r="A10" s="6">
        <v>45505</v>
      </c>
      <c r="C10" t="s">
        <v>1789</v>
      </c>
    </row>
    <row r="11" spans="1:3" x14ac:dyDescent="0.25">
      <c r="A11" s="6">
        <v>45536</v>
      </c>
      <c r="C11" t="s">
        <v>1780</v>
      </c>
    </row>
    <row r="12" spans="1:3" x14ac:dyDescent="0.25">
      <c r="A12" s="6">
        <v>45566</v>
      </c>
    </row>
    <row r="13" spans="1:3" x14ac:dyDescent="0.25">
      <c r="A13" s="6">
        <v>45597</v>
      </c>
    </row>
    <row r="14" spans="1:3" x14ac:dyDescent="0.25">
      <c r="A14" s="6">
        <v>45627</v>
      </c>
    </row>
    <row r="15" spans="1:3" x14ac:dyDescent="0.25">
      <c r="A15" s="6">
        <v>45658</v>
      </c>
    </row>
    <row r="16" spans="1:3" x14ac:dyDescent="0.25">
      <c r="A16" s="6">
        <v>45689</v>
      </c>
    </row>
    <row r="17" spans="1:1" x14ac:dyDescent="0.25">
      <c r="A17" s="6">
        <v>45717</v>
      </c>
    </row>
    <row r="18" spans="1:1" x14ac:dyDescent="0.25">
      <c r="A18" s="6">
        <v>45748</v>
      </c>
    </row>
    <row r="19" spans="1:1" x14ac:dyDescent="0.25">
      <c r="A19" s="6">
        <v>45778</v>
      </c>
    </row>
    <row r="20" spans="1:1" x14ac:dyDescent="0.25">
      <c r="A20" s="6">
        <v>45809</v>
      </c>
    </row>
    <row r="21" spans="1:1" x14ac:dyDescent="0.25">
      <c r="A21" s="6">
        <v>45839</v>
      </c>
    </row>
    <row r="22" spans="1:1" x14ac:dyDescent="0.25">
      <c r="A22" s="6">
        <v>45870</v>
      </c>
    </row>
    <row r="23" spans="1:1" x14ac:dyDescent="0.25">
      <c r="A23" s="6">
        <v>45901</v>
      </c>
    </row>
    <row r="24" spans="1:1" x14ac:dyDescent="0.25">
      <c r="A24" s="6">
        <v>45931</v>
      </c>
    </row>
    <row r="25" spans="1:1" x14ac:dyDescent="0.25">
      <c r="A25" s="6">
        <v>45962</v>
      </c>
    </row>
    <row r="26" spans="1:1" x14ac:dyDescent="0.25">
      <c r="A26" s="6">
        <v>45992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Dashboard</vt:lpstr>
      <vt:lpstr>Data_Dictionary</vt:lpstr>
      <vt:lpstr>Clean_AR_Data</vt:lpstr>
      <vt:lpstr>Clean_Expenses</vt:lpstr>
      <vt:lpstr>Budgets</vt:lpstr>
      <vt:lpstr>Customer_Master</vt:lpstr>
      <vt:lpstr>Revenue_Collections</vt:lpstr>
      <vt:lpstr>AR_Ageing</vt:lpstr>
      <vt:lpstr>Customer_Risk</vt:lpstr>
      <vt:lpstr>Budget_vs_Actual</vt:lpstr>
      <vt:lpstr>Expense_Anomaly</vt:lpstr>
      <vt:lpstr>Cash_Flow</vt:lpstr>
      <vt:lpstr>Cash_Forecast</vt:lpstr>
      <vt:lpstr>KPI_Summary</vt:lpstr>
      <vt:lpstr>Expense_Analysis</vt:lpstr>
      <vt:lpstr>Dashboard_Lists</vt:lpstr>
      <vt:lpstr>Dashboard_Categories</vt:lpstr>
      <vt:lpstr>Dashboard_Departments</vt:lpstr>
      <vt:lpstr>Dashboard_Months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2026-08-20T05:15:25Z</dcterms:created>
  <dcterms:modified xsi:type="dcterms:W3CDTF">2026-08-22T06:13:28Z</dcterms:modified>
</cp:coreProperties>
</file>